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usb to lan by ALBAR\"/>
    </mc:Choice>
  </mc:AlternateContent>
  <xr:revisionPtr revIDLastSave="0" documentId="8_{B700DCEF-66E5-4E31-B433-DA3BC6C24396}" xr6:coauthVersionLast="47" xr6:coauthVersionMax="47" xr10:uidLastSave="{00000000-0000-0000-0000-000000000000}"/>
  <bookViews>
    <workbookView xWindow="-120" yWindow="-120" windowWidth="20730" windowHeight="11040" xr2:uid="{A9AB80A4-06DF-460A-9F2C-8DBBB97040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C194" i="1" l="1"/>
  <c r="BO194" i="1"/>
  <c r="BA194" i="1"/>
  <c r="AL194" i="1"/>
  <c r="AM194" i="1" s="1"/>
  <c r="AJ194" i="1"/>
  <c r="CC193" i="1"/>
  <c r="BO193" i="1"/>
  <c r="BA193" i="1"/>
  <c r="AL193" i="1"/>
  <c r="AJ193" i="1"/>
  <c r="AK193" i="1" s="1"/>
  <c r="CC192" i="1"/>
  <c r="BO192" i="1"/>
  <c r="BA192" i="1"/>
  <c r="AL192" i="1"/>
  <c r="AJ192" i="1"/>
  <c r="AK192" i="1" s="1"/>
  <c r="CC191" i="1"/>
  <c r="BO191" i="1"/>
  <c r="BA191" i="1"/>
  <c r="AL191" i="1"/>
  <c r="AJ191" i="1"/>
  <c r="AK191" i="1" s="1"/>
  <c r="CC190" i="1"/>
  <c r="BO190" i="1"/>
  <c r="BA190" i="1"/>
  <c r="AL190" i="1"/>
  <c r="AJ190" i="1"/>
  <c r="CC189" i="1"/>
  <c r="BO189" i="1"/>
  <c r="BA189" i="1"/>
  <c r="AL189" i="1"/>
  <c r="AM189" i="1" s="1"/>
  <c r="AJ189" i="1"/>
  <c r="CC188" i="1"/>
  <c r="BO188" i="1"/>
  <c r="BA188" i="1"/>
  <c r="AL188" i="1"/>
  <c r="AM188" i="1" s="1"/>
  <c r="AJ188" i="1"/>
  <c r="CC187" i="1"/>
  <c r="BO187" i="1"/>
  <c r="BA187" i="1"/>
  <c r="AL187" i="1"/>
  <c r="AM187" i="1" s="1"/>
  <c r="AJ187" i="1"/>
  <c r="AO187" i="1" s="1"/>
  <c r="CC186" i="1"/>
  <c r="BO186" i="1"/>
  <c r="BA186" i="1"/>
  <c r="AL186" i="1"/>
  <c r="AM186" i="1" s="1"/>
  <c r="AJ186" i="1"/>
  <c r="AO186" i="1" s="1"/>
  <c r="CC185" i="1"/>
  <c r="BO185" i="1"/>
  <c r="BA185" i="1"/>
  <c r="AL185" i="1"/>
  <c r="AJ185" i="1"/>
  <c r="CC184" i="1"/>
  <c r="BO184" i="1"/>
  <c r="BA184" i="1"/>
  <c r="AL184" i="1"/>
  <c r="AJ184" i="1"/>
  <c r="CC183" i="1"/>
  <c r="BO183" i="1"/>
  <c r="BA183" i="1"/>
  <c r="AL183" i="1"/>
  <c r="AJ183" i="1"/>
  <c r="CC182" i="1"/>
  <c r="BO182" i="1"/>
  <c r="BA182" i="1"/>
  <c r="AL182" i="1"/>
  <c r="AJ182" i="1"/>
  <c r="CC181" i="1"/>
  <c r="BO181" i="1"/>
  <c r="BA181" i="1"/>
  <c r="AL181" i="1"/>
  <c r="AJ181" i="1"/>
  <c r="CC180" i="1"/>
  <c r="BO180" i="1"/>
  <c r="BA180" i="1"/>
  <c r="AL180" i="1"/>
  <c r="AJ180" i="1"/>
  <c r="CC179" i="1"/>
  <c r="BO179" i="1"/>
  <c r="BA179" i="1"/>
  <c r="AL179" i="1"/>
  <c r="AJ179" i="1"/>
  <c r="CC178" i="1"/>
  <c r="BO178" i="1"/>
  <c r="BA178" i="1"/>
  <c r="AL178" i="1"/>
  <c r="AJ178" i="1"/>
  <c r="CC177" i="1"/>
  <c r="BO177" i="1"/>
  <c r="BA177" i="1"/>
  <c r="AO177" i="1"/>
  <c r="AL177" i="1"/>
  <c r="AJ177" i="1"/>
  <c r="CC176" i="1"/>
  <c r="BO176" i="1"/>
  <c r="BA176" i="1"/>
  <c r="AL176" i="1"/>
  <c r="AJ176" i="1"/>
  <c r="CC175" i="1"/>
  <c r="BO175" i="1"/>
  <c r="BA175" i="1"/>
  <c r="AL175" i="1"/>
  <c r="AJ175" i="1"/>
  <c r="CC174" i="1"/>
  <c r="BO174" i="1"/>
  <c r="BA174" i="1"/>
  <c r="AL174" i="1"/>
  <c r="AJ174" i="1"/>
  <c r="CC173" i="1"/>
  <c r="BO173" i="1"/>
  <c r="BA173" i="1"/>
  <c r="AL173" i="1"/>
  <c r="AJ173" i="1"/>
  <c r="CC172" i="1"/>
  <c r="BO172" i="1"/>
  <c r="BA172" i="1"/>
  <c r="AL172" i="1"/>
  <c r="AJ172" i="1"/>
  <c r="CC171" i="1"/>
  <c r="BO171" i="1"/>
  <c r="BA171" i="1"/>
  <c r="AL171" i="1"/>
  <c r="AJ171" i="1"/>
  <c r="CC170" i="1"/>
  <c r="BO170" i="1"/>
  <c r="BA170" i="1"/>
  <c r="AO170" i="1"/>
  <c r="AL170" i="1"/>
  <c r="AJ170" i="1"/>
  <c r="CC169" i="1"/>
  <c r="BO169" i="1"/>
  <c r="BA169" i="1"/>
  <c r="AL169" i="1"/>
  <c r="AJ169" i="1"/>
  <c r="CC168" i="1"/>
  <c r="BO168" i="1"/>
  <c r="BA168" i="1"/>
  <c r="AL168" i="1"/>
  <c r="AJ168" i="1"/>
  <c r="CC167" i="1"/>
  <c r="BO167" i="1"/>
  <c r="BA167" i="1"/>
  <c r="AL167" i="1"/>
  <c r="AJ167" i="1"/>
  <c r="CC166" i="1"/>
  <c r="BO166" i="1"/>
  <c r="BA166" i="1"/>
  <c r="AL166" i="1"/>
  <c r="AJ166" i="1"/>
  <c r="CC165" i="1"/>
  <c r="BO165" i="1"/>
  <c r="BA165" i="1"/>
  <c r="AL165" i="1"/>
  <c r="AJ165" i="1"/>
  <c r="CC164" i="1"/>
  <c r="BO164" i="1"/>
  <c r="BA164" i="1"/>
  <c r="AL164" i="1"/>
  <c r="AJ164" i="1"/>
  <c r="CC163" i="1"/>
  <c r="BO163" i="1"/>
  <c r="BA163" i="1"/>
  <c r="AL163" i="1"/>
  <c r="AJ163" i="1"/>
  <c r="CC162" i="1"/>
  <c r="BO162" i="1"/>
  <c r="BA162" i="1"/>
  <c r="AL162" i="1"/>
  <c r="AJ162" i="1"/>
  <c r="CC161" i="1"/>
  <c r="BO161" i="1"/>
  <c r="BA161" i="1"/>
  <c r="AL161" i="1"/>
  <c r="AJ161" i="1"/>
  <c r="CC160" i="1"/>
  <c r="BO160" i="1"/>
  <c r="BA160" i="1"/>
  <c r="AO160" i="1"/>
  <c r="AL160" i="1"/>
  <c r="AJ160" i="1"/>
  <c r="CC159" i="1"/>
  <c r="BO159" i="1"/>
  <c r="BA159" i="1"/>
  <c r="AL159" i="1"/>
  <c r="AJ159" i="1"/>
  <c r="CC158" i="1"/>
  <c r="BO158" i="1"/>
  <c r="BA158" i="1"/>
  <c r="AL158" i="1"/>
  <c r="AJ158" i="1"/>
  <c r="CC157" i="1"/>
  <c r="BO157" i="1"/>
  <c r="BA157" i="1"/>
  <c r="AL157" i="1"/>
  <c r="AJ157" i="1"/>
  <c r="CC156" i="1"/>
  <c r="BO156" i="1"/>
  <c r="BA156" i="1"/>
  <c r="AO156" i="1"/>
  <c r="AL156" i="1"/>
  <c r="AJ156" i="1"/>
  <c r="CC155" i="1"/>
  <c r="BO155" i="1"/>
  <c r="BA155" i="1"/>
  <c r="AL155" i="1"/>
  <c r="AJ155" i="1"/>
  <c r="CC154" i="1"/>
  <c r="BO154" i="1"/>
  <c r="BA154" i="1"/>
  <c r="AL154" i="1"/>
  <c r="AJ154" i="1"/>
  <c r="CC153" i="1"/>
  <c r="BO153" i="1"/>
  <c r="BA153" i="1"/>
  <c r="AL153" i="1"/>
  <c r="AJ153" i="1"/>
  <c r="CC152" i="1"/>
  <c r="BO152" i="1"/>
  <c r="BA152" i="1"/>
  <c r="AO152" i="1"/>
  <c r="AL152" i="1"/>
  <c r="AJ152" i="1"/>
  <c r="CC151" i="1"/>
  <c r="BO151" i="1"/>
  <c r="BA151" i="1"/>
  <c r="AL151" i="1"/>
  <c r="AJ151" i="1"/>
  <c r="CC150" i="1"/>
  <c r="BO150" i="1"/>
  <c r="BA150" i="1"/>
  <c r="AL150" i="1"/>
  <c r="AJ150" i="1"/>
  <c r="CC149" i="1"/>
  <c r="BO149" i="1"/>
  <c r="BA149" i="1"/>
  <c r="AL149" i="1"/>
  <c r="AJ149" i="1"/>
  <c r="CC148" i="1"/>
  <c r="BO148" i="1"/>
  <c r="BA148" i="1"/>
  <c r="AL148" i="1"/>
  <c r="AJ148" i="1"/>
  <c r="CC147" i="1"/>
  <c r="BO147" i="1"/>
  <c r="BA147" i="1"/>
  <c r="AL147" i="1"/>
  <c r="AJ147" i="1"/>
  <c r="CC146" i="1"/>
  <c r="BO146" i="1"/>
  <c r="BA146" i="1"/>
  <c r="AL146" i="1"/>
  <c r="AJ146" i="1"/>
  <c r="CC145" i="1"/>
  <c r="BO145" i="1"/>
  <c r="BA145" i="1"/>
  <c r="AL145" i="1"/>
  <c r="AJ145" i="1"/>
  <c r="CC144" i="1"/>
  <c r="BO144" i="1"/>
  <c r="BA144" i="1"/>
  <c r="AL144" i="1"/>
  <c r="AJ144" i="1"/>
  <c r="CC143" i="1"/>
  <c r="BO143" i="1"/>
  <c r="BA143" i="1"/>
  <c r="AL143" i="1"/>
  <c r="AJ143" i="1"/>
  <c r="CC142" i="1"/>
  <c r="BO142" i="1"/>
  <c r="BA142" i="1"/>
  <c r="AL142" i="1"/>
  <c r="AJ142" i="1"/>
  <c r="CC141" i="1"/>
  <c r="BO141" i="1"/>
  <c r="BA141" i="1"/>
  <c r="AL141" i="1"/>
  <c r="AJ141" i="1"/>
  <c r="CC140" i="1"/>
  <c r="BO140" i="1"/>
  <c r="BA140" i="1"/>
  <c r="AL140" i="1"/>
  <c r="AJ140" i="1"/>
  <c r="CC139" i="1"/>
  <c r="BO139" i="1"/>
  <c r="BA139" i="1"/>
  <c r="AL139" i="1"/>
  <c r="AJ139" i="1"/>
  <c r="CC138" i="1"/>
  <c r="BO138" i="1"/>
  <c r="BA138" i="1"/>
  <c r="AL138" i="1"/>
  <c r="AJ138" i="1"/>
  <c r="CC137" i="1"/>
  <c r="BO137" i="1"/>
  <c r="BA137" i="1"/>
  <c r="AL137" i="1"/>
  <c r="AJ137" i="1"/>
  <c r="CC136" i="1"/>
  <c r="BO136" i="1"/>
  <c r="BA136" i="1"/>
  <c r="AL136" i="1"/>
  <c r="AJ136" i="1"/>
  <c r="CC135" i="1"/>
  <c r="BO135" i="1"/>
  <c r="BA135" i="1"/>
  <c r="AL135" i="1"/>
  <c r="AJ135" i="1"/>
  <c r="CC134" i="1"/>
  <c r="BO134" i="1"/>
  <c r="BA134" i="1"/>
  <c r="AL134" i="1"/>
  <c r="AJ134" i="1"/>
  <c r="CC133" i="1"/>
  <c r="BO133" i="1"/>
  <c r="BA133" i="1"/>
  <c r="AL133" i="1"/>
  <c r="AJ133" i="1"/>
  <c r="CC132" i="1"/>
  <c r="BO132" i="1"/>
  <c r="BA132" i="1"/>
  <c r="AL132" i="1"/>
  <c r="AJ132" i="1"/>
  <c r="CC131" i="1"/>
  <c r="BO131" i="1"/>
  <c r="BA131" i="1"/>
  <c r="AL131" i="1"/>
  <c r="AJ131" i="1"/>
  <c r="CC130" i="1"/>
  <c r="BO130" i="1"/>
  <c r="BA130" i="1"/>
  <c r="AL130" i="1"/>
  <c r="AJ130" i="1"/>
  <c r="CC129" i="1"/>
  <c r="BO129" i="1"/>
  <c r="BA129" i="1"/>
  <c r="AL129" i="1"/>
  <c r="AJ129" i="1"/>
  <c r="CC128" i="1"/>
  <c r="BO128" i="1"/>
  <c r="BA128" i="1"/>
  <c r="AL128" i="1"/>
  <c r="AJ128" i="1"/>
  <c r="CC127" i="1"/>
  <c r="BO127" i="1"/>
  <c r="BA127" i="1"/>
  <c r="AL127" i="1"/>
  <c r="AJ127" i="1"/>
  <c r="CC126" i="1"/>
  <c r="BO126" i="1"/>
  <c r="BA126" i="1"/>
  <c r="AL126" i="1"/>
  <c r="AJ126" i="1"/>
  <c r="CC125" i="1"/>
  <c r="BO125" i="1"/>
  <c r="BA125" i="1"/>
  <c r="AL125" i="1"/>
  <c r="AJ125" i="1"/>
  <c r="CC124" i="1"/>
  <c r="BO124" i="1"/>
  <c r="BA124" i="1"/>
  <c r="AL124" i="1"/>
  <c r="AJ124" i="1"/>
  <c r="CC123" i="1"/>
  <c r="BO123" i="1"/>
  <c r="BA123" i="1"/>
  <c r="AL123" i="1"/>
  <c r="AJ123" i="1"/>
  <c r="CC122" i="1"/>
  <c r="BO122" i="1"/>
  <c r="BA122" i="1"/>
  <c r="AL122" i="1"/>
  <c r="AJ122" i="1"/>
  <c r="CC121" i="1"/>
  <c r="BO121" i="1"/>
  <c r="BA121" i="1"/>
  <c r="AL121" i="1"/>
  <c r="AJ121" i="1"/>
  <c r="CC120" i="1"/>
  <c r="BO120" i="1"/>
  <c r="BA120" i="1"/>
  <c r="AL120" i="1"/>
  <c r="AJ120" i="1"/>
  <c r="CC119" i="1"/>
  <c r="BO119" i="1"/>
  <c r="BA119" i="1"/>
  <c r="AL119" i="1"/>
  <c r="AJ119" i="1"/>
  <c r="CC118" i="1"/>
  <c r="BO118" i="1"/>
  <c r="BA118" i="1"/>
  <c r="AL118" i="1"/>
  <c r="AJ118" i="1"/>
  <c r="CC117" i="1"/>
  <c r="BO117" i="1"/>
  <c r="BA117" i="1"/>
  <c r="AL117" i="1"/>
  <c r="AJ117" i="1"/>
  <c r="CC116" i="1"/>
  <c r="BO116" i="1"/>
  <c r="BA116" i="1"/>
  <c r="AL116" i="1"/>
  <c r="AJ116" i="1"/>
  <c r="CC115" i="1"/>
  <c r="BO115" i="1"/>
  <c r="BA115" i="1"/>
  <c r="AL115" i="1"/>
  <c r="AJ115" i="1"/>
  <c r="CC114" i="1"/>
  <c r="BO114" i="1"/>
  <c r="BA114" i="1"/>
  <c r="AL114" i="1"/>
  <c r="AJ114" i="1"/>
  <c r="CC113" i="1"/>
  <c r="BO113" i="1"/>
  <c r="BA113" i="1"/>
  <c r="AL113" i="1"/>
  <c r="AJ113" i="1"/>
  <c r="CC112" i="1"/>
  <c r="BO112" i="1"/>
  <c r="BA112" i="1"/>
  <c r="AL112" i="1"/>
  <c r="AJ112" i="1"/>
  <c r="CC111" i="1"/>
  <c r="BO111" i="1"/>
  <c r="BA111" i="1"/>
  <c r="AL111" i="1"/>
  <c r="AJ111" i="1"/>
  <c r="CC110" i="1"/>
  <c r="BO110" i="1"/>
  <c r="BA110" i="1"/>
  <c r="AL110" i="1"/>
  <c r="AJ110" i="1"/>
  <c r="CC109" i="1"/>
  <c r="BO109" i="1"/>
  <c r="BA109" i="1"/>
  <c r="AL109" i="1"/>
  <c r="AJ109" i="1"/>
  <c r="CC108" i="1"/>
  <c r="BO108" i="1"/>
  <c r="BA108" i="1"/>
  <c r="AL108" i="1"/>
  <c r="AJ108" i="1"/>
  <c r="CC107" i="1"/>
  <c r="BO107" i="1"/>
  <c r="BA107" i="1"/>
  <c r="AL107" i="1"/>
  <c r="AJ107" i="1"/>
  <c r="CC106" i="1"/>
  <c r="BO106" i="1"/>
  <c r="BA106" i="1"/>
  <c r="AL106" i="1"/>
  <c r="AJ106" i="1"/>
  <c r="CC105" i="1"/>
  <c r="BO105" i="1"/>
  <c r="BA105" i="1"/>
  <c r="AL105" i="1"/>
  <c r="AJ105" i="1"/>
  <c r="CC104" i="1"/>
  <c r="BO104" i="1"/>
  <c r="BA104" i="1"/>
  <c r="AL104" i="1"/>
  <c r="AJ104" i="1"/>
  <c r="CC103" i="1"/>
  <c r="BO103" i="1"/>
  <c r="BA103" i="1"/>
  <c r="AL103" i="1"/>
  <c r="AJ103" i="1"/>
  <c r="CC102" i="1"/>
  <c r="BO102" i="1"/>
  <c r="BA102" i="1"/>
  <c r="AL102" i="1"/>
  <c r="AJ102" i="1"/>
  <c r="CC101" i="1"/>
  <c r="BO101" i="1"/>
  <c r="BA101" i="1"/>
  <c r="AL101" i="1"/>
  <c r="AJ101" i="1"/>
  <c r="CC100" i="1"/>
  <c r="BO100" i="1"/>
  <c r="BA100" i="1"/>
  <c r="AL100" i="1"/>
  <c r="AJ100" i="1"/>
  <c r="CC99" i="1"/>
  <c r="BO99" i="1"/>
  <c r="BA99" i="1"/>
  <c r="AL99" i="1"/>
  <c r="AJ99" i="1"/>
  <c r="CC98" i="1"/>
  <c r="BO98" i="1"/>
  <c r="BA98" i="1"/>
  <c r="AL98" i="1"/>
  <c r="AJ98" i="1"/>
  <c r="CC97" i="1"/>
  <c r="BO97" i="1"/>
  <c r="BA97" i="1"/>
  <c r="AL97" i="1"/>
  <c r="AJ97" i="1"/>
  <c r="CC96" i="1"/>
  <c r="BO96" i="1"/>
  <c r="BA96" i="1"/>
  <c r="AL96" i="1"/>
  <c r="AJ96" i="1"/>
  <c r="CC95" i="1"/>
  <c r="BO95" i="1"/>
  <c r="BA95" i="1"/>
  <c r="AL95" i="1"/>
  <c r="AJ95" i="1"/>
  <c r="CC94" i="1"/>
  <c r="BO94" i="1"/>
  <c r="BA94" i="1"/>
  <c r="AL94" i="1"/>
  <c r="AJ94" i="1"/>
  <c r="CC93" i="1"/>
  <c r="BO93" i="1"/>
  <c r="BA93" i="1"/>
  <c r="AL93" i="1"/>
  <c r="AJ93" i="1"/>
  <c r="CC92" i="1"/>
  <c r="BO92" i="1"/>
  <c r="BA92" i="1"/>
  <c r="AL92" i="1"/>
  <c r="AJ92" i="1"/>
  <c r="CC91" i="1"/>
  <c r="BO91" i="1"/>
  <c r="BA91" i="1"/>
  <c r="AL91" i="1"/>
  <c r="AJ91" i="1"/>
  <c r="CC90" i="1"/>
  <c r="BO90" i="1"/>
  <c r="BA90" i="1"/>
  <c r="AL90" i="1"/>
  <c r="AJ90" i="1"/>
  <c r="CC89" i="1"/>
  <c r="BO89" i="1"/>
  <c r="BA89" i="1"/>
  <c r="AL89" i="1"/>
  <c r="AJ89" i="1"/>
  <c r="CC88" i="1"/>
  <c r="BO88" i="1"/>
  <c r="BA88" i="1"/>
  <c r="AL88" i="1"/>
  <c r="AJ88" i="1"/>
  <c r="CC87" i="1"/>
  <c r="BO87" i="1"/>
  <c r="BA87" i="1"/>
  <c r="AL87" i="1"/>
  <c r="AJ87" i="1"/>
  <c r="CC86" i="1"/>
  <c r="BO86" i="1"/>
  <c r="BA86" i="1"/>
  <c r="AL86" i="1"/>
  <c r="AJ86" i="1"/>
  <c r="CC85" i="1"/>
  <c r="BO85" i="1"/>
  <c r="BA85" i="1"/>
  <c r="AL85" i="1"/>
  <c r="AJ85" i="1"/>
  <c r="CC84" i="1"/>
  <c r="BO84" i="1"/>
  <c r="BA84" i="1"/>
  <c r="AL84" i="1"/>
  <c r="AJ84" i="1"/>
  <c r="CC83" i="1"/>
  <c r="BO83" i="1"/>
  <c r="BA83" i="1"/>
  <c r="AL83" i="1"/>
  <c r="AJ83" i="1"/>
  <c r="CC82" i="1"/>
  <c r="BO82" i="1"/>
  <c r="BA82" i="1"/>
  <c r="AL82" i="1"/>
  <c r="AJ82" i="1"/>
  <c r="CC81" i="1"/>
  <c r="BO81" i="1"/>
  <c r="BA81" i="1"/>
  <c r="AL81" i="1"/>
  <c r="AJ81" i="1"/>
  <c r="CC80" i="1"/>
  <c r="BO80" i="1"/>
  <c r="BA80" i="1"/>
  <c r="AL80" i="1"/>
  <c r="AJ80" i="1"/>
  <c r="CC79" i="1"/>
  <c r="BO79" i="1"/>
  <c r="BA79" i="1"/>
  <c r="AL79" i="1"/>
  <c r="AJ79" i="1"/>
  <c r="CC78" i="1"/>
  <c r="BO78" i="1"/>
  <c r="BA78" i="1"/>
  <c r="AL78" i="1"/>
  <c r="AJ78" i="1"/>
  <c r="CC77" i="1"/>
  <c r="BO77" i="1"/>
  <c r="BA77" i="1"/>
  <c r="AL77" i="1"/>
  <c r="AJ77" i="1"/>
  <c r="CC76" i="1"/>
  <c r="BO76" i="1"/>
  <c r="BA76" i="1"/>
  <c r="AL76" i="1"/>
  <c r="AJ76" i="1"/>
  <c r="CC75" i="1"/>
  <c r="BO75" i="1"/>
  <c r="BA75" i="1"/>
  <c r="AL75" i="1"/>
  <c r="AJ75" i="1"/>
  <c r="CC74" i="1"/>
  <c r="BO74" i="1"/>
  <c r="BA74" i="1"/>
  <c r="AL74" i="1"/>
  <c r="AJ74" i="1"/>
  <c r="CC73" i="1"/>
  <c r="BO73" i="1"/>
  <c r="BA73" i="1"/>
  <c r="AL73" i="1"/>
  <c r="AJ73" i="1"/>
  <c r="CC72" i="1"/>
  <c r="BO72" i="1"/>
  <c r="BA72" i="1"/>
  <c r="AL72" i="1"/>
  <c r="AJ72" i="1"/>
  <c r="CC71" i="1"/>
  <c r="BO71" i="1"/>
  <c r="BA71" i="1"/>
  <c r="AL71" i="1"/>
  <c r="AJ71" i="1"/>
  <c r="CC70" i="1"/>
  <c r="BO70" i="1"/>
  <c r="BA70" i="1"/>
  <c r="AL70" i="1"/>
  <c r="AJ70" i="1"/>
  <c r="CC69" i="1"/>
  <c r="BO69" i="1"/>
  <c r="BA69" i="1"/>
  <c r="AL69" i="1"/>
  <c r="AJ69" i="1"/>
  <c r="CC68" i="1"/>
  <c r="BO68" i="1"/>
  <c r="BA68" i="1"/>
  <c r="AL68" i="1"/>
  <c r="AJ68" i="1"/>
  <c r="CC67" i="1"/>
  <c r="BO67" i="1"/>
  <c r="BA67" i="1"/>
  <c r="AL67" i="1"/>
  <c r="AJ67" i="1"/>
  <c r="CC66" i="1"/>
  <c r="BO66" i="1"/>
  <c r="BA66" i="1"/>
  <c r="AL66" i="1"/>
  <c r="AJ66" i="1"/>
  <c r="CC65" i="1"/>
  <c r="BO65" i="1"/>
  <c r="BA65" i="1"/>
  <c r="AL65" i="1"/>
  <c r="AJ65" i="1"/>
  <c r="CC64" i="1"/>
  <c r="BO64" i="1"/>
  <c r="BA64" i="1"/>
  <c r="AL64" i="1"/>
  <c r="AJ64" i="1"/>
  <c r="CC63" i="1"/>
  <c r="BO63" i="1"/>
  <c r="BA63" i="1"/>
  <c r="AL63" i="1"/>
  <c r="AJ63" i="1"/>
  <c r="CC62" i="1"/>
  <c r="BO62" i="1"/>
  <c r="BA62" i="1"/>
  <c r="AL62" i="1"/>
  <c r="AJ62" i="1"/>
  <c r="CC61" i="1"/>
  <c r="BO61" i="1"/>
  <c r="BA61" i="1"/>
  <c r="AL61" i="1"/>
  <c r="AJ61" i="1"/>
  <c r="CC60" i="1"/>
  <c r="BO60" i="1"/>
  <c r="BA60" i="1"/>
  <c r="AL60" i="1"/>
  <c r="AJ60" i="1"/>
  <c r="CC59" i="1"/>
  <c r="BO59" i="1"/>
  <c r="BA59" i="1"/>
  <c r="AL59" i="1"/>
  <c r="AJ59" i="1"/>
  <c r="CC58" i="1"/>
  <c r="BO58" i="1"/>
  <c r="BA58" i="1"/>
  <c r="AL58" i="1"/>
  <c r="AJ58" i="1"/>
  <c r="CC57" i="1"/>
  <c r="BO57" i="1"/>
  <c r="BA57" i="1"/>
  <c r="AL57" i="1"/>
  <c r="AJ57" i="1"/>
  <c r="CC56" i="1"/>
  <c r="BO56" i="1"/>
  <c r="BA56" i="1"/>
  <c r="AL56" i="1"/>
  <c r="AJ56" i="1"/>
  <c r="CC55" i="1"/>
  <c r="BO55" i="1"/>
  <c r="BA55" i="1"/>
  <c r="AL55" i="1"/>
  <c r="AJ55" i="1"/>
  <c r="CC54" i="1"/>
  <c r="BO54" i="1"/>
  <c r="BA54" i="1"/>
  <c r="AL54" i="1"/>
  <c r="AJ54" i="1"/>
  <c r="CC53" i="1"/>
  <c r="BO53" i="1"/>
  <c r="BA53" i="1"/>
  <c r="AL53" i="1"/>
  <c r="AJ53" i="1"/>
  <c r="CC52" i="1"/>
  <c r="BO52" i="1"/>
  <c r="BA52" i="1"/>
  <c r="AL52" i="1"/>
  <c r="AJ52" i="1"/>
  <c r="CC51" i="1"/>
  <c r="BO51" i="1"/>
  <c r="BA51" i="1"/>
  <c r="AL51" i="1"/>
  <c r="AJ51" i="1"/>
  <c r="CC50" i="1"/>
  <c r="BO50" i="1"/>
  <c r="BA50" i="1"/>
  <c r="AL50" i="1"/>
  <c r="AJ50" i="1"/>
  <c r="CC49" i="1"/>
  <c r="BO49" i="1"/>
  <c r="BA49" i="1"/>
  <c r="AL49" i="1"/>
  <c r="AJ49" i="1"/>
  <c r="CC48" i="1"/>
  <c r="BO48" i="1"/>
  <c r="BA48" i="1"/>
  <c r="AL48" i="1"/>
  <c r="AJ48" i="1"/>
  <c r="CC47" i="1"/>
  <c r="BO47" i="1"/>
  <c r="BA47" i="1"/>
  <c r="AL47" i="1"/>
  <c r="AJ47" i="1"/>
  <c r="CC46" i="1"/>
  <c r="BO46" i="1"/>
  <c r="BA46" i="1"/>
  <c r="AL46" i="1"/>
  <c r="AJ46" i="1"/>
  <c r="CC45" i="1"/>
  <c r="BO45" i="1"/>
  <c r="BA45" i="1"/>
  <c r="AL45" i="1"/>
  <c r="AJ45" i="1"/>
  <c r="CC44" i="1"/>
  <c r="BO44" i="1"/>
  <c r="BA44" i="1"/>
  <c r="AL44" i="1"/>
  <c r="AJ44" i="1"/>
  <c r="CC43" i="1"/>
  <c r="BO43" i="1"/>
  <c r="BA43" i="1"/>
  <c r="AL43" i="1"/>
  <c r="AJ43" i="1"/>
  <c r="CC42" i="1"/>
  <c r="BO42" i="1"/>
  <c r="BA42" i="1"/>
  <c r="AL42" i="1"/>
  <c r="AJ42" i="1"/>
  <c r="CC41" i="1"/>
  <c r="BO41" i="1"/>
  <c r="BA41" i="1"/>
  <c r="AL41" i="1"/>
  <c r="AJ41" i="1"/>
  <c r="CC40" i="1"/>
  <c r="BO40" i="1"/>
  <c r="BA40" i="1"/>
  <c r="AL40" i="1"/>
  <c r="AJ40" i="1"/>
  <c r="CC39" i="1"/>
  <c r="BO39" i="1"/>
  <c r="BA39" i="1"/>
  <c r="AL39" i="1"/>
  <c r="AJ39" i="1"/>
  <c r="CC38" i="1"/>
  <c r="BO38" i="1"/>
  <c r="BA38" i="1"/>
  <c r="AL38" i="1"/>
  <c r="AJ38" i="1"/>
  <c r="CC37" i="1"/>
  <c r="BO37" i="1"/>
  <c r="BA37" i="1"/>
  <c r="AL37" i="1"/>
  <c r="AJ37" i="1"/>
  <c r="CC36" i="1"/>
  <c r="BO36" i="1"/>
  <c r="BA36" i="1"/>
  <c r="AL36" i="1"/>
  <c r="AJ36" i="1"/>
  <c r="CC35" i="1"/>
  <c r="BO35" i="1"/>
  <c r="BA35" i="1"/>
  <c r="AL35" i="1"/>
  <c r="AJ35" i="1"/>
  <c r="CC34" i="1"/>
  <c r="BO34" i="1"/>
  <c r="BA34" i="1"/>
  <c r="AL34" i="1"/>
  <c r="AJ34" i="1"/>
  <c r="CC33" i="1"/>
  <c r="BO33" i="1"/>
  <c r="BA33" i="1"/>
  <c r="AL33" i="1"/>
  <c r="AJ33" i="1"/>
  <c r="CC32" i="1"/>
  <c r="BO32" i="1"/>
  <c r="BA32" i="1"/>
  <c r="AL32" i="1"/>
  <c r="AJ32" i="1"/>
  <c r="CC31" i="1"/>
  <c r="BO31" i="1"/>
  <c r="BA31" i="1"/>
  <c r="AL31" i="1"/>
  <c r="AJ31" i="1"/>
  <c r="CC30" i="1"/>
  <c r="BO30" i="1"/>
  <c r="BA30" i="1"/>
  <c r="AL30" i="1"/>
  <c r="AJ30" i="1"/>
  <c r="CC29" i="1"/>
  <c r="BO29" i="1"/>
  <c r="BA29" i="1"/>
  <c r="AL29" i="1"/>
  <c r="AJ29" i="1"/>
  <c r="CC28" i="1"/>
  <c r="BO28" i="1"/>
  <c r="BA28" i="1"/>
  <c r="AL28" i="1"/>
  <c r="AJ28" i="1"/>
  <c r="CC27" i="1"/>
  <c r="BO27" i="1"/>
  <c r="BA27" i="1"/>
  <c r="AL27" i="1"/>
  <c r="AJ27" i="1"/>
  <c r="CC26" i="1"/>
  <c r="BO26" i="1"/>
  <c r="BA26" i="1"/>
  <c r="AL26" i="1"/>
  <c r="AJ26" i="1"/>
  <c r="CC25" i="1"/>
  <c r="BO25" i="1"/>
  <c r="BA25" i="1"/>
  <c r="AL25" i="1"/>
  <c r="AJ25" i="1"/>
  <c r="CC24" i="1"/>
  <c r="BO24" i="1"/>
  <c r="BA24" i="1"/>
  <c r="AL24" i="1"/>
  <c r="AJ24" i="1"/>
  <c r="CC23" i="1"/>
  <c r="BO23" i="1"/>
  <c r="BA23" i="1"/>
  <c r="AL23" i="1"/>
  <c r="AJ23" i="1"/>
  <c r="CC22" i="1"/>
  <c r="BO22" i="1"/>
  <c r="BA22" i="1"/>
  <c r="AL22" i="1"/>
  <c r="AJ22" i="1"/>
  <c r="CC21" i="1"/>
  <c r="BO21" i="1"/>
  <c r="BA21" i="1"/>
  <c r="AL21" i="1"/>
  <c r="AJ21" i="1"/>
  <c r="CC20" i="1"/>
  <c r="BO20" i="1"/>
  <c r="BA20" i="1"/>
  <c r="AL20" i="1"/>
  <c r="AJ20" i="1"/>
  <c r="CC19" i="1"/>
  <c r="BO19" i="1"/>
  <c r="BA19" i="1"/>
  <c r="AL19" i="1"/>
  <c r="AJ19" i="1"/>
  <c r="CC18" i="1"/>
  <c r="BO18" i="1"/>
  <c r="BA18" i="1"/>
  <c r="AL18" i="1"/>
  <c r="AJ18" i="1"/>
  <c r="CC17" i="1"/>
  <c r="BO17" i="1"/>
  <c r="BA17" i="1"/>
  <c r="AL17" i="1"/>
  <c r="AJ17" i="1"/>
  <c r="CC16" i="1"/>
  <c r="BO16" i="1"/>
  <c r="BA16" i="1"/>
  <c r="AL16" i="1"/>
  <c r="AJ16" i="1"/>
  <c r="CC15" i="1"/>
  <c r="BO15" i="1"/>
  <c r="BA15" i="1"/>
  <c r="AL15" i="1"/>
  <c r="AJ15" i="1"/>
  <c r="CC14" i="1"/>
  <c r="BO14" i="1"/>
  <c r="BA14" i="1"/>
  <c r="AL14" i="1"/>
  <c r="AJ14" i="1"/>
  <c r="CC13" i="1"/>
  <c r="BO13" i="1"/>
  <c r="BA13" i="1"/>
  <c r="AL13" i="1"/>
  <c r="AJ13" i="1"/>
  <c r="CC12" i="1"/>
  <c r="BO12" i="1"/>
  <c r="BA12" i="1"/>
  <c r="AL12" i="1"/>
  <c r="AJ12" i="1"/>
  <c r="CC11" i="1"/>
  <c r="BO11" i="1"/>
  <c r="BA11" i="1"/>
  <c r="AL11" i="1"/>
  <c r="AJ11" i="1"/>
  <c r="CC10" i="1"/>
  <c r="BO10" i="1"/>
  <c r="BA10" i="1"/>
  <c r="AL10" i="1"/>
  <c r="AJ10" i="1"/>
  <c r="CC9" i="1"/>
  <c r="BO9" i="1"/>
  <c r="BA9" i="1"/>
  <c r="AL9" i="1"/>
  <c r="AJ9" i="1"/>
  <c r="CC8" i="1"/>
  <c r="BO8" i="1"/>
  <c r="BA8" i="1"/>
  <c r="AL8" i="1"/>
  <c r="AJ8" i="1"/>
  <c r="CC7" i="1"/>
  <c r="BO7" i="1"/>
  <c r="BA7" i="1"/>
  <c r="AL7" i="1"/>
  <c r="AJ7" i="1"/>
  <c r="CC6" i="1"/>
  <c r="BO6" i="1"/>
  <c r="BA6" i="1"/>
  <c r="AL6" i="1"/>
  <c r="AJ6" i="1"/>
  <c r="CC5" i="1"/>
  <c r="BO5" i="1"/>
  <c r="BA5" i="1"/>
  <c r="AL5" i="1"/>
  <c r="AJ5" i="1"/>
  <c r="AK188" i="1" l="1"/>
  <c r="AO188" i="1" s="1"/>
  <c r="AK189" i="1"/>
  <c r="AO189" i="1" s="1"/>
  <c r="AK190" i="1"/>
  <c r="AO190" i="1" s="1"/>
</calcChain>
</file>

<file path=xl/sharedStrings.xml><?xml version="1.0" encoding="utf-8"?>
<sst xmlns="http://schemas.openxmlformats.org/spreadsheetml/2006/main" count="5209" uniqueCount="1961">
  <si>
    <t>No.</t>
  </si>
  <si>
    <t>Nomor Kontrak</t>
  </si>
  <si>
    <t>Nomor Laporan</t>
  </si>
  <si>
    <t>Tanggal Laporan</t>
  </si>
  <si>
    <t>Pemberi Tugas</t>
  </si>
  <si>
    <t>Pengguna Laporan</t>
  </si>
  <si>
    <t>Objek Penilaian</t>
  </si>
  <si>
    <t>Spesifikasi Objek Penilaian</t>
  </si>
  <si>
    <t>Alamat Objek Penilaian</t>
  </si>
  <si>
    <t>Tujuan Penilaian</t>
  </si>
  <si>
    <t>Dasar Nilai</t>
  </si>
  <si>
    <t>Tanggal Inspeksi</t>
  </si>
  <si>
    <t>Tanggal Penilaian</t>
  </si>
  <si>
    <t>Jenis Laporan</t>
  </si>
  <si>
    <t>Jumlah Nilai (Rp.)</t>
  </si>
  <si>
    <t>Total Nilai (Rp)</t>
  </si>
  <si>
    <t>Data Pembanding 1</t>
  </si>
  <si>
    <t>Data Pembanding 2</t>
  </si>
  <si>
    <t>Data Pembanding 3</t>
  </si>
  <si>
    <t>Penilaian/ Pelaksana Inspeksi</t>
  </si>
  <si>
    <t>Keterangan</t>
  </si>
  <si>
    <t>Link Server</t>
  </si>
  <si>
    <t>Jenis</t>
  </si>
  <si>
    <t>Luas Tanah/ Luas Rusun</t>
  </si>
  <si>
    <t>Satuan</t>
  </si>
  <si>
    <t>Luas Bangunan /(m2)</t>
  </si>
  <si>
    <t>Luas Kebun (Ha)</t>
  </si>
  <si>
    <t>Identifikasi Objek</t>
  </si>
  <si>
    <t>Tahun Tanam</t>
  </si>
  <si>
    <t>Kapasitas</t>
  </si>
  <si>
    <t xml:space="preserve">Komplek/ Perumahan/ Kawasan </t>
  </si>
  <si>
    <t>Jalan/ Blok</t>
  </si>
  <si>
    <t>Kelurahan/Desa</t>
  </si>
  <si>
    <t>Kecamatan</t>
  </si>
  <si>
    <t>Kabupaten/Kota</t>
  </si>
  <si>
    <t>Provinsi</t>
  </si>
  <si>
    <t>Negara</t>
  </si>
  <si>
    <t>No. Polisi</t>
  </si>
  <si>
    <t>Tahun Pembuatan</t>
  </si>
  <si>
    <t>Model/Type/Jenis kapal/Merk</t>
  </si>
  <si>
    <t>Nama Kapal/Pesawat</t>
  </si>
  <si>
    <t>Nomor BPKB/ No.IMO</t>
  </si>
  <si>
    <t>Bahan Baku/Kg</t>
  </si>
  <si>
    <t>Barang Jadi/Kg</t>
  </si>
  <si>
    <t>Tanah/Rusun/Sewa/m2/Ha</t>
  </si>
  <si>
    <t>Tanah/Rusun/Sewa/m2</t>
  </si>
  <si>
    <t>Bangunan/Gedung/Kantor/Ruko/m2</t>
  </si>
  <si>
    <t>Bangunan/Gedung/Kantor/Sewa/ m2</t>
  </si>
  <si>
    <t>Jumlah Nilai Lainnya</t>
  </si>
  <si>
    <t>Alamat</t>
  </si>
  <si>
    <t>Jenis Data</t>
  </si>
  <si>
    <t>Deadweight Tonnage(DWT)</t>
  </si>
  <si>
    <t>Class</t>
  </si>
  <si>
    <t>Merk/Model/Type</t>
  </si>
  <si>
    <t>Luas Tanah/Rusun/Kantor (m2)</t>
  </si>
  <si>
    <t>Harga Tanah/Rusun/Sewa /m2</t>
  </si>
  <si>
    <t>Luas Bangunan (m2)</t>
  </si>
  <si>
    <t>Harga Bangunan/m2</t>
  </si>
  <si>
    <t>Harga Penawaran (Rp.)</t>
  </si>
  <si>
    <t>Perkiraan Transaksi/Transaksi</t>
  </si>
  <si>
    <t>Sumber Data</t>
  </si>
  <si>
    <t xml:space="preserve">Agen/ Pemilik </t>
  </si>
  <si>
    <t>Deadweight Tonnage (DWT)</t>
  </si>
  <si>
    <t>Merk/ Model/ Type</t>
  </si>
  <si>
    <t>Tahun Pembuatan/DD</t>
  </si>
  <si>
    <t>Luas Tanah/Rusun/ (m2)</t>
  </si>
  <si>
    <t>Harga Tanah /Rusun/ Sewa/m2</t>
  </si>
  <si>
    <t>Harga Banguna/m2</t>
  </si>
  <si>
    <t>Class/ Class Grade</t>
  </si>
  <si>
    <t>Luas Tanah/Rusun/Kantor/ (m2)</t>
  </si>
  <si>
    <t>m2</t>
  </si>
  <si>
    <t>Banjarsari</t>
  </si>
  <si>
    <t>Jawa Tengah</t>
  </si>
  <si>
    <t>Indonesia</t>
  </si>
  <si>
    <t>Penjamin Utang</t>
  </si>
  <si>
    <t>Nilai Pasar</t>
  </si>
  <si>
    <t>Short Report</t>
  </si>
  <si>
    <t>Tanah dan Bangunan (Hitung Tanah)</t>
  </si>
  <si>
    <t>Tanah Kosong</t>
  </si>
  <si>
    <t>Pagedangan</t>
  </si>
  <si>
    <t>Banten</t>
  </si>
  <si>
    <t>2 Unit Ruko</t>
  </si>
  <si>
    <t>Agen</t>
  </si>
  <si>
    <t>PT. Bank Index Selindo</t>
  </si>
  <si>
    <t>Rumah Tinggal</t>
  </si>
  <si>
    <t>DKI Jakarta</t>
  </si>
  <si>
    <t>Penjaminan Utang</t>
  </si>
  <si>
    <t>Gudang</t>
  </si>
  <si>
    <t>Kapal</t>
  </si>
  <si>
    <t>Laporan Keuangan</t>
  </si>
  <si>
    <t>Nilai Wajar</t>
  </si>
  <si>
    <t>Long Report</t>
  </si>
  <si>
    <t>PT. Bank Jtrust Indonesia, Tbk</t>
  </si>
  <si>
    <t>Pabrik</t>
  </si>
  <si>
    <t>Desa Sukadanau</t>
  </si>
  <si>
    <t>Jawa Barat</t>
  </si>
  <si>
    <t>Bapak Shoni (081314019063)</t>
  </si>
  <si>
    <t>PT. Bank Mandiri (Persero), Tbk</t>
  </si>
  <si>
    <t>Tanah dan Bangunan (Kontrakan)</t>
  </si>
  <si>
    <t>Kota Tanggerang</t>
  </si>
  <si>
    <t>PT. Bank Syariah Indonesia, Tbk</t>
  </si>
  <si>
    <t>Tanah dan Bangunan</t>
  </si>
  <si>
    <t>Agung Wicaksono (Penilai), Amri Simbolon (Pelaksana Inspeksi)</t>
  </si>
  <si>
    <t>Tanah dan Bangunan Kantor</t>
  </si>
  <si>
    <t>Kota Jakarta Barat</t>
  </si>
  <si>
    <t>Tanah dan Bangunan Gudang</t>
  </si>
  <si>
    <t>Tanah dan Bangunan (kantor)</t>
  </si>
  <si>
    <t>Ruko</t>
  </si>
  <si>
    <t>Kota Jakarta Selatan</t>
  </si>
  <si>
    <t>202,5</t>
  </si>
  <si>
    <t>Kota Jakarta Utara</t>
  </si>
  <si>
    <t xml:space="preserve">Nilai Pasar </t>
  </si>
  <si>
    <t>Ibu Sessu (081617000821)</t>
  </si>
  <si>
    <t>21.8'</t>
  </si>
  <si>
    <t>Kab. Bekasi</t>
  </si>
  <si>
    <t>Kota Palembang</t>
  </si>
  <si>
    <t>Sumatra Selatan</t>
  </si>
  <si>
    <t>Bapak Andrian (081368699168)</t>
  </si>
  <si>
    <t>Kota Bandung</t>
  </si>
  <si>
    <t>Tanah dan Bangunan (Kantor)</t>
  </si>
  <si>
    <t>Kota Makassar</t>
  </si>
  <si>
    <t>Sulawesi Selatan</t>
  </si>
  <si>
    <t>Kota Jakarta Pusat</t>
  </si>
  <si>
    <t>Kec.Kebayoran Lama</t>
  </si>
  <si>
    <t>Rukan</t>
  </si>
  <si>
    <t>Kel. Pondok Pucung</t>
  </si>
  <si>
    <t>Kota Tanggerang Selatan</t>
  </si>
  <si>
    <t>Kota Denpasar</t>
  </si>
  <si>
    <t>Bali</t>
  </si>
  <si>
    <t>Kota Balikpapan</t>
  </si>
  <si>
    <t>Kalimantan Timur</t>
  </si>
  <si>
    <t>Kota Semarang</t>
  </si>
  <si>
    <t>Kantor</t>
  </si>
  <si>
    <t>Kota Manado</t>
  </si>
  <si>
    <t>Sulawesi Utara</t>
  </si>
  <si>
    <t>Kota Bekasi</t>
  </si>
  <si>
    <t>Kel. Kramat Pela</t>
  </si>
  <si>
    <t xml:space="preserve">Agen </t>
  </si>
  <si>
    <t>Kota Surabaya</t>
  </si>
  <si>
    <t>Jawa Timur</t>
  </si>
  <si>
    <t>Rusun Hunian</t>
  </si>
  <si>
    <t>Kab. Bogor</t>
  </si>
  <si>
    <t>Tanah dan Bangunan (kontrakan)</t>
  </si>
  <si>
    <t xml:space="preserve">1
1
1
1
</t>
  </si>
  <si>
    <t>Kendaraan</t>
  </si>
  <si>
    <t>Unit
Unit
Unit
Unit</t>
  </si>
  <si>
    <t>Jual Beli</t>
  </si>
  <si>
    <t>Rizka Rahmat Herdanto (Penilai), Amri Simbolon (Pelaksana Inspeksi)</t>
  </si>
  <si>
    <t>agen</t>
  </si>
  <si>
    <t>00001/RBY-PPJP/BKS/I/2023</t>
  </si>
  <si>
    <t>00001/2.0144-01/PI/07/0612/1/I/2023</t>
  </si>
  <si>
    <t>Jalan Agung Utara Raya Blok A-36 D Kav. No.54</t>
  </si>
  <si>
    <t>Kel. Sunter Agung</t>
  </si>
  <si>
    <t>Kec. Tanjung Priok</t>
  </si>
  <si>
    <t>Jalan Agung Utara Raya, Kel. Sunter Agung, Kec. Tanjung Priok, Kota Jakarta Utara, Prov. DKI Jakarta</t>
  </si>
  <si>
    <t>Bapak David (081319231818)</t>
  </si>
  <si>
    <t>Ibu Lisa (081510105778)</t>
  </si>
  <si>
    <t>2 Unit Rukan</t>
  </si>
  <si>
    <t>Bapak Hardy (081385587008)</t>
  </si>
  <si>
    <t>Rizka Rahmat Herdanto (Penilai), Richard Barus (Pelaksana Inspeksi)</t>
  </si>
  <si>
    <t>00055/RBY-PPJP/BKS/I/2022</t>
  </si>
  <si>
    <t>00002/2.0144-01/PI/07/0612/1/I/2023</t>
  </si>
  <si>
    <t>Koperasi Konsumen Warga Semen Gresik (KWSG)</t>
  </si>
  <si>
    <t>FN527ML (6x4) M/T (No. Polis A9240 RM)</t>
  </si>
  <si>
    <t>Unit</t>
  </si>
  <si>
    <t xml:space="preserve">PT. Sadulur Berkah Makmur </t>
  </si>
  <si>
    <t>Jalan Lingkar Selatan Cilegon Km. 2 Kp. Larangan</t>
  </si>
  <si>
    <t>Desa Harjatani</t>
  </si>
  <si>
    <t>Kec. Kramatwatu</t>
  </si>
  <si>
    <t>Kab. Serang</t>
  </si>
  <si>
    <t>Pelaporan Keuangan</t>
  </si>
  <si>
    <t>A 9240 RM</t>
  </si>
  <si>
    <t>Tronton Dump</t>
  </si>
  <si>
    <t>N-06690254</t>
  </si>
  <si>
    <t>TJ Mortir, Bekasi, Jalan Inspeksi Kalimalang No.168</t>
  </si>
  <si>
    <t>Mobil Barang</t>
  </si>
  <si>
    <t>Mitsubhisi, Tronton Dump</t>
  </si>
  <si>
    <t>Bapak Dicky (081619733709)</t>
  </si>
  <si>
    <t>Cakung, jakartan Timur</t>
  </si>
  <si>
    <t>Mitsubishi, Tronton Dump</t>
  </si>
  <si>
    <t>Bapak Anthony (081317256868)</t>
  </si>
  <si>
    <t>Pancoran, Jakarta</t>
  </si>
  <si>
    <t>Mitsibishi, Tronton Dump</t>
  </si>
  <si>
    <t>Bapak Arzz (081218618030)</t>
  </si>
  <si>
    <t>FN527ML (6x4) M/T (No. Polis A9236 RM)</t>
  </si>
  <si>
    <t>A 9236 RM</t>
  </si>
  <si>
    <t>N-06690251</t>
  </si>
  <si>
    <t>Alat Berat</t>
  </si>
  <si>
    <t>XGMA WHEEL LOADER</t>
  </si>
  <si>
    <t>Surabaya</t>
  </si>
  <si>
    <t>Bapak Rey (081331982799)</t>
  </si>
  <si>
    <t>Sumatera Selatan</t>
  </si>
  <si>
    <t>Tractor Truck (082365692888)</t>
  </si>
  <si>
    <t>Jakarta Timur</t>
  </si>
  <si>
    <t>Bapak Manan (081385189222)</t>
  </si>
  <si>
    <t>00059/RBY-PPJP/BKS/I/2022</t>
  </si>
  <si>
    <t>00003/2.0144-01/PI/07/0612/1/I/2023</t>
  </si>
  <si>
    <t>FM8JN1D-EGJ TRON 6X4 (No.B9926 TIS)Merk HINO Tahun 2015</t>
  </si>
  <si>
    <t>unit</t>
  </si>
  <si>
    <t>Kampung Gunung Menong</t>
  </si>
  <si>
    <t>Jalan Raya Desa Cikunir</t>
  </si>
  <si>
    <t>Desa Cikunir</t>
  </si>
  <si>
    <t>Kec. Singaparna</t>
  </si>
  <si>
    <t>Kab. Tasikmalaya</t>
  </si>
  <si>
    <t>B 9926 TIS</t>
  </si>
  <si>
    <t>DUMPER TR TRO</t>
  </si>
  <si>
    <t>Q070920496</t>
  </si>
  <si>
    <t>Jakarta Barat, Kec. Cengkareng, Kota. Jakarta Barat, Prov. DKI Jakarta</t>
  </si>
  <si>
    <t>Dump Truck</t>
  </si>
  <si>
    <t>HINO, DUMPER TR TRO</t>
  </si>
  <si>
    <t>Bapak Rantau (085270508658)</t>
  </si>
  <si>
    <t>Kramat Pela</t>
  </si>
  <si>
    <t>Hino, Dumper TR TRO</t>
  </si>
  <si>
    <t>Bapak Alang  Wijaya SE (081343631837)</t>
  </si>
  <si>
    <t>Klapa Nunggal</t>
  </si>
  <si>
    <t>Rizka Rahmat Herdanto (Penilai),Robbi Sugara Ginting (Pelaksana Inspeksi)</t>
  </si>
  <si>
    <t>Exacavator Model 320D2 Merk CATERPILLAR Tahun 2016</t>
  </si>
  <si>
    <t>Jalan Tutugan Pasir Laku</t>
  </si>
  <si>
    <t>Desa Margaluyu</t>
  </si>
  <si>
    <t>Kec. Leles</t>
  </si>
  <si>
    <t>Kab. Garut</t>
  </si>
  <si>
    <t>320D2</t>
  </si>
  <si>
    <t>jalan Cakung Celincing, Kel. Cakung Timur, Kec.Cakung, Kota Jakarta Timur, Prov. Jakarta Timur</t>
  </si>
  <si>
    <t>EXACAVATOR</t>
  </si>
  <si>
    <t>CATERPILLAR, 320D2</t>
  </si>
  <si>
    <t>Bapak Manan S (081385189222)</t>
  </si>
  <si>
    <t>Jalan Cakung Drainase, Kel. Sukapura, Kec. Clincing, Kota Jakarta Utara, Prov. DKI Jakarta</t>
  </si>
  <si>
    <t>Bapak Manshurin Sentosa (081347243354)</t>
  </si>
  <si>
    <t>Jalan Cakung Clincing, Kel. Cakung Timur, Kec. Cakung Timur, Kota Jakarta Timur, Prov. DKI Jakarta</t>
  </si>
  <si>
    <t>Bapak Tiyo (081315973888)</t>
  </si>
  <si>
    <t>00056/RBY-PPJP/BKS/I/2022</t>
  </si>
  <si>
    <t>00004/2.0144-01/PI/07/0612/1/I/2023</t>
  </si>
  <si>
    <t>Toyota Fortuner 2.5G AT 2013</t>
  </si>
  <si>
    <t>D44 KA</t>
  </si>
  <si>
    <t>Jeep, Fortuner 2.5 G AT</t>
  </si>
  <si>
    <t>L 00334752</t>
  </si>
  <si>
    <t>Jalan Raya Cileduk, Desa Pondok Jaya, Kec. Pondok Aren, Kab. Tanggerang, Prov. Banten</t>
  </si>
  <si>
    <t>Minibus</t>
  </si>
  <si>
    <t>Toyota, Jeep</t>
  </si>
  <si>
    <t>Bapak Freddy (081315099935)</t>
  </si>
  <si>
    <t>Cengkareng, Desa Rawa Buaya, Kec. Cengkareng, Kota Jakarta Barat,  Prov. DKI Jakarta</t>
  </si>
  <si>
    <t>Bapak Antoni (085921465419)</t>
  </si>
  <si>
    <t>Rawa Buaya, Kel. Rawa Buaya, Kec. Cengkareng, Kota jakarta Barat, Prov. DKI Jakarta</t>
  </si>
  <si>
    <t>Bapak Ami</t>
  </si>
  <si>
    <t>Toyot Innova G AT DSL 2014</t>
  </si>
  <si>
    <t>Z1084 TF</t>
  </si>
  <si>
    <t>Minibus, Innova G AT DSL</t>
  </si>
  <si>
    <t>P08035686</t>
  </si>
  <si>
    <t>Baratjaya, Kec. Sidoarjo, Kota Surabaya, Prov. Jawa Timur</t>
  </si>
  <si>
    <t>Toyota, Minibus</t>
  </si>
  <si>
    <t>Bapak Sugeng (082333698899)</t>
  </si>
  <si>
    <t>Pademangan, Kec. Pademangan, Kota Jakarta Utara, Prov. DKI Jakarta</t>
  </si>
  <si>
    <t>Bapak Ocki (0877772588834)</t>
  </si>
  <si>
    <t>Cisauk, Kec. Cisauk, Kota Tanggerang, Prov. Banten</t>
  </si>
  <si>
    <t>Bapak Yayan Nur (08966125509)</t>
  </si>
  <si>
    <t>Toyota Innova 2.4 G a/T DSL 2016</t>
  </si>
  <si>
    <t>D1324 AEV</t>
  </si>
  <si>
    <t>Minibus, Innova 2.4 G A/T DSL</t>
  </si>
  <si>
    <t>M14274114</t>
  </si>
  <si>
    <t>Cempaka Putih, Kec. Cempaka Putih, Kota Jakarta Timur, Prov. DKI Jakarta</t>
  </si>
  <si>
    <t>Achmad Irsyad (085757909788)</t>
  </si>
  <si>
    <t>Mobil 88</t>
  </si>
  <si>
    <t>Gayamsari, Kec. Gayamsari, Kab. Semarang,  Prov. Jawa Tengah</t>
  </si>
  <si>
    <t>Bapak Rifki Bayu (085327706666)</t>
  </si>
  <si>
    <t>Bintaro, Kec. Bintaro, Kota Jakarta Selatan, Porv. DKI Jakarta</t>
  </si>
  <si>
    <t>Bapak Lucky (085697222227)</t>
  </si>
  <si>
    <t>00057/RBY-PPJP/BKS/I/2022</t>
  </si>
  <si>
    <t>00005/2.0144-01/PI/07/0612/1/I/2023</t>
  </si>
  <si>
    <t>Tanah dan Bangunan (Gudang)</t>
  </si>
  <si>
    <t>Jalan Raya Kletek</t>
  </si>
  <si>
    <t>Desa Kletek</t>
  </si>
  <si>
    <t>Kec. Taman</t>
  </si>
  <si>
    <t>Kab. Sidoarjo</t>
  </si>
  <si>
    <t>Jalan Raya Geluran, Desa Geluran, Kec. Taman, Kab. Sidoarjo, Prov. Jawa TImur</t>
  </si>
  <si>
    <t>Bapak Dicky (081234564021)</t>
  </si>
  <si>
    <t>Jalan Raya Gilang- Kletek, Desa Gilang Selatan, Gilang, Kec. Taman, Kab. Sidoarjo, Prov. Jawa TImur</t>
  </si>
  <si>
    <t>Bapak Karta'I (0895339285177)</t>
  </si>
  <si>
    <t>Bapak Bima (081259607777)</t>
  </si>
  <si>
    <t>00014/RBY-PPJP/BKS/I/2023</t>
  </si>
  <si>
    <t>00007/2.0144-01/PI/07/0612/1/I/2023</t>
  </si>
  <si>
    <t>Ruko Permata Niaga 3, Taman Royal 1</t>
  </si>
  <si>
    <t>Jalan Permata Raya, No. 5 RT.007 RW.015</t>
  </si>
  <si>
    <t>Kel. Tanah Tinggi</t>
  </si>
  <si>
    <t>Kec. Tanggerang</t>
  </si>
  <si>
    <t>Ruko Permata Niaga 3, Taman Royal 1, Jalan Permata Raya, No.23 RT. 007, RW. 015, Kel Tanah Tinggi, Kel. Tanggerang, Kota Tanggerang, Prov. Banten</t>
  </si>
  <si>
    <t>Bapak Adi (081386212015)</t>
  </si>
  <si>
    <t>Ruko Mahoni Niaga Center, Taman Royal 1, Jalan Permata Raya, No.77 RT. 007, RW. 015, Kel Tanah Tinggi, Kel. Tanggerang, Kota Tanggerang, Prov. Banten</t>
  </si>
  <si>
    <t>Bapak Jeffri (0821752222220)</t>
  </si>
  <si>
    <t>Ruko Fortune, Taman Royal 1, Jalan Permata Raya, No.29 RT. 007, RW. 015, Kel Tanah Tinggi, Kel. Tanggerang, Kota Tanggerang, Prov. Banten</t>
  </si>
  <si>
    <t>Ibu Sofi (081319011116)</t>
  </si>
  <si>
    <t>00012/RBY-PPJP/BKS/I/2023</t>
  </si>
  <si>
    <t>PT. Kencana Tiara Gemilang</t>
  </si>
  <si>
    <t>Tanah dan Bangunan Pabrik</t>
  </si>
  <si>
    <t>Jalan Raya Surabaya-Malang KM 77 RT.001 RW. 05</t>
  </si>
  <si>
    <t xml:space="preserve">Desa Ardimulyo </t>
  </si>
  <si>
    <t>Kec. Singosari</t>
  </si>
  <si>
    <t xml:space="preserve">Kab. Malang </t>
  </si>
  <si>
    <t>Jalan Raya Surabaya-Malang, Desa Ardimulyo, Kec. Singosari, Kab. Malang, Prov. Jawa Timur</t>
  </si>
  <si>
    <t>Ibu Fely (082223253316)</t>
  </si>
  <si>
    <t>Ibu Fany (08113060979)</t>
  </si>
  <si>
    <t>Bapak Putra Gondo (085103808989)</t>
  </si>
  <si>
    <t>Rizka Rahmat Herdanto (Penilai) , Richard Barus &amp; Robbi Sugara Ginting (Pelaksana Inspeksi)</t>
  </si>
  <si>
    <t>00018/RBY-PPJP/BKS/II/2023</t>
  </si>
  <si>
    <t>00008/2.0144-01/PI/07/0612/1/II/2023</t>
  </si>
  <si>
    <t>Kawasan Industri Jababeka I</t>
  </si>
  <si>
    <t>Jalan Jababeka XVI Blok V 42 &amp;43</t>
  </si>
  <si>
    <t>Desa Karang Baru</t>
  </si>
  <si>
    <t>Kec. Cikarang Utara</t>
  </si>
  <si>
    <t>Kawasan Industri Jababeka I, Jalan Jababeka V, Desa. Karang Baru, Kec. Cikarang Utara, Kab. Bekasi, Prov. Jawa Barat</t>
  </si>
  <si>
    <t>Ibu Chika (081223725575)</t>
  </si>
  <si>
    <t>Kawasan Industri Jababeka I, Jalan Jababeka XI, Desa. Karang Baru, Kec. Cikarang Utara, Kab. Bekasi, Prov. Jawa Barat</t>
  </si>
  <si>
    <t>Bapak Jimmy (081287216158)</t>
  </si>
  <si>
    <t>Kawasan Industri Jababeka I, Jalan Jababeka X, Desa. Karang Baru, Kec. Cikarang Utara, Kab. Bekasi, Prov. Jawa Barat</t>
  </si>
  <si>
    <t>Ibu Nabila (081299089968)</t>
  </si>
  <si>
    <t>Richard Barus &amp; Robbi Sugara Ginting (Pelaksana Inspeksi)</t>
  </si>
  <si>
    <t>0003/RBY-PPJP/BKS/II/2023</t>
  </si>
  <si>
    <t>00009/2.0144-01/PI/07/0612/1/II/2023</t>
  </si>
  <si>
    <t>PT. Cosmocean Samudra Pasifik</t>
  </si>
  <si>
    <t>Kapal Oil Tanker "S Kylian"</t>
  </si>
  <si>
    <t>Pantai Kampe Banyuwangi</t>
  </si>
  <si>
    <t>Desa Bengkak</t>
  </si>
  <si>
    <t>Kec. Wongsorejo</t>
  </si>
  <si>
    <t>Kab. Banyuwangi</t>
  </si>
  <si>
    <t>Oil tanker</t>
  </si>
  <si>
    <t>Oil Tanker</t>
  </si>
  <si>
    <t>Agung Wicaksono (Penilai)</t>
  </si>
  <si>
    <t>0006/RBY-PPJP/BKS/II/2023</t>
  </si>
  <si>
    <t>00010/2.0144-01/PI/07/0612/1/II/2023</t>
  </si>
  <si>
    <t>Tanah dan Bangunan Toko</t>
  </si>
  <si>
    <t>Jalan Sangego Raya No. 6 RT.002 RW.005</t>
  </si>
  <si>
    <t>Kel. Koang Jaya</t>
  </si>
  <si>
    <t>Kec. Karawaci</t>
  </si>
  <si>
    <t>Niali Pasar</t>
  </si>
  <si>
    <t>Sangego Raya No.4 RT.002 RW.005, Kel. Koang Jaya, Kec. Karawaci, Kota Tanggerang, Prov. Banten</t>
  </si>
  <si>
    <t>Bapak Rudi (0818800703)</t>
  </si>
  <si>
    <t>Sangego Raya No.8 RT.002 RW.005, Kel. Koang Jaya, Kec. Karawaci, Kota Tanggerang, Prov. Banten</t>
  </si>
  <si>
    <t>Ibu Tini (0878717777289)</t>
  </si>
  <si>
    <t>bayur, Kel. Priuk Jaya, Kec. Priuk, Kota Tanggerang, Prov. Banten</t>
  </si>
  <si>
    <t>Ibu Novi (087784201007)</t>
  </si>
  <si>
    <t>00017/RBY-PPJP/BKS/II/2023</t>
  </si>
  <si>
    <t>00011/2.0144-01/PI/07/0612/1/II/2023</t>
  </si>
  <si>
    <t>Toyota Dyna 130 HT Tahun 2011</t>
  </si>
  <si>
    <t>PT. Sentral Beton Nusantara</t>
  </si>
  <si>
    <t>Jalan Lingkar Selatan</t>
  </si>
  <si>
    <t>Desa Sukamanah</t>
  </si>
  <si>
    <t>Kec. Karangtengah</t>
  </si>
  <si>
    <t xml:space="preserve">Kab. Cianjur </t>
  </si>
  <si>
    <t>Pejaminan Utang</t>
  </si>
  <si>
    <t>D8965 XR</t>
  </si>
  <si>
    <t>Light Truck Dump, Dyna 130 HT</t>
  </si>
  <si>
    <t>L000846458</t>
  </si>
  <si>
    <t>Gunung Sindur, Bogor</t>
  </si>
  <si>
    <t>Toyota, Light Truck Dump</t>
  </si>
  <si>
    <t>Bapak Asep (087784340889)</t>
  </si>
  <si>
    <t>Pemilik</t>
  </si>
  <si>
    <t>Sleman</t>
  </si>
  <si>
    <t>Toyota</t>
  </si>
  <si>
    <t>Bapak Poniran (085701449519)</t>
  </si>
  <si>
    <t>Tambun-Bekasi</t>
  </si>
  <si>
    <t>Taruna Jaya Motor (081290070200)</t>
  </si>
  <si>
    <t>FORD EVEREST 2.5L 10-S MT Tahun 2008</t>
  </si>
  <si>
    <t>B 1470 ZL</t>
  </si>
  <si>
    <t>Micro/Minibus, Ford</t>
  </si>
  <si>
    <t>3C1202E5YW2.A</t>
  </si>
  <si>
    <t>Bandung</t>
  </si>
  <si>
    <t>Ford, Micro/ Minibus</t>
  </si>
  <si>
    <t>Bapak Agustaf Morlan Siahaan (08119050070)</t>
  </si>
  <si>
    <t>Kebagusan 3/ Waru No.30a</t>
  </si>
  <si>
    <t>Bapak Bram (081318421151)</t>
  </si>
  <si>
    <t>Kebayoran Lama</t>
  </si>
  <si>
    <t>Bapak Winson (08176055238)</t>
  </si>
  <si>
    <t>0007/RBY-PPJP/BKS/II/2023</t>
  </si>
  <si>
    <t>00012/2.0144-01/PI/07/0612/1/II/2023</t>
  </si>
  <si>
    <t>PT. Rajawali Lintas Kreasi</t>
  </si>
  <si>
    <t>Jalan Bojonegoro No.3</t>
  </si>
  <si>
    <t>Kel. Menteng</t>
  </si>
  <si>
    <t>Kec. Menteng</t>
  </si>
  <si>
    <t>Jalan Sindanglaya, Kel. Menteng, Kec. Menteng, Kota Jakarta Pusat, Prov. DKI Jakarta</t>
  </si>
  <si>
    <t>Ibu Ardila (081287776761)</t>
  </si>
  <si>
    <t>Jalan Ki Mangunsarkono, Kel. Menteng, Kec. Menteng, Kota Jakarta Pusat, Prov. DKI Jakarta</t>
  </si>
  <si>
    <t>Bapak Mean Tambunan (08999171771)</t>
  </si>
  <si>
    <t>Jalan Sukabumi, Kel. Menteng, Kec. Menteng, Kota Jakarta Pusat, Prov. DKI Jakarta</t>
  </si>
  <si>
    <t>Bapak Gelora Sokarno (08114117118)</t>
  </si>
  <si>
    <t>Rizka Rahmat Herdanto (Penilai),Amri Simbolon (Pelaksana Inspeksi)</t>
  </si>
  <si>
    <t>Jalan Raya Kelapa Dua Wetan No.25 RT.007 RW.04</t>
  </si>
  <si>
    <t>Kel. Kelapa Dua Wetan</t>
  </si>
  <si>
    <t>Kec. Ciracas</t>
  </si>
  <si>
    <t>Kota Jakarta Timur</t>
  </si>
  <si>
    <t>Jalan Raya Kelapa Dua Wetan, Kel. Kelapa Dua Wetan, Kec. Ciracas, Kota Jakarta Timur, Prov. DKI Jakarta</t>
  </si>
  <si>
    <t>Ibu Esther (081519084006)</t>
  </si>
  <si>
    <t>Jalan Raya Kelapa Dua Wetan No.36, Kel. Kelapa Dua Wetan, Kec. Ciracas, Kota Jakarta Timur, Prov. DKI Jakarta</t>
  </si>
  <si>
    <t>Ibu Nilda (081314308638)</t>
  </si>
  <si>
    <t>00019/RBY-PPJP/BKS/I/2023</t>
  </si>
  <si>
    <t>00013/2.0144-01/PI/`0/0612/1/II/2023</t>
  </si>
  <si>
    <t>Jalan Jababeka XIV Kav. J-5R</t>
  </si>
  <si>
    <t>Desa Harjamekar</t>
  </si>
  <si>
    <t>jawa Barat</t>
  </si>
  <si>
    <t>Kawasan Industri Jababeka I, Jalan Jababeka XIA Kav K-5, Desa. Harjamekar, Kec. Cikarang Utara, Kab. Bekasi, Prov. Jawa Barat</t>
  </si>
  <si>
    <t>Bapak Marihot (081317859690)</t>
  </si>
  <si>
    <t>Kawasan Industri Jababeka I, Jalan Jababeka IV E -5, Desa. Karang Baru, Kec. Cikarang Utara, Kab. Bekasi, Prov. Jawa Barat</t>
  </si>
  <si>
    <t>Kawasan Industri Jababeka I, Jalan Jababeka II, Desa. Harjamekar, Kec. Cikarang Utara, Kab. Bekasi, Prov. Jawa Barat</t>
  </si>
  <si>
    <t>Ibu Yenly Wijaya (081284546189)</t>
  </si>
  <si>
    <t>Agung Wicaksono (Penilai), Richard Barus &amp; Robbi Sagara Ginting ( Pelaksana Inspeksi)</t>
  </si>
  <si>
    <t>00030/RBY-PPJP/BKS/II/2023</t>
  </si>
  <si>
    <t>00014/2.0144-01/PI/07/0612/1/III/2023</t>
  </si>
  <si>
    <t>PT. Garudafood Putra Putri jaya, Tbk</t>
  </si>
  <si>
    <t>Gedung Perkantoran Wisma 2 Garudafood Lantai 3,5</t>
  </si>
  <si>
    <t>Jalan Bintaro Raya No.10A RT. 003 RW. 010</t>
  </si>
  <si>
    <t>Kel. Kebayoran Lama Utara</t>
  </si>
  <si>
    <t>Nilai Sewa Pasar</t>
  </si>
  <si>
    <t>Graha Adhi Media, Jalan Deplu Raya No. 6 RT.01 RW. 03, Kel. Pesanggarahan, Kec. Pesanggrahan, Kota Jakarta Selatan, Prov. DKI Jakarta</t>
  </si>
  <si>
    <t>Ibu Kirina (0811822173)</t>
  </si>
  <si>
    <t>Graha Pena, Jalan Bang Pitung No. 12 RT.06 RW. 01, Kel. Grogol Utara, Kec. Kebayoran Lama, Kota Jakarta Selatan, Prov. DKI Jakarta</t>
  </si>
  <si>
    <t>Bapak (081319526853)</t>
  </si>
  <si>
    <t>Pondok Indah Office Tower 1, Jalan Sultan Iskandar Muda No.29 RT. 04 RW. 03,Kel. Pondok Pinang, Kec. Kebayoran Lama, Kota Jakarta Selatan, Prov DKI Jakarta</t>
  </si>
  <si>
    <t>Bapak Panji (085814288429)</t>
  </si>
  <si>
    <t>Amri Simbolon (Penilai), Richard Barus (Pelaksana Inspeksi)</t>
  </si>
  <si>
    <t>Jalan Tembesu No.5</t>
  </si>
  <si>
    <t>Kel. Campang Raya</t>
  </si>
  <si>
    <t>Kec. Sukabumi</t>
  </si>
  <si>
    <t>Kota Bandar Lampung</t>
  </si>
  <si>
    <t>Lampung</t>
  </si>
  <si>
    <t>Nilai Pasar Sewa</t>
  </si>
  <si>
    <t>Jalan Tembesu, Kel. Campang Raya, Kec. Sukabumi, Kota Bandar Lampung, Prov. Lampung</t>
  </si>
  <si>
    <t>Bapak Cristian (081239932399)</t>
  </si>
  <si>
    <t>Jalan Tembesu 4, Kel. Campang Raya, Kec. Sukabumi, Kota Bandar Lampung, Prov. Lampung</t>
  </si>
  <si>
    <t>Bapak Yudi (0811796516)</t>
  </si>
  <si>
    <t>Jalan Alimudin Umar, Kel. Campang Raya, Kec. Sukabumi, Kota Bandar Lampung, Prov. Lampung</t>
  </si>
  <si>
    <t>Agent Property (081269613466)</t>
  </si>
  <si>
    <t>Agen Property</t>
  </si>
  <si>
    <t>Agung Wicakson (Penilai)</t>
  </si>
  <si>
    <t>00034/RBY-PPJP/BKS/II/2023</t>
  </si>
  <si>
    <t>00015/2.0144-01/PI/07/0612/1/III/2023</t>
  </si>
  <si>
    <t>Perusahaan Umum Daerah Pasar Tohaga</t>
  </si>
  <si>
    <t>Kantor Pelayanan Negara dan Lelang (KPKNL) Bogor</t>
  </si>
  <si>
    <t>Toyota Kijang Innova G (No. Polisi F 1196 MB Tahun 2010)
Toyota Kijang Innova G (No. Polisi F 1196 LP Tahun 2012)
Toyota Avanza 1300 G (No. Polisi F 1532 ME Tahun 2011)
Toyota Rush 1.5S MT ( No. Polisi F 1027 LH Tahun 2012)</t>
  </si>
  <si>
    <t>Kantor PD. Pasar Tohaga, Komplek Ruko GOR Pakansari No.4-5</t>
  </si>
  <si>
    <t xml:space="preserve">Jalan Edi Yoso Martadipura </t>
  </si>
  <si>
    <t>Kel. Pakansari</t>
  </si>
  <si>
    <t>Kec. Cibinong</t>
  </si>
  <si>
    <t>Kepentingan Lelang</t>
  </si>
  <si>
    <t>F 1196 MB</t>
  </si>
  <si>
    <t>Minibus/Kijang Innvoa G</t>
  </si>
  <si>
    <t>H-0 1390497</t>
  </si>
  <si>
    <t>Star Auto Cempaka Putih</t>
  </si>
  <si>
    <t>Toyota/Minibus</t>
  </si>
  <si>
    <t>Bapak Junianto (082114490670)</t>
  </si>
  <si>
    <t>Agung Mobilindo, Palmerah Barat 9 RT.06 RW. 09</t>
  </si>
  <si>
    <t>Toyota/ Minibus</t>
  </si>
  <si>
    <t>Bapak Agung (081311227742)</t>
  </si>
  <si>
    <t>Medan Satria Bekasi</t>
  </si>
  <si>
    <t>Bapak Setiawan Arif (081318162029)</t>
  </si>
  <si>
    <t>Kab Bogor</t>
  </si>
  <si>
    <t>F1893 LP</t>
  </si>
  <si>
    <t>Minibus/Kijang Innvoa G (TGN40R-GKMDKD)</t>
  </si>
  <si>
    <t>I-0 9482322</t>
  </si>
  <si>
    <t>Gajah Mada No.30 RT.002 RW. 001 Cipete</t>
  </si>
  <si>
    <t>Ibu Nita (085756008868)</t>
  </si>
  <si>
    <t>Flamboyan 2 Blok CB 3 No.1, Bekasi</t>
  </si>
  <si>
    <t>Bapak Iki Arifa (081290098262)</t>
  </si>
  <si>
    <t>Bapak Rizky (081317037141)</t>
  </si>
  <si>
    <t>F 1532 ME</t>
  </si>
  <si>
    <t>Minibus/ Avanza 1300 G (F601RM GMMFJJ)</t>
  </si>
  <si>
    <t>H-1 1498349</t>
  </si>
  <si>
    <t>Magga Dua Square, Gunung Sahari Raya No.1</t>
  </si>
  <si>
    <t>Bapak willy Darmawan (0818169848)</t>
  </si>
  <si>
    <t>Cilandak,</t>
  </si>
  <si>
    <t>Bapak Gacha (083133957158)</t>
  </si>
  <si>
    <t>Kembangan, Jakarta Barat</t>
  </si>
  <si>
    <t>Bapak Baron (081296017277)</t>
  </si>
  <si>
    <t>F 1027 LH</t>
  </si>
  <si>
    <t>Minibus/ Rush 1.5S MT (F700RE-GMMFJ)</t>
  </si>
  <si>
    <t>I-1 0462383</t>
  </si>
  <si>
    <t>Tepos, Depok</t>
  </si>
  <si>
    <t>Bapak Rafka (081389633843)</t>
  </si>
  <si>
    <t>Tambun, Bekasi Utara</t>
  </si>
  <si>
    <t>Bapak Burhan (081282471200)</t>
  </si>
  <si>
    <t>Bogor Kota</t>
  </si>
  <si>
    <t>Bapak Indra (085700001008)</t>
  </si>
  <si>
    <t>00033/RBY-PPJP/BKS/II/2023</t>
  </si>
  <si>
    <t>00016/2.0144-01/PI/07/0612/1/III/2023</t>
  </si>
  <si>
    <t>Gudang &amp; Ruko</t>
  </si>
  <si>
    <t>Pergudangan Mutiara Kosambi 1</t>
  </si>
  <si>
    <t>Jalan Mutiara Kosambi 1 Blok B3 No.8</t>
  </si>
  <si>
    <t>Desa Kosambi Timur</t>
  </si>
  <si>
    <t>Kec. Kosambi</t>
  </si>
  <si>
    <t>Kab. Tanggerang</t>
  </si>
  <si>
    <t>Pergudangan Mutiara Kosambi 1, Jalan Mutiara Kosambi 1, Desa Kosambi, Kec. Kosambi, Kab. Tanggerang Prov. Banten</t>
  </si>
  <si>
    <t>Bapak Hans (081219382168)</t>
  </si>
  <si>
    <t>Pergudangan Mutiara Kosambi 1 C8. No. 35, Jalan Mutiara Kosambi 1, Desa Kosambi, Kec. Kosambi, Kab. Tanggerang Prov. Banten</t>
  </si>
  <si>
    <t>Bapak Ariyo (081280000999)</t>
  </si>
  <si>
    <t>Amri Simbolon (Penilai), Robbi Sugara Ginting &amp; Mega Permata Sari Br Ginting (Pelaksana Inspeksi)</t>
  </si>
  <si>
    <t>Ruko Grawisa</t>
  </si>
  <si>
    <t>Jalan P. Tubagus Angke No.7 RT.002 RW.001</t>
  </si>
  <si>
    <t>Kel. Wijaya Kusuma</t>
  </si>
  <si>
    <t>Kec. Grogol Petamburan</t>
  </si>
  <si>
    <t>P. Tubagus Angke, Kel Wijaya Kusuma, Kec. Grogol Petamburan, Kota Jakarta Barat, Prov. DKI Jakarta</t>
  </si>
  <si>
    <t>Bapak Win (0818701563)</t>
  </si>
  <si>
    <t>Bapak Deng Anna (081382915378)</t>
  </si>
  <si>
    <t>Ibu Mey Kamso (0816851603)</t>
  </si>
  <si>
    <t>00024/RBY-PPJP/BKS/II/2023</t>
  </si>
  <si>
    <t>00017/2.0144-01/PI/07/0612/1/III/2023</t>
  </si>
  <si>
    <t>Jalan Kebon Besar (d/h Jalan Mesjid) No.29 D RT.RT.004 RW.005</t>
  </si>
  <si>
    <t>Kel. Gandaria Selatan</t>
  </si>
  <si>
    <t>Kec. Cilandak</t>
  </si>
  <si>
    <t>Penjamina Utalng</t>
  </si>
  <si>
    <t>Jalan Abuserin, Kel. Gandaria Selatan, Kec. Cilandak, Kota Jakarta Selatan, Prov. DKI Jakarta</t>
  </si>
  <si>
    <t>Bapak Felix (08988889168)</t>
  </si>
  <si>
    <t>Jalan Kramat Batu Dalam, Kel. Gandaria Selatan, Kec. Cilandak, Kota Jakarta Selatan, Prov. DKI Jakarta</t>
  </si>
  <si>
    <t>Bapak Sio (081932111432)</t>
  </si>
  <si>
    <t>Ibu Sari (081294635365)</t>
  </si>
  <si>
    <t>00018/2.0144-01/PI/07/0612/1/III/2023</t>
  </si>
  <si>
    <t>Jalan Wira Jasa Raya RT.010 RW.07 Blok Z.4</t>
  </si>
  <si>
    <t>Kel Cipinang Melayu</t>
  </si>
  <si>
    <t>Kec. Makasar</t>
  </si>
  <si>
    <t>Wira Jasa Raya RT.010 RW.07 Blok Z 1, Kel Cipinang Melayu, Kec. Makasar, Kota Jakarta Timur, Prov. DKI Jakarta</t>
  </si>
  <si>
    <t>Bapak Dharma (08993034011)</t>
  </si>
  <si>
    <t>Wira Bakti 1 RT.003 RW.007, Kel Cipinang Melayu, Kec. Makasar, Kota Jakarta Timur, Prov. DKI Jakarta</t>
  </si>
  <si>
    <t>Ibu Nuri (082111769672)</t>
  </si>
  <si>
    <t>Seulawah Raya RT.004 RW.007 Blok Z 1, Kel Cipinang Melayu, Kec. Makasar, Kota Jakarta Timur, Prov. DKI Jakarta</t>
  </si>
  <si>
    <t>Ibu Sari Ratna (0817191298)</t>
  </si>
  <si>
    <t>Amri Simbolon (Penilai), Robbi Sugara Ginting (Pelaksana Inspeksi)</t>
  </si>
  <si>
    <t>00019/2.0144-01/PI/07/0612/1/III/2023</t>
  </si>
  <si>
    <t xml:space="preserve">PerKav. TNI AL </t>
  </si>
  <si>
    <t>Jalan Selat Bali Blok E.11/1 RT.004 RW 017</t>
  </si>
  <si>
    <t>Kel. Duren Sawit</t>
  </si>
  <si>
    <t>Kec. Duren Sawit</t>
  </si>
  <si>
    <t>Teluk Langsa 2 No. 6 RT. 006 RW.017, Kel. Duren Sawit, Kec. Duren Sawit, Kota Jakarta Timur, Prov. DKI Jakarta</t>
  </si>
  <si>
    <t>Bapak Hamzah (085814160006)</t>
  </si>
  <si>
    <t>Selat Selayar No. G10 RT 003 RW. 17, Kel. Duren Sawit, Kec. Duren Sawit, Kota Jakarta Timur, Prov. DKI Jakarta</t>
  </si>
  <si>
    <t>Bapak Azmi Fitra (0811168008)</t>
  </si>
  <si>
    <t>Selat Makasar No. E9 RT. 005 RW.017, Kel. Duren Sawit, Kec. Duren Sawit, Kota Jakarta Timur, Prov. DKI Jakarta</t>
  </si>
  <si>
    <t>Bapak Rachaman Alatas (085692128484)</t>
  </si>
  <si>
    <t>0004/RBY-PPJP/BKS/I/2023</t>
  </si>
  <si>
    <t>00020/2.0144-01/PI/07/0612/1/III/2023</t>
  </si>
  <si>
    <t>PT. Cakrawala Golfindo</t>
  </si>
  <si>
    <t>PT. Bank Tabungan Negara (Persero), Tbk (Commercial Banking Centre Jakarta Raya</t>
  </si>
  <si>
    <t>Perumahan Pondok Golf Asri</t>
  </si>
  <si>
    <t>Kel. Kebon Dalem</t>
  </si>
  <si>
    <t>Kec. Purwakarta</t>
  </si>
  <si>
    <t>Kota Cilegon</t>
  </si>
  <si>
    <t>Perumahan Pondok Golf Asri, Jalan Blok D No.5, Kel. Kebon Dalem, Kec. Purwakarta, Kota Cilegon, Prov. Banten</t>
  </si>
  <si>
    <t>Ibu Wina (089691069610)</t>
  </si>
  <si>
    <t>Perumahan Pondok Golf Asri, Kel. Kebon Dalem, Kec. Purwakarta, Kota Cilegon, Prov. Banten</t>
  </si>
  <si>
    <t>Bapak Rio (083812917710)</t>
  </si>
  <si>
    <t>Bapak Yoka (087808537758)</t>
  </si>
  <si>
    <t>Agung Wicaksono (Penilai), Richard Barus (Pelaksana Inspeksi)</t>
  </si>
  <si>
    <t>00044/RBY-PPJP/BKS/I/2023</t>
  </si>
  <si>
    <t>00021/2.0144-01/PI/07/0612/1/III/2023</t>
  </si>
  <si>
    <t>39,11</t>
  </si>
  <si>
    <t>Rumah Susun Komersial Campuran The Mansion at Dukuh Golf Kemayoran Cluster Bougenville Tower Emerald</t>
  </si>
  <si>
    <t>Jalan Landas Pacu Utama Utara Selatan Blok D-IX-A, Kemayoran Lantai 29 No. BE-29N1</t>
  </si>
  <si>
    <t>Kel. Pademangan Timur</t>
  </si>
  <si>
    <t>Kec. Pademangan</t>
  </si>
  <si>
    <t>Rumah Susun Komersial Campuran The Mansion at Dukuh Golf Kemayoran Cluster Bougenville Tower Emerald, Jalan Landas Pacu Utama Utara Selatan Blok D-IX-A, Kemayoran, Kel.Pademangan Timur, Kec. Pademangan, Kota Jakarta Utara, Prov. DKI Jakarta</t>
  </si>
  <si>
    <t>Bapak Jason (081808881676)</t>
  </si>
  <si>
    <t>Ibu Ling (088210947399)</t>
  </si>
  <si>
    <t>Ibu Milla (081296139780)</t>
  </si>
  <si>
    <t>00050/RBY-PPJP/BKS/X/2023</t>
  </si>
  <si>
    <t>00022/2.0144-01/PI/07/0612/1/III/2023</t>
  </si>
  <si>
    <t>PT. Bank JTrust Indonesia, Tbk</t>
  </si>
  <si>
    <t>Taman Century 1</t>
  </si>
  <si>
    <t>Jalan Caliandra Blok L No. 1&amp;2 RT.003 RW.020</t>
  </si>
  <si>
    <t>Kel.Pekayon</t>
  </si>
  <si>
    <t>Kec. Bekasi Selatan</t>
  </si>
  <si>
    <t>Taman Century 1, Jalan Caliandra Blok F No.11, Kel Pekayon, Kec. Bekasi Selatan, Kota Bekasi, Prov, Jawa barat</t>
  </si>
  <si>
    <t>Bapak Paskal (081281073927)</t>
  </si>
  <si>
    <t>Taman Century 1, Jalan Caliandra Blok, Kel Pekayon, Kec. Bekasi Selatan, Kota Bekasi, Prov, Jawa barat</t>
  </si>
  <si>
    <t>Ibu Widya (087887270475)</t>
  </si>
  <si>
    <t>Taman Century 1, Jalan Caliandra Blok F, Kel Pekayon, Kec. Bekasi Selatan, Kota Bekasi, Prov, Jawa barat</t>
  </si>
  <si>
    <t>Bapak Sodikun (081245854585)</t>
  </si>
  <si>
    <t>00046/RBY-PPJP/BKS/III/2023</t>
  </si>
  <si>
    <t>00023/2.0144-01/PI/07/0612/1/III/2023</t>
  </si>
  <si>
    <t>Bekasi Timur Regency 1</t>
  </si>
  <si>
    <t>Jalan Raya Gelatik Blok I2 No.9 RT.002 RW. 018</t>
  </si>
  <si>
    <t>Kel. Cimuning</t>
  </si>
  <si>
    <t>Kec. Mustika Jaya</t>
  </si>
  <si>
    <t xml:space="preserve">Bekasi Timur Regensi 1, Jalan Raya Gelatik Blok I2 No.10 RT.002 RW.018, Kel. Cimuning, Kec. Mustika Jaya, Kota Bekasi, Prov Jawa Barat </t>
  </si>
  <si>
    <t>Ibu Natali (082111414003)</t>
  </si>
  <si>
    <t xml:space="preserve">Bekasi Timur Regensi 1, Jalan Raya Gelatik Blok G9, Kel. Cimuning, Kec. Mustika Jaya, Kota Bekasi, Prov Jawa Barat </t>
  </si>
  <si>
    <t>Bapak Daryono (087704401680)</t>
  </si>
  <si>
    <t>Ibu Yoyo (081314749222)</t>
  </si>
  <si>
    <t>00030/RBY-PPJP/BKS/I/2023</t>
  </si>
  <si>
    <t>00024/2.0144-01/PI/07/0612/1/III/2023</t>
  </si>
  <si>
    <t>PT. Bank Tabungan Negara (Persero) Tbk.</t>
  </si>
  <si>
    <t>PT. Bank Tabungan Negara (Persero),Tbk</t>
  </si>
  <si>
    <t xml:space="preserve">Perumahan Grand Depok City </t>
  </si>
  <si>
    <t>Sektor Alamanda, Blok D2 No.10</t>
  </si>
  <si>
    <t>Kel. Kalimulya</t>
  </si>
  <si>
    <t>Cilodong</t>
  </si>
  <si>
    <t>Kota Depok</t>
  </si>
  <si>
    <t>Perumahan Grand Depok City,  Sektor Alamanda Blok D2 No.12, Kel. Kalimulya, Kec. Cilodong, Kota Depok, Prov.  Jawa Barat</t>
  </si>
  <si>
    <t>Ibu Erna (08177379XX)</t>
  </si>
  <si>
    <t>Perumahan Grand Depok City,  Sektor Alamanda Blok A3 No.11, Kel. Kalimulya, Kec. Cilodong, Kota Depok, Prov.  Jawa Barat</t>
  </si>
  <si>
    <t>Bapak Akam (08129913XXX)</t>
  </si>
  <si>
    <t>Perumahan Grand Depok City,  Sektor Alamanda Blok B3 No.9, Kel. Kalimulya, Kec. Cilodong, Kota Depok, Prov.  Jawa Barat</t>
  </si>
  <si>
    <t>Bapak Ilham (08129264XXX)</t>
  </si>
  <si>
    <t>Amri simbolon (penilai)</t>
  </si>
  <si>
    <t>00047/RBY-PPJP/BKS/I/2023</t>
  </si>
  <si>
    <t>00025/2.0144-01/PI/02/0612/1/IV/2023</t>
  </si>
  <si>
    <t>PT. Brantas Cakrawala Energi</t>
  </si>
  <si>
    <t>Jalan Asem Kumbang-Pancung Taba,</t>
  </si>
  <si>
    <t>Desa Nagari Muarao dan Nagari Pancung Taba</t>
  </si>
  <si>
    <t>Bayang Utara</t>
  </si>
  <si>
    <t>Kab. Pesisir Selatan</t>
  </si>
  <si>
    <t>Sumatra Barat</t>
  </si>
  <si>
    <t>Amri Simbolon (Penilai), Richard Barus &amp; Robbi Sugara Ginting (Pelaksana Inspeksi)</t>
  </si>
  <si>
    <t>00051/RBY-PPJP/BKS/III/2023</t>
  </si>
  <si>
    <t>00026/2.0144-01/PI/07/0612/1/IV/2023</t>
  </si>
  <si>
    <t>Jalan Raya Pondok Timur No.8 RT.004 RW.006</t>
  </si>
  <si>
    <t>Kel. Jatimulya</t>
  </si>
  <si>
    <t>Tambun Selatan</t>
  </si>
  <si>
    <t>Jalan Raya Pondok Timur, Kel. Jatimulya, Kec.Tambun Selatan Kota Beksai, Prov. Jawa Barat</t>
  </si>
  <si>
    <t>Bapak Pardossi (08128901XXXX)</t>
  </si>
  <si>
    <t>76,5</t>
  </si>
  <si>
    <t>229,5</t>
  </si>
  <si>
    <t>Ibu Reina (08128086XXX)</t>
  </si>
  <si>
    <t>Bapak Andreas (08135781XXXX)</t>
  </si>
  <si>
    <t>00027/2.0144-01/PI/07/0612/1/IV/2023</t>
  </si>
  <si>
    <t>Jalan Raya Pondok Timur No.9 RT.004 RW.006</t>
  </si>
  <si>
    <t>00055/RBY-PPJP/BKS/IV/2023</t>
  </si>
  <si>
    <t>00028/2.0144-01/PI/07/0612/1/IV/2023</t>
  </si>
  <si>
    <t>Grand Galaxy City</t>
  </si>
  <si>
    <t>Jalan Rukan Sentra Bisnis 5 Blok RSA 5 No.50</t>
  </si>
  <si>
    <t>Kel. Jakasetia</t>
  </si>
  <si>
    <t>Bekasi Selatan</t>
  </si>
  <si>
    <t>Grand Galaxy City, Rukan Sentra Bisnis 5 Blok RSA 5 No. 60, Kel. Jakasetia, Kec. Bekasi Selatan, Kota Bekasi, Prov. Jawa Barat</t>
  </si>
  <si>
    <t>Ibu Nur (08138847XXXX)</t>
  </si>
  <si>
    <t>Grand Galaxy City, Rukan Sentra Niaga, Kel. Jakasetia, Kec. Bekasi Selatan, Kota Bekasi, Prov. Jawa Barat</t>
  </si>
  <si>
    <t>Ibu Lina Santoso (08226028XXXX)</t>
  </si>
  <si>
    <t>Grand Galaxy City, Rukan Sentra Komersi 3 No. 56, Kel. Jakasetia, Kec. Bekasi Selatan, Kota Bekasi, Prov. Jawa Barat</t>
  </si>
  <si>
    <t>Bapak Joe (08193225XXXX)</t>
  </si>
  <si>
    <t>00058/RBY-PPJP/BKS/IV/2023</t>
  </si>
  <si>
    <t>00029/2.0144-01/PI/07/0612/1/IV/2023</t>
  </si>
  <si>
    <t>Jalan Raya Condet No.225 G RT.011 RW.003</t>
  </si>
  <si>
    <t>Kel Batu Ampar</t>
  </si>
  <si>
    <t>Kramat Jati</t>
  </si>
  <si>
    <t>Administrasi Jakarta Timur</t>
  </si>
  <si>
    <t>Lelang</t>
  </si>
  <si>
    <t>Jalan Raya Condet No.27B, Kel. Batu Ampar, Kec. Kramat Jati, Kota Administrasi Jakarta Timur, Prov. DKI Jakarta</t>
  </si>
  <si>
    <t>Bapak Tommy Kitaran (081398848258)</t>
  </si>
  <si>
    <t>Jalan Raya Condet No.9D, Kel. Batu Ampar, Kec. Kramat Jati, Kota Administrasi Jakarta Timur, Prov. DKI Jakarta</t>
  </si>
  <si>
    <t>Jalan Raya Condet, Kel. Batu Ampar, Kec. Kramat Jati, Kota Administrasi Jakarta Timur, Prov. DKI Jakarta</t>
  </si>
  <si>
    <t>Ibu Nanik Yulia (081218318615)</t>
  </si>
  <si>
    <t>Amri Simbolon (Penilai)</t>
  </si>
  <si>
    <t>00030/2.0144-01/PI/07/0612/1/IV/2023</t>
  </si>
  <si>
    <t>00031/2.0144-01/PI/07/0612/1/IV/2023</t>
  </si>
  <si>
    <t>602,5</t>
  </si>
  <si>
    <t>Jalan Condet Raya No. 225 RT. 011 RW. 003</t>
  </si>
  <si>
    <t>Kel. Batu Ampar</t>
  </si>
  <si>
    <t>Jalan Raya Condet , Kel. Batu Ampar, Kec. Kramat Jati, Kota Administrasi Jakarta Timur, Prov. DKI Jakarta</t>
  </si>
  <si>
    <t>Bapak Juni (08118111240/081585213115)</t>
  </si>
  <si>
    <t>Bapak Desmon Simanjutak (081296292685)</t>
  </si>
  <si>
    <t>Bapak Andi (082111738104)</t>
  </si>
  <si>
    <t>00065/RBY-PPJP/BKS/IV/2023</t>
  </si>
  <si>
    <t>00032/2.0144-01/PI/07/0612/1/IV/2023</t>
  </si>
  <si>
    <t>Gang Kisin Boton No. 141 RT. 004 RW. 007</t>
  </si>
  <si>
    <t>Kel. Jatikramat</t>
  </si>
  <si>
    <t>Jatiasih</t>
  </si>
  <si>
    <t>Jalan Durian Raya, Kel Jatikramat, Kec. Jatiasih, Kota Bekasi, Prov. Jawa Barat</t>
  </si>
  <si>
    <t>Bapak Jarot (08521990XXXX)</t>
  </si>
  <si>
    <t>Jalan Angkatan Laut, Kel Jatikramat, Kec. Jatiasih, Kota Bekasi, Prov. Jawa Barat</t>
  </si>
  <si>
    <t>Bapak Eko (08774100XXXX)</t>
  </si>
  <si>
    <t>Jalan Cahaya Kemang Permai, Kel Jatikramat, Kec. Jatiasih, Kota Bekasi, Prov. Jawa Barat</t>
  </si>
  <si>
    <t>Bapak Diaz (08212590XXXX)</t>
  </si>
  <si>
    <t>Amri Simbolon (Penilai), Richard Barus &amp; Mega Permata Sari Br Ginting (Pelaksana Inspeksi)</t>
  </si>
  <si>
    <t>00066/RBY-PPJP/BKS/IV/2023</t>
  </si>
  <si>
    <t>00033/2.0144-01/PI/07/0612/1/IV/2023</t>
  </si>
  <si>
    <t>Jalan Cariu II, RT. 04 RW. 06</t>
  </si>
  <si>
    <t>Kel. Cikiwul</t>
  </si>
  <si>
    <t>Bantar Gebang</t>
  </si>
  <si>
    <t>Jalan Tari Kolot No.40-168 RT. 003 RW.001, Kel Cikiwul, Kec. Bantar Gebang, Kota Bekasi, Prov. Jawa Barat</t>
  </si>
  <si>
    <t>Bapak Dutta Kibo (08554010XXXX)</t>
  </si>
  <si>
    <t>Jalan Pangkalan III RT. 004 RW.001, Kel Cikiwul, Kec. Bantar Gebang, Kota Bekasi, Prov. Jawa Barat</t>
  </si>
  <si>
    <t>Bapak Shony (08131401XXXX)</t>
  </si>
  <si>
    <t>Jalan Pangkalan III No.55-58 RT. 005 RW.001, Kel Cikiwul, Kec. Bantar Gebang, Kota Bekasi, Prov. Jawa Barat</t>
  </si>
  <si>
    <t>Bapak Pulung (08571117XXXX)</t>
  </si>
  <si>
    <t>00068/RBY-PPJP/BKS/IV/2023</t>
  </si>
  <si>
    <t>00034/2.0144-01/PI/07/0612/1/IV/2023</t>
  </si>
  <si>
    <t>PT. Akhsani Teguh Mandiri</t>
  </si>
  <si>
    <t>PT. Bank Tabungan Negara (Persero), Tbk</t>
  </si>
  <si>
    <t>Jalan Raya Pasar Setu No.128</t>
  </si>
  <si>
    <t>Desa Telajung</t>
  </si>
  <si>
    <t>Cikarang Barat</t>
  </si>
  <si>
    <t>Jalan Raya Pasar Setu No. 27, Desa Telajung, Kec. Cikarang Barat, Kab. Bekasi, Prov. Jawa Barat</t>
  </si>
  <si>
    <t>Tanah dan Bangunan (Futsal)</t>
  </si>
  <si>
    <t>Ibu Sisca (08170223008)</t>
  </si>
  <si>
    <t>Jalan Raya Pasar Setu KM 5 No. 130, Desa Telajung, Kec. Cikarang Barat, Kab. Bekasi, Prov. Jawa Barat</t>
  </si>
  <si>
    <t>Ibu Tyna (08129983138)</t>
  </si>
  <si>
    <t>Jalan Raya Pasar Setu, Desa Telajung, Kec. Cikarang Barat, Kab. Bekasi, Prov. Jawa Barat</t>
  </si>
  <si>
    <t>Bapak Darwis (081386001975)</t>
  </si>
  <si>
    <t>00057/RBY-PPJP/BKS/IV/2023</t>
  </si>
  <si>
    <t>00035/2.0144-01/PI/07/0612/1/V/2023</t>
  </si>
  <si>
    <t>PT. Mahakam Beta Farma</t>
  </si>
  <si>
    <t>PT. Bank Rakyat Indonesia (Persero), Tbk</t>
  </si>
  <si>
    <t>Jalan Mahakam II No.2 Blok C1 PSL No.264 RT. 001 RW. 007</t>
  </si>
  <si>
    <t>Kebayoran Baru</t>
  </si>
  <si>
    <t>Jalan Melawai Raya, Kel Kramat Pela, Kec. Kebayoran Baru, Kota Jakarta Selatan, Prov. DKI Jakarta</t>
  </si>
  <si>
    <t>Bapak Buddy (081386000081)</t>
  </si>
  <si>
    <t>Jalan Mahakam I, Kel. Kramat Pela, Kec. Kebayoran Baru, Kota Jakarta Selatan, Prov. DKI Jakarta</t>
  </si>
  <si>
    <t>Bapak Wendy Lim (0856728008)</t>
  </si>
  <si>
    <t>Jalan Melawai Raya No.73, Kel. Kramat Pela, Kec. Kebayoran Baru, Kota Jakarta Selatan, Prov. DKI Jakarta</t>
  </si>
  <si>
    <t>Bapak Charles Susanto Lim (081377765768)</t>
  </si>
  <si>
    <t>Amri Simbolon (Penilai), Richard Barus, Robbi Sugara Ginting &amp; Mega Br Ginting (Pelaksana Inspeksi)</t>
  </si>
  <si>
    <t>00067/RBY-PPJP/BKS/IV/2023</t>
  </si>
  <si>
    <t>00036/2.0144-01/PI/07/0612/1/V/2023</t>
  </si>
  <si>
    <t>Perumahan Villa Tanah Baru</t>
  </si>
  <si>
    <t>Blok D No.3 RT. 001 RW. 011</t>
  </si>
  <si>
    <t>Kel Tanah Baru</t>
  </si>
  <si>
    <t>Beji</t>
  </si>
  <si>
    <t>Perumahan Villa Tanah Baru Blok E No.8, Kel. Tanah Baru, Kec. Beji, Kota Depok, Prov. Jawa Barat</t>
  </si>
  <si>
    <t>Bapak Samsudin (08131667XXXX)</t>
  </si>
  <si>
    <t>Perumahan Alampersada Village No. 55, Kel. Tanah Baru, Kec. Beji, Kota Depok, Prov. Jawa Barat</t>
  </si>
  <si>
    <t>Bapak Rozi (08889807XXXX)</t>
  </si>
  <si>
    <t>Perumahan Orchid Green Village Blok A No.3 , Kel. Tanah Baru, Kec. Beji, Kota Depok, Prov. Jawa Barat</t>
  </si>
  <si>
    <t>Bapak Maulana (08128551XXXX)</t>
  </si>
  <si>
    <t>00073/RBY-PPJP/BKS/V/2023</t>
  </si>
  <si>
    <t>00037/2.0144-01/PI/07/0612/1/V/2023</t>
  </si>
  <si>
    <t>3 Unit Rukan</t>
  </si>
  <si>
    <t>Jalan Pantai Indah Selatan 1 Blok D-C Kav No.8-10</t>
  </si>
  <si>
    <t>Kel. Kapuk Muara</t>
  </si>
  <si>
    <t>Penjaringan</t>
  </si>
  <si>
    <t>Pantai Indah Selatan Blok A No.21, Kel. Kapuk Muara, Kec. Panjaringan, Kota Jakarta Utara, Prov. DKI Jakarta</t>
  </si>
  <si>
    <t>Bapak Berco Chung (08161798XXXX)</t>
  </si>
  <si>
    <t>Pantai Indah Selatan Blok R No.10-12, Kel. Kapuk Muara, Kec. Panjaringan, Kota Jakarta Utara, Prov. DKI Jakarta</t>
  </si>
  <si>
    <t>708,75</t>
  </si>
  <si>
    <t>Bapak Yendy Yap (08521086XXXX)</t>
  </si>
  <si>
    <t>Pantai Indah Selatan Blok A No. 8, Kel. Kapuk Muara, Kec. Panjaringan, Kota Jakarta Utara, Prov. DKI Jakarta</t>
  </si>
  <si>
    <t>Bapak Antony Sung (08170099XXXX)</t>
  </si>
  <si>
    <t>00074/RBY-PPJP/BKS/V/2023</t>
  </si>
  <si>
    <t>00038/2.0144-01/PI/07/0612/1/V/2023</t>
  </si>
  <si>
    <t>PT. Bakrie Metal Industries</t>
  </si>
  <si>
    <t>Jalan Kaliabang Bungur No. 86 RT. 004 RW. 002</t>
  </si>
  <si>
    <t>Kel. Harapan Jaya</t>
  </si>
  <si>
    <t>Bekasi Utara</t>
  </si>
  <si>
    <t>Jalan Kaliabang Tengah, Kel. Harapan Jaya, Kec. Bekasi Utara, Kota Bekasi, Prov. DKI Jakarta</t>
  </si>
  <si>
    <t>Ibu Herny (081316560588(</t>
  </si>
  <si>
    <t>Bapak Charlie (081119672080)</t>
  </si>
  <si>
    <t>Jalan Irigasi Harapan Jaya, Kel. Harapan Jaya, Kec. Bekasi Utara, Kota Bekasi, Prov. DKI Jakarta</t>
  </si>
  <si>
    <t>Bapak Agus Sugiarso (0818148968)</t>
  </si>
  <si>
    <t>Richar Barus (Penilai), Robbi Sugara Ginting &amp; Mega Permata Sari Br Ginting (Pelaksana Inspeksi)</t>
  </si>
  <si>
    <t>00084/RBY-PPJP/BKS/IV/2023</t>
  </si>
  <si>
    <t>00039/2.0144-01/PI/07/0612/1/V/2023</t>
  </si>
  <si>
    <t>PT. Bank Pembangunan Daerah Jawa Barat dan Banten, Tbk</t>
  </si>
  <si>
    <t>Perumahan Taman Narogong Indah</t>
  </si>
  <si>
    <t>Jalan Bojong Permai Raya Kav.20A.2 RT. 01 RW. 015</t>
  </si>
  <si>
    <t>Kel. Bojong Rawalumbu</t>
  </si>
  <si>
    <t>Rawa Lumbu</t>
  </si>
  <si>
    <t>1. Rumah Tinggal
2. Rumah Tinggal
3. Rumah Tinggal
4. Ruko
5. Rumah Tinggal
6. Tanah dan Bangunan Kontrakan</t>
  </si>
  <si>
    <t>Perumahan Taman Narogong Indah, Jalan Bojong Permai Raya V No.11, Kel. Bojong Rawalumbu, Kec. Rawalumbu, Kota Bekasi, Prov. Jawa Barat</t>
  </si>
  <si>
    <t>Bapak Iwan (085649474683)</t>
  </si>
  <si>
    <t>Perumahan Taman Narogong Indah, Jalan Taman Narogong Indah Blok C53 No.2, Kel. Bojong Rawalumbu, Kec. Rawalumbu, Kota Bekasi, Prov. Jawa Barat</t>
  </si>
  <si>
    <t>Bapak Afrisal (081280400204)</t>
  </si>
  <si>
    <t>Perumahan Taman Narogong Indah, Taman Narogong Indah Blok C27 No.3, Kel. Bojong Rawalumbu, Kec. Rawalumbu, Kota Bekasi, Prov. Jawa Barat</t>
  </si>
  <si>
    <t>Bapak Zul (08161695820)</t>
  </si>
  <si>
    <t>Jalan Taman Narogong Indah No. 12 RT.005 RW. 004</t>
  </si>
  <si>
    <t>Kemang Pratama 2</t>
  </si>
  <si>
    <t>Jalan Kemang Dahlia 7 Blok U No.5 RT008 RW. 036</t>
  </si>
  <si>
    <t>Kemang Pratama 2, Jalan Kemang Anggrek 5 Blok AQ, Kel. Bojong Rawalumbu, Kec. Rawalumbu, Kota Bekasi, Prov. Jawa Barat</t>
  </si>
  <si>
    <t>Ibu Lusy (081316423516)</t>
  </si>
  <si>
    <t>Kemang Pratama 2, Jalan Kemang Dahlia 5, Kel. Bojong Rawalumbu, Kec. Rawalumbu, Kota Bekasi, Prov. Jawa Barat</t>
  </si>
  <si>
    <t>Ibu Anitya (081213396045)</t>
  </si>
  <si>
    <t>Kemang Pratama 2, Jalan Kemang Dahlia 4, Kel. Bojong Rawalumbu, Kec. Rawalumbu, Kota Bekasi, Prov. Jawa Barat</t>
  </si>
  <si>
    <t>Bapak Ricky (08997970515)</t>
  </si>
  <si>
    <t>Taman Puri Kencana 1</t>
  </si>
  <si>
    <t>Jalan Barin Raya Kavling Blok II No.8 RT.008 RW. 019</t>
  </si>
  <si>
    <t>Kel. Pengasinan</t>
  </si>
  <si>
    <t>Bapak Pardossi (081289012327)</t>
  </si>
  <si>
    <t>Jalan Raya Mustikasari, Kel. Pengasinan, Kec. Rawalumbu, Kota Bekasi, Prov. Jawa Barat</t>
  </si>
  <si>
    <t>Ibu Rita (081291259277)</t>
  </si>
  <si>
    <t>Jalan Kemang Anggrek 5 Blok AQ No. 18 RT.002 RW. 012</t>
  </si>
  <si>
    <t>Kel. Bojong Menteng</t>
  </si>
  <si>
    <t>Tanah dan Bangunan Kontrakan</t>
  </si>
  <si>
    <t>Jalan Makrik RT. 05 RW.04</t>
  </si>
  <si>
    <t>Jalan Makrik, Kel. Bojong Rawalumbu, Kec.Rawalumbu, Kota Bekasi, Prov. Jawa Barat</t>
  </si>
  <si>
    <t xml:space="preserve">Tanah dan Bangunan </t>
  </si>
  <si>
    <t>Ibu Nita (081316066635)</t>
  </si>
  <si>
    <t>Bapak Hendra (087782083561)</t>
  </si>
  <si>
    <t>Ibu Srimulyati (085894800298)</t>
  </si>
  <si>
    <t>00088/RBY-PPJP/BKS/V/2023</t>
  </si>
  <si>
    <t>00040/2.0144-01/PI/07/0612/1/V/2023</t>
  </si>
  <si>
    <t>Jalan Mampang Prapatan XIV No. 76 RT.002 RW. 004</t>
  </si>
  <si>
    <t>Kel. Tegal Parang</t>
  </si>
  <si>
    <t>Mampang Prapatan</t>
  </si>
  <si>
    <t>Jalan Mampang Prapatan XIV No.11 RT. 002 RW. 004, Kel. Tegal Parang, Kec. Mampang Prapatan, Kota Jakarta Selatan, Prov. DKI Jakarta</t>
  </si>
  <si>
    <t>Bapak Isa (0811816XXXX)</t>
  </si>
  <si>
    <t>Jalan Mampang Prapatan XIV, Kel. Tegal Parang, Kec. Mampang Prapatan, Kota Jakarta Selatan, Prov. DKI Jakarta</t>
  </si>
  <si>
    <t>Bapak Hamdan (08129445XXXX)</t>
  </si>
  <si>
    <t>Rumah TInggal</t>
  </si>
  <si>
    <t>Ibu Warda Shahab (08139928XXXX)</t>
  </si>
  <si>
    <t>Richard Barus (Penilai)</t>
  </si>
  <si>
    <t>00075/RBY-PPJP/BKS/V/2023</t>
  </si>
  <si>
    <t>00041/2.0144-01/PI/07/0612/1/V/2023</t>
  </si>
  <si>
    <t xml:space="preserve">Jalan Prabu Siliwangi KM 3,1 Kampung Gembor RT.004 RW.001 </t>
  </si>
  <si>
    <t xml:space="preserve">Kel. Gembor </t>
  </si>
  <si>
    <t>Periuk</t>
  </si>
  <si>
    <t>Nilai pasar</t>
  </si>
  <si>
    <t>Jalan Prabu siliwangi, Kel. Gembor, Kec. Priuk, Kota Tanggerang, Prov. Banten</t>
  </si>
  <si>
    <t>Bapak Yunus (081284180381)</t>
  </si>
  <si>
    <t>Jalan Industri, Kel. Keroncong, Kec. Jatiuwung, Kota Tanggerang, Prov. Banten</t>
  </si>
  <si>
    <t>Bapak Rocky Alfian (081283898257)</t>
  </si>
  <si>
    <t>Jalan Sinar Pasar Kamis, Kel. Gembor, Kec. Priuk, Kota Tanggerang, Prov. Banten</t>
  </si>
  <si>
    <t>Ibu Lien Lee (082123831424)</t>
  </si>
  <si>
    <t>Richard Barus (Penilai), Robbi Sugara Ginting (Pelaksana Inspeksi)</t>
  </si>
  <si>
    <t>Jalan Baru Regency II, Kel. Kuta Jaya, Kec. Pasar Kamis, Kota Tanggerang, Prov. Banten</t>
  </si>
  <si>
    <t>Bapak Sugianto (081905830635)</t>
  </si>
  <si>
    <t>Jalan Prabu Siliwangi KM.3,1, Kel. Gembor, Kec. Periuk, Kota Tanggerang, Prov. Banten</t>
  </si>
  <si>
    <t>Bapak Yusup (081284180381)</t>
  </si>
  <si>
    <t>Jalan Industri Kroncong, Kel. Keroncong, Kec. Jatiuwung, Kota Tanggerang, Prov. Banten</t>
  </si>
  <si>
    <t>00082/RBY-PPJP/BKS/V/2023</t>
  </si>
  <si>
    <t>00042/2.0144-01/PI/07/0612/1/VI/2023</t>
  </si>
  <si>
    <t>PT. Bank PAN Indonesia, Tbk</t>
  </si>
  <si>
    <t>Perumahan Bintaro Sektor IX</t>
  </si>
  <si>
    <t>Jalan Rajawali IX Blok HD 3 No. 15</t>
  </si>
  <si>
    <t>Pondok Aren</t>
  </si>
  <si>
    <t>Perumahan Bintaro sektor IX, Jalan Rajawali IX Blok HD 4 No. 10, Kel. Pondok Pucung, Kec. Pondok Aren, Kota Tanggerang Selatan, Prov. Banten</t>
  </si>
  <si>
    <t>Ibu Yantha (082199999308)</t>
  </si>
  <si>
    <t>Perumahan Bintaro sektor IX, Jalan Rajawali IX Blok HD 3 No. 7, Kel. Pondok Pucung, Kec. Pondok Aren, Kota Tanggerang Selatan, Prov. Banten</t>
  </si>
  <si>
    <t>Ibu Astri (08211077800)</t>
  </si>
  <si>
    <t>Perumahan Bintaro sektor IX, Jalan Rajawali IX Blok HD 8 No. 16, Kel. Pondok Pucung, Kec. Pondok Aren, Kota Tanggerang Selatan, Prov. Banten</t>
  </si>
  <si>
    <t>Ibu Mita (0811162235)</t>
  </si>
  <si>
    <t>00090/RBY-PPJP/BKS/V/2023</t>
  </si>
  <si>
    <t>00043/2.0144-01/PI/07/0612/1/VI/2023</t>
  </si>
  <si>
    <t>Mesin dan Peralatan</t>
  </si>
  <si>
    <t>1. Shop Machine
2. Pabrik Plant 1
3. Pabrik Plant 2
4. Pabrik Plant 3
5. Gedung Engineering
6. Laboratorium
7. Utilitas</t>
  </si>
  <si>
    <t>Jalan Raya Perjuangan-Kaliabang (Jalan Raya Bekasi KM. 27) RT.003 RW.007</t>
  </si>
  <si>
    <t>Kel. Medan Satria</t>
  </si>
  <si>
    <t>Medan Satria</t>
  </si>
  <si>
    <t>00098/RBY-PPJP/BKS/VI/2023</t>
  </si>
  <si>
    <t>00044/2.0144-01/PI/07/0612/1/VI/2023</t>
  </si>
  <si>
    <t xml:space="preserve">Jalan Perintis NO.02 RT. 001 RW. 003 </t>
  </si>
  <si>
    <t>Kel. Kuningan Timur</t>
  </si>
  <si>
    <t>Setiabudi</t>
  </si>
  <si>
    <t>Jalan Kedamaian No. 26C, Kel. Karet Semanggi, Kec. Setiabudi, Kota Jakarta Selatan, Prov. DKI Jakarta</t>
  </si>
  <si>
    <t>Bapak Renci Lim (08179810421)</t>
  </si>
  <si>
    <t>Jalan Peltu Rahmad Sidup No. 07 RT.002 RW. 002, Kel. Karet Semanggi, Kec. Setiabudi, Kota Jakarta Selatan, Prov. DKI Jakarta</t>
  </si>
  <si>
    <t>Bapak Fery (081389019432)</t>
  </si>
  <si>
    <t>Jalan Guru Munghuni No.1 RT.05 RW. 02, Kel. Karet Semanggi, Kec. Setiabudi, Kota Jakarta Selatan, Prov. DKI Jakarta</t>
  </si>
  <si>
    <t>Ibu Lucy (0811821113)</t>
  </si>
  <si>
    <t>00079/RBY-PPJP/BKS/V/2023</t>
  </si>
  <si>
    <t>00045/2.0144-01/PI/07/0612/1/VI/2023</t>
  </si>
  <si>
    <t>Zona Industi Manis</t>
  </si>
  <si>
    <t xml:space="preserve">Jalan Manis V No.3 </t>
  </si>
  <si>
    <t>Kel. Manis Jaya</t>
  </si>
  <si>
    <t>Jatiuwung</t>
  </si>
  <si>
    <t>Zona Industri Manis, Jalan Abdi Praja No.38, Kel. Manis Jaya, Kec.Jatiuwung, Kota Tanggerang, Prov. Banten</t>
  </si>
  <si>
    <t>Bapak Kevin (087897468880)</t>
  </si>
  <si>
    <t>Zona Industri Manis, Jalan Manis III, Kel. Manis Jaya, Kec.Jatiuwung, Kota Tanggerang, Prov. Banten</t>
  </si>
  <si>
    <t>Bapak Harianto (08179906999)</t>
  </si>
  <si>
    <t>Zona Industri Manis, Jalan Manis Raya, Kel. Manis Jaya, Kec.Jatiuwung, Kota Tanggerang, Prov. Banten</t>
  </si>
  <si>
    <t>Bapak Mean Tambun (08999171771)</t>
  </si>
  <si>
    <t>00096/RBY-PPJP/BKS/V/2023</t>
  </si>
  <si>
    <t>00046/2.0144-01/PI/07/0612/1/VI/2023</t>
  </si>
  <si>
    <t>Tanah dan Bangunan (Kantor dan Gudang)</t>
  </si>
  <si>
    <t>Jalan Raya Cikunir No. 2001-2007 RT.003 RW. 003</t>
  </si>
  <si>
    <t>Kel. Jakamulya</t>
  </si>
  <si>
    <t>Jalan Raya Cikunir, Kel. Jakamulya, Kec. Bekasi Selatan, Kota Bekasi, Prov. Jawa Barat</t>
  </si>
  <si>
    <t>Bapak Rico</t>
  </si>
  <si>
    <t>Bapak Satar (082213931658)</t>
  </si>
  <si>
    <t>Ibu Maria (0811135705)</t>
  </si>
  <si>
    <t>Richard Barus (Penilai), Edwardo Krisna Sembiring (Pelaksana Inspeksi)</t>
  </si>
  <si>
    <t>00105/RBY-PPJP/BKS/VI/2023</t>
  </si>
  <si>
    <t>00047/2.0144-01/PI/07/0612/1/VI/2023</t>
  </si>
  <si>
    <t>PT. Sarana Kimindo Intiplas</t>
  </si>
  <si>
    <t>Jalan Garuda Dalam No. 42F</t>
  </si>
  <si>
    <t>Kel. Garuda</t>
  </si>
  <si>
    <t>Andir</t>
  </si>
  <si>
    <t>Jalan malebar, Kel. Garuda, Kec. Andir, Kota Bandung, prov. Jawa Barat</t>
  </si>
  <si>
    <t>Tanah dan Bangunan (Gor Bulu Tangkis)</t>
  </si>
  <si>
    <t>Bapak Yusuf (081398612198)</t>
  </si>
  <si>
    <t>Jalan Helbeu Utara, Kel. Garuda, Kec. Andir, Kota Bandung, prov. Jawa Barat</t>
  </si>
  <si>
    <t>Ibu Fanny Lie (087823338778)</t>
  </si>
  <si>
    <t>Jalan Helbeu Utara VII, Kel. Garuda, Kec. Andir, Kota Bandung, prov. Jawa Barat</t>
  </si>
  <si>
    <t>Bapak Sukiawan (081313095897)</t>
  </si>
  <si>
    <t>Amri Simbolon (Penilai), Fajar Hariyadi Tambunan (Pelaksana Inspeksi)</t>
  </si>
  <si>
    <t>00076/RBY-PPJP/BKS/V/2023</t>
  </si>
  <si>
    <t>00048/2.0144-01/PI/07/0612/1/VI/2023</t>
  </si>
  <si>
    <t>PT. Media Loka Pekalongan</t>
  </si>
  <si>
    <t>Tanah dan Bangunan (Rumah Sakit Hermina Pekalongan)</t>
  </si>
  <si>
    <t xml:space="preserve">Jalan Jendral Sudirman No. 16A </t>
  </si>
  <si>
    <t>Kel. Podosugih</t>
  </si>
  <si>
    <t>Pekalongan Barat</t>
  </si>
  <si>
    <t>Kota Pekalongan</t>
  </si>
  <si>
    <t>Jalan Jendral Sudirman, Kel. Podosugih, Kec. Pekalongan Barat, Kota Pekalongan, Prov. Jawa Tengah</t>
  </si>
  <si>
    <t>Bapak Fabian (0811291833/ 087832961366)</t>
  </si>
  <si>
    <t>Bapak Khay Soen (087711827968)</t>
  </si>
  <si>
    <t>Jalan Gajah Madah, Kel. Pasirsari, Kec. Pekalongan Barat, Kota Pekalongan, Prov. Jawa Tengah</t>
  </si>
  <si>
    <t>Bapak Sony Caesar (08111992502)</t>
  </si>
  <si>
    <t>00087/RBY-PPJP/BKS/V/2023</t>
  </si>
  <si>
    <t>00049/2.0144-01/PI/07/0612/1/VI/2023</t>
  </si>
  <si>
    <t>PT.Sejahtera Sehat Karyautama</t>
  </si>
  <si>
    <t>PT. Sejahtera Sehat Karyautama</t>
  </si>
  <si>
    <t>Jalan Podomoro Boulevard Kav. 1&amp;3 Podomoro Park Land Arteri Tol Karawang Barat</t>
  </si>
  <si>
    <t>Desa Wadas</t>
  </si>
  <si>
    <t>Telukjambe Timur</t>
  </si>
  <si>
    <t>Kab. Karawang</t>
  </si>
  <si>
    <t>Jalan Podomoro Boulevard Kav.1 Podomoro Park Land Arteri Tol Karawang Barat, Kel. Wadas, Kec. Telukjambe Timur, Kab. Kerawang, Prov. Jawa Barat</t>
  </si>
  <si>
    <t>Bapak Heru (081295700181)</t>
  </si>
  <si>
    <t>Ibu Jesica (0811890889)</t>
  </si>
  <si>
    <t>Jalan Jalan Internasional Karawang Barat, Kel. Wadas, Kec. Telukjambe Timur, Kab. Kerawang, Prov. Jawa Barat</t>
  </si>
  <si>
    <t>Ibu Niki (08176678819)</t>
  </si>
  <si>
    <t>Richard Barus (Penilai), Mega Permata Sari Br Ginting &amp; Edwardo Krina Sembiring (Pelaksana Inspeksi)</t>
  </si>
  <si>
    <t>000111/RBY-PPJP/BKS/V/2023</t>
  </si>
  <si>
    <t>00050/2.0144-01/PI/07/0612/1/VI/2023</t>
  </si>
  <si>
    <t>PT. GHS Maritim Indonesia</t>
  </si>
  <si>
    <t>Kapal Self Propelled Oil Barge (SPOB)</t>
  </si>
  <si>
    <t>Terminal Pertamina Plaju</t>
  </si>
  <si>
    <t>Plaju</t>
  </si>
  <si>
    <t>000102/RBY-PPJP/BKS/V/2023</t>
  </si>
  <si>
    <t>00051/2.0144-01/PI/07/0612/1/VII/2023</t>
  </si>
  <si>
    <t>PT. Delta Wibawa Bersama</t>
  </si>
  <si>
    <t>Gedung Perkantoran</t>
  </si>
  <si>
    <t>Jalan Kebagusan 1 No.6 RT.002 RW. 01</t>
  </si>
  <si>
    <t xml:space="preserve">Kel Kebagusan </t>
  </si>
  <si>
    <t>Pasar Minggu</t>
  </si>
  <si>
    <t>Jalan TB Simatupang (Simpang ragunan), Kel. Kebagusan,  Kec. Pasar Minggu, Kota, Jakarta Selatan, Prov. DKI Jakarta</t>
  </si>
  <si>
    <t>Ade (081380758926)</t>
  </si>
  <si>
    <t>Jalan TB Simatupang, Kel. Kebagusan,  Kec. Pasar Minggu, Kota, Jakarta Selatan, Prov. DKI Jakarta</t>
  </si>
  <si>
    <t>Agung (0818148986)</t>
  </si>
  <si>
    <t>Jalan TB Simatupang (Arah Ps Rebo), Kel. Kebagusan,  Kec. Pasar Minggu, Kota, Jakarta Selatan, Prov. DKI Jakarta</t>
  </si>
  <si>
    <t>Ibu Elvy Tauchitasari (081320202229)</t>
  </si>
  <si>
    <t>Richard Barus (Penilai), Edwardo Krisna Sembiring &amp; Mega Permata Sari Br Ginting (Pelaksana Inspeksi)</t>
  </si>
  <si>
    <t>000122/RBY-PPJP/BKS/VI/2023</t>
  </si>
  <si>
    <t>00052/2.0144-01/PI/07/0612/1/VII/2023</t>
  </si>
  <si>
    <t>Rusun Non Hunian</t>
  </si>
  <si>
    <t>95,00</t>
  </si>
  <si>
    <t>Apartemen M-Gold Tower</t>
  </si>
  <si>
    <t>Jalan KH. Noer Ali, Lantai20/OW-20G Lantai 20</t>
  </si>
  <si>
    <t>Kel. Pekayonjaya</t>
  </si>
  <si>
    <t>Apartemen M-Gold Tower, Jalan KH. Noer Ali Lantai 20, Kel Pekayonjaya, Kec. Bekasi Selatan, Prov. Jawa Barat</t>
  </si>
  <si>
    <t>Bapak Ganesh (081211155XXXX)</t>
  </si>
  <si>
    <t>Apartemen M-Gold Tower, Jalan KH. Noer Ali Lantai 12, Kel Pekayonjaya, Kec. Bekasi Selatan, Prov. Jawa Barat</t>
  </si>
  <si>
    <t>Bapak Budi Wahyono (08121977XXXX)</t>
  </si>
  <si>
    <t>Apartemen M-Gold Tower, Jalan KH. Noer Ali Lantai 16B, Kel Pekayonjaya, Kec. Bekasi Selatan, Prov. Jawa Barat</t>
  </si>
  <si>
    <t>Bapak Sutan Adil (08138620XXXX)</t>
  </si>
  <si>
    <t>00089/RBY-PPJP/BKS/V/2023</t>
  </si>
  <si>
    <t>00053/2.0144-01/PI/07/0612/1/VII/2023</t>
  </si>
  <si>
    <t>PT. Rajawali Nusindo</t>
  </si>
  <si>
    <t>1. Tanah dan Bangunan (Kantor dan Gudang)
2.Kantor Gudang 
3. Kantor Gudang</t>
  </si>
  <si>
    <t>Jalan Raya Mando-Bitung</t>
  </si>
  <si>
    <t>Desa Watutumou</t>
  </si>
  <si>
    <t>Airmadidi</t>
  </si>
  <si>
    <t>Kab. Minahasa Utara</t>
  </si>
  <si>
    <t>1. Tanah dan Bangunan (Kantor dan Gudang)
2. Kantor Gudang 
3. Kantor Gudang</t>
  </si>
  <si>
    <t>Jalan Raya Mando-Bitung, Desa. Watutumou, Kec. Airmadidi, Kab. Minahasa Utara, Prov. Sulawesi Utara</t>
  </si>
  <si>
    <t>Ibu Debby (082191492875)</t>
  </si>
  <si>
    <t>Bapak Dany (085292349869)</t>
  </si>
  <si>
    <t>Ibu evelyn (081342937836)</t>
  </si>
  <si>
    <t>Jalan Bung Tomo IV</t>
  </si>
  <si>
    <t>Desa Pemecutan Kaja</t>
  </si>
  <si>
    <t>Denpasar Utara</t>
  </si>
  <si>
    <t>Jalan Bung Tomo I, Desa. Pemecutan Kaja, Kec. Denpasar Utara, Kab. Denpasar Utara, Prov. Bali</t>
  </si>
  <si>
    <t>Bapak Lian (081337320718)</t>
  </si>
  <si>
    <t>JalanKusuma Bangsa, Desa. Pemecutan Kaja, Kec. Denpasar Utara, Kab. Denpasar Utara, Prov. Bali</t>
  </si>
  <si>
    <t>Bapak Griya Dewata (081993886333)</t>
  </si>
  <si>
    <t>Jalan Kusuma Bangsa, Desa. Pemecutan Kaja, Kec. Denpasar Utara, Kab. Denpasar Utara, Prov. Bali</t>
  </si>
  <si>
    <t>Ibu Yunita Wulandari (089669924323)</t>
  </si>
  <si>
    <t>Richard Barus (Penilai), Edwardo Krisna Sembiring  (Pelaksana Inspeksi)</t>
  </si>
  <si>
    <t>Jalan Pulau Sebesi</t>
  </si>
  <si>
    <t>Kel. Sukarame</t>
  </si>
  <si>
    <t>Sukarame</t>
  </si>
  <si>
    <t>Jalan Endro Suratmin, Kel. Way Dadi, Kec. Sukarame, Kota Bandarlampung, Prov. Lampung</t>
  </si>
  <si>
    <t>Bapak Firman (082280585071)</t>
  </si>
  <si>
    <t>Jalan Pulau Legundi, Kel. Sukarame, Kec. Sukarame, Kota Bandar Lampung, Prov. Lampung</t>
  </si>
  <si>
    <t>Bapak Abu Sajid (081541380928)</t>
  </si>
  <si>
    <t>Jalan Urip Sumiharjo, Kel. Kalibalau Kencana, Kec. Sukarame, Kota Bandar Lampung, prov. Lampung</t>
  </si>
  <si>
    <t>Ibu Lenawati (0811728817)</t>
  </si>
  <si>
    <t>Ageb</t>
  </si>
  <si>
    <t>00054/2.0144-01/PI/07/0612/1/VII/2023</t>
  </si>
  <si>
    <t>Gudang dan Kantor</t>
  </si>
  <si>
    <t>Kawasan Industri GIIC Kota Deltamas</t>
  </si>
  <si>
    <t>Jalan Cempaka 1 Blok CD No. 6</t>
  </si>
  <si>
    <t>Desa Pasir Ranji</t>
  </si>
  <si>
    <t>Cikarang Pusat</t>
  </si>
  <si>
    <t>Kab Bekasi</t>
  </si>
  <si>
    <t>1.Gudang dan Kantor
2. Gudang dan Kantor
3. Tanah dan Bangunan
4. Tanah dan Bangunan
5. Tanah
6. Rumah Tinggal
7. Tanah dan Bangunan
8. Tanah dan Bangunan
9. Tanah dan Bangunan
10. Tanah dan Bangunan</t>
  </si>
  <si>
    <t>Kawasan Industri Greenland International Industries Center (GIIC) Kota Deltamas,  Jalan Greenland VIII, Desa. Sukamahi, Kec. Cikarang Pusat, Kab. Bekasi, prov. Jawa Barat</t>
  </si>
  <si>
    <t>Ibu Renny (0811887902)</t>
  </si>
  <si>
    <t>Kawasan Industri Greenland International Industries Center (GIIC) Kota Deltamas,  Jalan Anggek VII, Desa. Nagasari, Kec. Serang Baru, Kab. Bekasi, prov. Jawa Barat</t>
  </si>
  <si>
    <t>Ibu Tuti (087741427959)</t>
  </si>
  <si>
    <t>Bapak Ali Mucthar (081219001230)</t>
  </si>
  <si>
    <t>Kawasan Industri Candi Gatot Subroto</t>
  </si>
  <si>
    <t>Blok 9 No. 3</t>
  </si>
  <si>
    <t>Kel. Ngaliyan</t>
  </si>
  <si>
    <t>Ngaliyan</t>
  </si>
  <si>
    <t>Kawasan Industri Candi Gatot Subroto, Blok 11, Kel. Ngaliyan, Kec. Ngaliyan,Kota Smarang, Prov. Jawa Tengah</t>
  </si>
  <si>
    <t>Bapak Hartono (087729305285)</t>
  </si>
  <si>
    <t>Kawasan Industri Candi Gatot Subroto, Jalan Apel, Kel. Ngaliyan, Kec. Ngaliyan,Kota Semarang, Prov. Jawa Tengah</t>
  </si>
  <si>
    <t>Bapak Hartono (0877829305285)</t>
  </si>
  <si>
    <t>Kawasan Industri Candi Gatot Subroto, Blok 23C, Kel. Ngaliyan, Kec. Ngaliyan,Kota Smarang, Prov. Jawa Tengah</t>
  </si>
  <si>
    <t>Ibu Liana Wong (085724059656)</t>
  </si>
  <si>
    <t>Richard Barus (Penilai), Mega Permatasari Br Ginting&amp; Fajar Hariyadi Tambunan (Pelaksana Inspeksi)</t>
  </si>
  <si>
    <t>Tanah dan Bangunan Ex Pabrik Gula Gempol</t>
  </si>
  <si>
    <t xml:space="preserve">Jalan Raya Cirebon-Bandung </t>
  </si>
  <si>
    <t>Desa Balenrante, Desa Palimanan, Desa Palimanan Barat, Desa Palimanan Timur</t>
  </si>
  <si>
    <t>Palimanan</t>
  </si>
  <si>
    <t xml:space="preserve">Kab Cirebon </t>
  </si>
  <si>
    <t>Jalan Cirebon-Bandung, Desa Palimanan Timur, Kec. Palimanan, Kab. Cirebon, Prov. Jawa Barat</t>
  </si>
  <si>
    <t>Bapak Abdullah (082214778277)</t>
  </si>
  <si>
    <t>Ibu Firly (081259999968)</t>
  </si>
  <si>
    <t>Jalan Cirebon-Bandung, Desa Palimanan Timur, Kec. Palimanan, Kab, Cirebon, Prov. Jawa Barat</t>
  </si>
  <si>
    <t>Ibu Isna (081322743747)</t>
  </si>
  <si>
    <t>Gun Gun Bayu.S (Penilai), Fajar Tambunan (Pelaksana Inspeksi</t>
  </si>
  <si>
    <t>Tanah dan Bangunan (Pabrik)</t>
  </si>
  <si>
    <t>Jalan Raya Sindang Laut</t>
  </si>
  <si>
    <t>Desa Cipeujeuh Wetan</t>
  </si>
  <si>
    <t>Lemahabang</t>
  </si>
  <si>
    <t>Jalan Kanci-Sindang Laut, Desa Kanci, Kec. Astanajapura, Kab. Cirebon, Prov. Jawa Barat</t>
  </si>
  <si>
    <t>Ibu Ong Welli (081280071167)</t>
  </si>
  <si>
    <t>Jalan Kanci-Sidang Laut, Desa. Kanci, Kec. Astanapura, Kab. Cirebon, Prov. Jawa Barat</t>
  </si>
  <si>
    <t>Bapak Waffa Husein (08122223299)</t>
  </si>
  <si>
    <t>Jalan Kanci-Sindang Laut, Desa. Kanci, Kec. Astanpura, Kab. Cirebon, Prov. Jawa Barat</t>
  </si>
  <si>
    <t>Richard Barus (Penilai), Fajar Hariyadi &amp; Edwardo Krisna Sembiring (Pelaksana Inspeksi)</t>
  </si>
  <si>
    <t>Tanah</t>
  </si>
  <si>
    <t>Jalan Raya Mundu Pesisir</t>
  </si>
  <si>
    <t>Desa Mundu Megesit</t>
  </si>
  <si>
    <t>Mundu</t>
  </si>
  <si>
    <t>Nilai Pasar  Sewa</t>
  </si>
  <si>
    <t>Jalan Raya Suci, Desa Mundu Mesegit, Kec. Mundu, Kab. Cirebon, Prov. Jawa Barat</t>
  </si>
  <si>
    <t>Tanah Kosong (Sawah)</t>
  </si>
  <si>
    <t>Bapak Endang (083845834055)</t>
  </si>
  <si>
    <t>Jalan Raya Kalijaga, Desa Mundu Magesit, Kec. Mundu, Kab. Cirebon,Prov. Jawa Barat</t>
  </si>
  <si>
    <t>Tanak Kosong (Sawah)</t>
  </si>
  <si>
    <t>Bapak Heji Ade (083845834055)</t>
  </si>
  <si>
    <t>Jalan Raya Mundu Pesisir, Desa Mundu Mesigit, Kec. Mundu, Kab. Cirebon, Prov. Jawa Barat</t>
  </si>
  <si>
    <t>Bapak Nanang (083845834055)</t>
  </si>
  <si>
    <t>Jalan Karang sembung-Gebang</t>
  </si>
  <si>
    <t>Desa Kubangkarang</t>
  </si>
  <si>
    <t>Karangsembung</t>
  </si>
  <si>
    <t>Jalan Raya Karang Sembung, Desa Kubangkarang, Kel. Karang Sembung, Kab. Cirebon, Prov. Jawa Barat</t>
  </si>
  <si>
    <t>Bapak Herdi (082319305276)</t>
  </si>
  <si>
    <t>Jalan Raya Karang Sembung-Gebang, Desa Kubangkarang, Kel. Karang Sembung, Kab. Cirebon, Prov. Jawa Barat</t>
  </si>
  <si>
    <t>Ibu Yeti (08122289099)</t>
  </si>
  <si>
    <t>Richard Barus &amp; Gun Gun Bayu Sahara (Penilai), Edwardo Krisna Sembiring &amp; Fajar Hariyadi Tambunan (Pelaksana Inspeksi)</t>
  </si>
  <si>
    <t>Karang Sembung</t>
  </si>
  <si>
    <t>Kab. Cirebon</t>
  </si>
  <si>
    <t>Tanah dan Bangunan (Eks Pabrik Gula Karangsuwung)</t>
  </si>
  <si>
    <t>Jalan Raya Karang sembung</t>
  </si>
  <si>
    <t>Desa Kawangsuwung</t>
  </si>
  <si>
    <t>Jalan Sawah,Desa Karangswung, Kel. Karang Sembung, Kab. Cirebon, Prov. Jawa Barat</t>
  </si>
  <si>
    <t>Bapak Arief (+625314353668)</t>
  </si>
  <si>
    <t>Jalan Karang Anyar,Desa Karangswung, Kel. Karang Sembung, Kab. Cirebon, Prov. Jawa Barat</t>
  </si>
  <si>
    <t>Bapak Akri (0895600308199)</t>
  </si>
  <si>
    <t>Gun Gun Bayu.S (Penilai), Fajar Tambunan (Pelaksana Inspeksi)</t>
  </si>
  <si>
    <t>Tanah dan Bangunan (Perumahan Eks. Pabrik Gula Karangsuwung)</t>
  </si>
  <si>
    <t>Desa Karangsuwung</t>
  </si>
  <si>
    <t>Bapak Arief (085314353668)</t>
  </si>
  <si>
    <t>Bapak Arief (0853143536668)</t>
  </si>
  <si>
    <t>Jalan Cirebon-Bandung, Desa Karangsuwung, Kec. Karangsembung, Kab. Cirebon, Prov. Jawa Barat</t>
  </si>
  <si>
    <t>Jalan Raya Kurang-Sembung</t>
  </si>
  <si>
    <t>Jalan Karang anyar, Desa Karangsuwung, Kel. Karangsembung, Kab. Cirebon, Prov. Jawa Barat</t>
  </si>
  <si>
    <t>00118/RBY-PPJP/BKS/VI/2023</t>
  </si>
  <si>
    <t>00055/2.0144-01/PI/07/0612/1/VIII/2023</t>
  </si>
  <si>
    <t>Perum Pondok Surya Mandala</t>
  </si>
  <si>
    <t>Jalan Surya Elok 2, Blok R No.29 RT, 002 RW. 013</t>
  </si>
  <si>
    <t>Perum. Pondok Surya, Jalan Surya Elok 2, Blok A1 No. 14, Kel. Jakamulya, Kec. Bekasi selatan, Kota Bekasi, Prov. Jawa Barat</t>
  </si>
  <si>
    <t>Ibu Syifa (081287755210)</t>
  </si>
  <si>
    <t>Perum. Pondok Surya, Jalan Surya Elok 2, Blok S No. 3, Kel. Jakamulya, Kec. Bekasi selatan, Kota Bekasi, Prov. Jawa Barat</t>
  </si>
  <si>
    <t>Bapak Husein (085774662627)</t>
  </si>
  <si>
    <t>Perum. Pondok Surya, Jalan Surya Indah 7, Blok F6 No. 1, Kel. Jakamulya, Kec. Bekasi selatan, Kota Bekasi, Prov. Jawa Barat</t>
  </si>
  <si>
    <t>Bapak Eko Hari Purnomo (08129013034)</t>
  </si>
  <si>
    <t>00120/RBY-PPJP/BKS/VI/2023</t>
  </si>
  <si>
    <t>00056/2.0144-01/PI/10/0612/1/VIII/2023</t>
  </si>
  <si>
    <t>Jalan kembang Joyo No.61</t>
  </si>
  <si>
    <t>Desa Kutoharjp</t>
  </si>
  <si>
    <t>Pati</t>
  </si>
  <si>
    <t>Kab. Pati</t>
  </si>
  <si>
    <t>Niali Pasar &amp; Nilai Likuidasi</t>
  </si>
  <si>
    <t>Pendekatan Pendapatan</t>
  </si>
  <si>
    <t>Jalan Kebon Joyo, Desa Kutoharjo, Kec. Pati, Kab. Pati, Prov. Jawa Tengah</t>
  </si>
  <si>
    <t>Tanah dan Bangunan (Rumah Tinggal)</t>
  </si>
  <si>
    <t>Bapak Halim (081904655700)</t>
  </si>
  <si>
    <t>Jalan Kembang Joyo, Desa Kutoharjo, Kel. Pati, Kab. Pati, Prov. Jawa Tengah</t>
  </si>
  <si>
    <t>Tanah dan Bangunan (Toko dan Rumah Tinggal)</t>
  </si>
  <si>
    <t>Ibu Nina (081215997470)</t>
  </si>
  <si>
    <t>Jalan Kembang Joyo, Desa. Kutoharjo, Kel. Pati, Kab. Pati, Prov. Jawa Tengah</t>
  </si>
  <si>
    <t>Bapak Eko (085772224512)</t>
  </si>
  <si>
    <t>Richard Barus (Penilai), Gun Gun Bayu Sahara (Pelaksana Inspkesi)</t>
  </si>
  <si>
    <t>Sewa</t>
  </si>
  <si>
    <t>Pendekatan Biaya</t>
  </si>
  <si>
    <t>Jalan Jendral Sudirman, Desa Kutoharjo, Kel. Pati Kidul, Kab. Pati, Prov. Jawa Tengah</t>
  </si>
  <si>
    <t>Bapak Ahmad (08988355155)</t>
  </si>
  <si>
    <t>Jalan Jendral Sudirman, Desa. Kutoharjo, Kel. Pati Kidul, Kab. Pati, Prov. Jawa Tengah</t>
  </si>
  <si>
    <t>Bapak Budi (082136658388)</t>
  </si>
  <si>
    <t>00135/RBY-PPJP/BKS/VII/2023</t>
  </si>
  <si>
    <t>00057/2.0144-01/PI/10/0612/1/VIII/2023</t>
  </si>
  <si>
    <t xml:space="preserve">PT. Dinamika Mandiri Selaras </t>
  </si>
  <si>
    <t>PT. Dinamika Mandiri Selaras</t>
  </si>
  <si>
    <r>
      <t>Tanah dan Bangunan (</t>
    </r>
    <r>
      <rPr>
        <i/>
        <sz val="11"/>
        <color theme="1"/>
        <rFont val="Calibri"/>
        <family val="2"/>
        <scheme val="minor"/>
      </rPr>
      <t xml:space="preserve">Shoping Centre Kutabumi Plaza </t>
    </r>
    <r>
      <rPr>
        <sz val="11"/>
        <color theme="1"/>
        <rFont val="Calibri"/>
        <family val="2"/>
        <scheme val="minor"/>
      </rPr>
      <t>)</t>
    </r>
  </si>
  <si>
    <t xml:space="preserve">Jalan Raya Kutabumi </t>
  </si>
  <si>
    <t>Kel. Kutabumi</t>
  </si>
  <si>
    <t>Pasar Kemis</t>
  </si>
  <si>
    <t>Jalan Raya Kutabumo, Desa. Kutabumi, Kec. Pasar Kemis, Kab. Tanggerang, Prov. Banten</t>
  </si>
  <si>
    <t>Bapak Lee (081390810735)</t>
  </si>
  <si>
    <t>Jalan Villa Regensi II, Desa. Kutajaya, Kec. Pasar Kemis, Kab. Tanggerang, Prov. Banten</t>
  </si>
  <si>
    <t>Bapak Alwan (087830000695)</t>
  </si>
  <si>
    <t>Jalan Moh Toha, Kel.Periuk, Kec. Periuk, Kab. Tanggerang, Prov. Banten</t>
  </si>
  <si>
    <t>Bapak Robi Amrisda (087711108800)</t>
  </si>
  <si>
    <t>Gun Gun Bayu (Penilai), Robbi Sugara Ginting &amp; Firdaus Ginting (Pelaksana Inspeksi_</t>
  </si>
  <si>
    <t>00128/RBY-PPJP/BKS/VII/2023</t>
  </si>
  <si>
    <t>00058/2.0144-01/PI/10/0612/1/VIII/2023</t>
  </si>
  <si>
    <t>PT. Balai Pustaka</t>
  </si>
  <si>
    <t>Jalan Bunga No.8-88A RT. 03 RW. 09</t>
  </si>
  <si>
    <t>Kel. Palmeriam</t>
  </si>
  <si>
    <t>Matraman</t>
  </si>
  <si>
    <t xml:space="preserve">1. Tanah dan Bangunan (kantor)
2. Tanah dan Bangunan (Kantor)
3. Tanah dan Bangunan (Pabrik)
4. Tanah dan Bangunan
5. 2 Unit Rusun Non Hunian </t>
  </si>
  <si>
    <t>Jalan Kayu Manis VIII, Kel. Palmeriam, Kec. Matraman, Kota Jakarta Timur, Prov. DKI Jakarta</t>
  </si>
  <si>
    <t>Ibu Vera Ekasari (085776668000)</t>
  </si>
  <si>
    <t>Jalan Pal Meriam Raya, Kel. Palmeriam, Kec. Matraman, Kota Jakarta Timur, Prov. DKI Jakarta</t>
  </si>
  <si>
    <t>Ibu Feni (082299748824)</t>
  </si>
  <si>
    <t>Jalan Kayu Manis, Kel. Palmeriam, Kec. Matraman, Kota Jakarta Timur, Prov. DKI Jakarta</t>
  </si>
  <si>
    <t>Bapak Kurnia (081295941123)</t>
  </si>
  <si>
    <t>Richard Barus (Penilai), Mega Permatasari Br Ginting&amp; Firdaus Ginting (Pelaksana Inspeksi)</t>
  </si>
  <si>
    <t>Jalan Kwitang Raya No. 31 RT. 001 RW.04</t>
  </si>
  <si>
    <t>Kel. Kwitang</t>
  </si>
  <si>
    <t>Senen</t>
  </si>
  <si>
    <t>Jalan Kwitang Raya, Kel. Kwitang, Kec. Senen, Kota Jakarta Pusat, Prov. DKI Jakarta</t>
  </si>
  <si>
    <t>Ibu Anna (08129150082)</t>
  </si>
  <si>
    <t>Ibu Lily (0816999412)</t>
  </si>
  <si>
    <t>Kawasan Industri JIEP</t>
  </si>
  <si>
    <t>Jalan Rawa Gatel No.17</t>
  </si>
  <si>
    <t>Kel. Jatinegara</t>
  </si>
  <si>
    <t>Cakung</t>
  </si>
  <si>
    <t>Kawasan Industri JIEP, Jalan Pulo Gadung, Kel. Jatinegara, Kec. Cakung, Kota Jakarta Timur, Prov. DKI Jakarta</t>
  </si>
  <si>
    <t>Ibu Clen-Clen (08161936575)</t>
  </si>
  <si>
    <t>Kawasan Industri JIEP, Jalan Pulo Ayang, Kel. Jatinegara, Kec. Cakung, Kota Jakarta Timur, Prov. DKI Jakarta</t>
  </si>
  <si>
    <t>Ibu Emi (081311068954)</t>
  </si>
  <si>
    <t>Kawasan Industri JIEP, Jalan Rawa Bali I, Kel. Jatinegara, Kec. Cakung, Kota Jakarta Timur, Prov. DKI Jakarta</t>
  </si>
  <si>
    <t>Ibu Hanny (0818160969)</t>
  </si>
  <si>
    <t>Jalan Bendul Merisi Tengah No.32/176</t>
  </si>
  <si>
    <t>Kel. Bendulmerisi</t>
  </si>
  <si>
    <t>Wonocolo</t>
  </si>
  <si>
    <t>Jalan Bendul Merisi Tengah, Kel. Bendulmerisi, Kec. Wonocolo, Kota Surabaya, Prov. Jawa Timur</t>
  </si>
  <si>
    <t>Bapak Suluh Budi (081234516655)</t>
  </si>
  <si>
    <t>Bapak Anton (081259692134)</t>
  </si>
  <si>
    <t>Bapak Dian Panbudi (085236047146)</t>
  </si>
  <si>
    <t>32,86</t>
  </si>
  <si>
    <t>Apartemen Tamansari Iswara Tower B, Lantai M M/16-17</t>
  </si>
  <si>
    <t>Jalan Cut Meutia RT.001 RW.003</t>
  </si>
  <si>
    <t>Kel. Sepanjang Jaya</t>
  </si>
  <si>
    <t>Apartemen Tamansari Isawara, Jalan Cut Meutia RT.001 RW. 003 Tower B Lantai M M/33, Kel. Sepanjang Jaya, Kec. Rawa Lumbu, Kota Bekasi, Prov. Jawa Barat</t>
  </si>
  <si>
    <t>38,86</t>
  </si>
  <si>
    <t>Bapak Ajis (08111463200)</t>
  </si>
  <si>
    <t>Apartemen Tamansari Isawara, Jalan Cut Meutia RT.001 RW. 003 Tower B Lantai M M/28, Kel. Sepanjang Jaya, Kec. Rawa Lumbu, Kota Bekasi, Prov. Jawa Barat</t>
  </si>
  <si>
    <t>Bapak Alifudin (081282470108)</t>
  </si>
  <si>
    <t>Apartemen Tamansari Isawara, Jalan Cut Meutia RT.001 RW. 003 Tower B Lantai M M/23, Kel. Sepanjang Jaya, Kec. Rawa Lumbu, Kota Bekasi, Prov. Jawa Barat</t>
  </si>
  <si>
    <t>44,21</t>
  </si>
  <si>
    <t>Bapak Jaya (081299941964)</t>
  </si>
  <si>
    <t>00110/RBY-PPJP/BKS/VI/2023</t>
  </si>
  <si>
    <t>00059/2.0144-01/PI/10/0612/1/VIII/2023</t>
  </si>
  <si>
    <t>PT. Medika Loka Pandanaran</t>
  </si>
  <si>
    <t>4 Rumah Tinggal</t>
  </si>
  <si>
    <t>Jalan Pekunden Barat No. 846 RT.002 RW.001</t>
  </si>
  <si>
    <t>Kel. Pekunden</t>
  </si>
  <si>
    <t>Semarang Tengah</t>
  </si>
  <si>
    <t>Jalan Batan Miroto III, Kel. Pekuden, Kec. Semarang Tengah, Kota Semarang, Prov. Jawa Tengah</t>
  </si>
  <si>
    <t>Ibu Ida (081390424279)</t>
  </si>
  <si>
    <t>Bapak Tumiho (0818293479)</t>
  </si>
  <si>
    <t>Jalan Batan Timur Raya, Kel. Pekuden, Kec. Semarang Tengah, Kota Semarang, Prov. Jawa Tengah</t>
  </si>
  <si>
    <t>Ibu Ariyani Deshy (081257664065)</t>
  </si>
  <si>
    <t>Richard Barus (Penilai), Mega Permartasari Br Ginting &amp; Fajar Hariyadi Tambuanan (Pelaksana Inspeksi)</t>
  </si>
  <si>
    <t>Jalan Pekunden Barat No. 847 RT.002 RW.001</t>
  </si>
  <si>
    <t>Jalan Batan Sawo I, Kel. Pekuden, Kec. Semarang Tengah, Kota Semarang, Prov. Jawa Tengah</t>
  </si>
  <si>
    <t>Ibu Ariyani (081257664065)</t>
  </si>
  <si>
    <t>Jalan Magersari, Kel. Pekuden, Kec. Semarang Tengah, Kota Semarang, Prov. Jawa Tengah</t>
  </si>
  <si>
    <t>Ibu Swanny (08112882110)</t>
  </si>
  <si>
    <t>Ibu Else (085225676801)</t>
  </si>
  <si>
    <t>Jalan Pekunden Barat No. 851 RT.002 RW.001</t>
  </si>
  <si>
    <t>Jalan Batan Miroto I, Kel. Pekuden, Kec. Semarang Tengah, Kota Semarang, Prov. Jawa Tengah</t>
  </si>
  <si>
    <t>Jalan Pekunden Barat No. 848 RT.002 RW.001</t>
  </si>
  <si>
    <t>00130/RBY-PPJP/BKS/VI/2023</t>
  </si>
  <si>
    <t>00060/2.0144-01/PI/10/0612/1/VIII/2023</t>
  </si>
  <si>
    <t>PT. Lucky Print Aabadi</t>
  </si>
  <si>
    <t>PT. BFI Finance Indonesia, Tbk</t>
  </si>
  <si>
    <r>
      <rPr>
        <i/>
        <sz val="11"/>
        <color rgb="FFFF0000"/>
        <rFont val="Calibri"/>
        <family val="2"/>
        <scheme val="minor"/>
      </rPr>
      <t>1. Uniwash Washing Machine
2. Digital Print
3. Biancalani Textile Machinery
4. Cylinder Drying Range Machine, Dancing Roll Compensat</t>
    </r>
    <r>
      <rPr>
        <sz val="11"/>
        <color rgb="FFFF0000"/>
        <rFont val="Calibri"/>
        <family val="2"/>
        <scheme val="minor"/>
      </rPr>
      <t>or</t>
    </r>
  </si>
  <si>
    <t>Jalan Warung Bongkok RT. 003 RW. 006</t>
  </si>
  <si>
    <t>Gun Gun Bayu (Penilai), Robbi Sugara Ginting (Pelaksana Inspeksi_</t>
  </si>
  <si>
    <t>00086/RBY-PPJP/BKS/V/2023</t>
  </si>
  <si>
    <t>00061/2.0144-01/PI/06/0612/1/VIII/2023</t>
  </si>
  <si>
    <t>PT. Haryanto Motor Indonesia</t>
  </si>
  <si>
    <t>Jalan Raya Boyolali-Solo, Dukuh Gonowelang RT.07 RW.01</t>
  </si>
  <si>
    <t>Desa Ngaru-Aru</t>
  </si>
  <si>
    <t>Banyudono</t>
  </si>
  <si>
    <t>Kab. Boyolali</t>
  </si>
  <si>
    <t>Jalan Raya Boyolali-Solo, Kel. Ngar-aru, Kec. Banyudono, Kota Boyolali, Prov. Jawa Tengah</t>
  </si>
  <si>
    <t>Bapak Andhika Budi (085642401632)</t>
  </si>
  <si>
    <t>Bapak Budhi (0895383195858)</t>
  </si>
  <si>
    <t>Richar Barus (Penilai), Robbi Sugara Ginting (Pelaksana Inspkesi)</t>
  </si>
  <si>
    <t>00085/RBY-PPJP/BKS/V/2023</t>
  </si>
  <si>
    <t>00062/2.0144-01/PI/07/0612/1/VIII/2023</t>
  </si>
  <si>
    <t>Tanah dan Bangunan (Pool PO. Haryanto)</t>
  </si>
  <si>
    <t>Jalan Kyai Maja No.107 RT.001 RW. 005</t>
  </si>
  <si>
    <t>Kel. Panunggangan</t>
  </si>
  <si>
    <t>Pinang</t>
  </si>
  <si>
    <t>Jalan Kyai Maja Kel. Panunggangan, Kec. Pinang, Kota. Tanggerang, Prov. Banten</t>
  </si>
  <si>
    <t>Bapak Ingsun (085735111729)</t>
  </si>
  <si>
    <t>Bapak Damar (08888121282)</t>
  </si>
  <si>
    <t>Bapak Muhammad Soni (081362143358)</t>
  </si>
  <si>
    <t>Richard Barus (Penilai) Robbi Sugara Ginting (Pelaksana Inspeksi)</t>
  </si>
  <si>
    <t>Tanah dan Bangunan Rumah Makan</t>
  </si>
  <si>
    <t>Jalan Raya Kutosari No.163</t>
  </si>
  <si>
    <t>Desa Kutosari</t>
  </si>
  <si>
    <t>Gringsing</t>
  </si>
  <si>
    <t>Batang</t>
  </si>
  <si>
    <t>Jalan Pantura, Desa Kutosari, Kec. Gringsing, Kab. Batang, Prov. Jawa Tengah</t>
  </si>
  <si>
    <t>Tanah dan Bangunan (Rumah Makan)</t>
  </si>
  <si>
    <t>Ibu Ciangri Kusuma (08562756222)</t>
  </si>
  <si>
    <t>Bapak Hary (081331234056)</t>
  </si>
  <si>
    <t>Jalan Pantura, Desa Banyuputih, Kel. Gringsing, Kab. Batang, Prov. Jawa Tengah</t>
  </si>
  <si>
    <t>Ibu Helen (081575978799)</t>
  </si>
  <si>
    <t>Jalan Raya Pantura (Raya Kalipasung)</t>
  </si>
  <si>
    <t>Kalipasung</t>
  </si>
  <si>
    <t>Gebang</t>
  </si>
  <si>
    <t>Jalan Raya Pantura (Raya Kalipasung), Kel. Kalipasung, Kec. Gebang, Kota Cirebon, Prov. Jawa Barat</t>
  </si>
  <si>
    <t>Bapak Juman (081222148144)</t>
  </si>
  <si>
    <t>Bapak Reka Adijaya (081395839810)</t>
  </si>
  <si>
    <t>Bapak Perid (087876586843)</t>
  </si>
  <si>
    <t>Richard Barus &amp; Amri Simbolon (Penilai), Robbi Sugara Ginting (Pelaksana Inspeksi)</t>
  </si>
  <si>
    <t>Stasiun Pengisian Bahan Bakar Umum (SPBU)</t>
  </si>
  <si>
    <t>Jalan Raya Jenarsari (Weleri-Kendal)</t>
  </si>
  <si>
    <t>Jenarsari</t>
  </si>
  <si>
    <t>Gemuh</t>
  </si>
  <si>
    <t>Kab. Kendal</t>
  </si>
  <si>
    <t>Jalan Raya Jenarsari(Waleri-Kendal), Desa Jenasari, Kec. Gemuh, Kab. Kendal, Prov. Jawa Tengah</t>
  </si>
  <si>
    <t>Bapak Hanif (0817278829)</t>
  </si>
  <si>
    <t>Ibu Davina Dian (082261137320)</t>
  </si>
  <si>
    <t>Bapak Agus Miracle (085701413600)</t>
  </si>
  <si>
    <t>Jalan Lingkar Luar RT.04 RW. 09</t>
  </si>
  <si>
    <t>Kel. Ngembal Kulon</t>
  </si>
  <si>
    <t>Jati</t>
  </si>
  <si>
    <t>Kota Kudus</t>
  </si>
  <si>
    <t>Jalan Lingkar Luar, Kel. Pendem Kulon, Kec. Mejebo, Kota Kudus, Prov. Jawa Tengah</t>
  </si>
  <si>
    <t>Bapak Tommy (081575237592)</t>
  </si>
  <si>
    <t>Jalan Lingkar Timur No.612, Kel. Megawon, Kec. Jati, Kota Kudus, Prov. Jawa Tengah</t>
  </si>
  <si>
    <t>Bapak Lie (087833846788)</t>
  </si>
  <si>
    <t>Jalan Pantura, Kel. Barenggunung, Kec. Jekulo, Kota Kudus, Prov. Jawa Tengah</t>
  </si>
  <si>
    <t>Bapak Irawan (085742947861)</t>
  </si>
  <si>
    <t>Tanah dan Bangunan (Garasi Bus)</t>
  </si>
  <si>
    <t>Jalan Lingkar Luar RT.04 RW. 03</t>
  </si>
  <si>
    <t>Ngembal Kulon</t>
  </si>
  <si>
    <t>Kab. Kudus</t>
  </si>
  <si>
    <t>11 Unit Kendaraan Bus PO. Haryanto</t>
  </si>
  <si>
    <t>1.No. Polisi B7321 VGA Tahun 2019
2. No Polisi B 7322 VGA Tahun 2019
3. No. Polisi B 7323 VGA Tahun 2019
4. No. Polisi K 1401 DB Tahun 2018
5. No. Polisi K1402 DB Tahun 2018
6. No. Polisi K1403 DB Tahun 2018
7. No. Polisi K 1748 CB Tahun 2018
8. No. Polisi K1749 CB Tahun 2018
9. No. Polisi B 7328 VGA Tahun 2018
10. No. Polisi 7332 VGA Tahun 2018
11. No. Polisi 7334 VGA Tahun 2018</t>
  </si>
  <si>
    <t>Kudus</t>
  </si>
  <si>
    <t>Boyolali</t>
  </si>
  <si>
    <t>Kendal</t>
  </si>
  <si>
    <t xml:space="preserve">B 7321 VGA
B 7322 VGA
B 7323 VGA
K 1401 DB
K 1402 DB
K 1403 DB
K 1748 CB
K 1749 CB
B 7332 VGA
B 7334 VGA </t>
  </si>
  <si>
    <t xml:space="preserve">Bus/ OH 1626L MT (CKD)
Bus/ RK8JSKA-NHJ
Bus/ OH 1626L MT (CKD)
Bus/ OH 1626L MT (CKD)
Bus/ OH 1626L MT (CKD)
Bus/ OH 1626L MT (CKD)
Bus/ OH 1626L MT (CKD)
Bus/ OH 1626L MT (CKD)
</t>
  </si>
  <si>
    <t xml:space="preserve">P04248972
P04132128
P04249348
Plat K Kosong
P04248971
P04249683
</t>
  </si>
  <si>
    <t>Semarang</t>
  </si>
  <si>
    <t>Mercedez Benz /Bus</t>
  </si>
  <si>
    <t>Bapak Amar (082175443373)</t>
  </si>
  <si>
    <t>Bogor</t>
  </si>
  <si>
    <t>Mercedes Benz/ Bus</t>
  </si>
  <si>
    <t>Bapak Adji (082122459175)</t>
  </si>
  <si>
    <t>Bapak Herry Prasetyo (081218321833)</t>
  </si>
  <si>
    <t>All Team</t>
  </si>
  <si>
    <t>00146/RBY-PPJP/BKS/VII/2023</t>
  </si>
  <si>
    <t>00063/2.0144-01/PI/07/0612/1/VIII/2023</t>
  </si>
  <si>
    <t>Blok Lelegon RT.005 RW. 009</t>
  </si>
  <si>
    <t>Kel. Banjarsari</t>
  </si>
  <si>
    <t>Cipocok Jaya</t>
  </si>
  <si>
    <t>Kota Serang</t>
  </si>
  <si>
    <t>Nilai Pasar &amp; Nilai Likuidasi</t>
  </si>
  <si>
    <t>Jalan Kp. Cidadap, Kel. Banjarsari, Kec. Cipocok Jaya, Kota Serang, Prov. Banten</t>
  </si>
  <si>
    <t>Bapak Anggun (087882277183)</t>
  </si>
  <si>
    <t>Jalan Banjarsari, Kel. Banjarsari, Kec. Cipocok Jaya, Kota Serang, Prov. Banten</t>
  </si>
  <si>
    <t>Bapak Arief (08111223838)</t>
  </si>
  <si>
    <t>Jalan Farm, Cilembu, Kel. Banjarsari, Kec. Cipocok Jaya, Kota Serang, Prov. Banten</t>
  </si>
  <si>
    <t>Bapak Bihis (085771200788)</t>
  </si>
  <si>
    <t>Gun Gun Bayu (Penilai), Farjar Tambunan (Pelaksana Inspeksi)</t>
  </si>
  <si>
    <t>00077/RBY-PPJP/BKS/V/2023</t>
  </si>
  <si>
    <t>00064/2.0144-01/PI/07/0612/1/VIII/2023</t>
  </si>
  <si>
    <t>PT. Medika Loka Karawang</t>
  </si>
  <si>
    <t>Tanah dan Bangunan (Rumah Sakit Hermina Karawang)</t>
  </si>
  <si>
    <t>Jalan Raya Tuparev Kp. Cinangoh No.386 A RT.03 RW.04</t>
  </si>
  <si>
    <t>Kel Karawang Wetan</t>
  </si>
  <si>
    <t>Karawang Timur</t>
  </si>
  <si>
    <t>Jalan Tuparev, Kel. Karawang Wetan, Kec. Karawang Timur, Kab. Karawang, Prov. Jawa Barat</t>
  </si>
  <si>
    <t>Bapak Heru Pamungkas (089526829872)</t>
  </si>
  <si>
    <t>Tanah dan Bangunan (Hotel)</t>
  </si>
  <si>
    <t>Bapak Erwin Irwansyah (08118335242)</t>
  </si>
  <si>
    <t>Ibu yanti (081295094158)</t>
  </si>
  <si>
    <t>00140/RBY-PPJP/BKS/VII/2023</t>
  </si>
  <si>
    <t>00065/2.0144-01/PI/07/0612/1/VIII/2023</t>
  </si>
  <si>
    <t>Gang Awi No.90 RT.009 RW. 04</t>
  </si>
  <si>
    <t>Nilai Pasar dan Nilai Likuidasi</t>
  </si>
  <si>
    <t>Gang Awi No. 58A dan 58B RT.015, Kel. Batu Ampar, Kec. Kramat Jati, Kota Jakarta Timur, Prov. DKI Jakarta</t>
  </si>
  <si>
    <t>Bapak Arif (081340455570)</t>
  </si>
  <si>
    <t>Gang Awi No. 80 RT.009 RW. 04, Kel. Batu Ampar, Kec. Kramat Jati, Kota Jakarta Timur, Prov. DKI Jakarta</t>
  </si>
  <si>
    <t>Bapak Parmin (087775534626)</t>
  </si>
  <si>
    <t>Gang Darmin No. 1 RT.002 RW. 04, Kel. Batu Ampar, Kec. Kramat Jati, Kota Jakarta Timur, Prov. DKI Jakarta</t>
  </si>
  <si>
    <t>Bapak Sutomo (081382101036)</t>
  </si>
  <si>
    <t>00099/RBY-PPJP/BKS/VII/2023</t>
  </si>
  <si>
    <t>00066/2.0144-01/PI/07/0612/1/VIII/2023</t>
  </si>
  <si>
    <t>PT. Nunukan Bara Sukses</t>
  </si>
  <si>
    <t>Perkebunan Kelapa Sawit</t>
  </si>
  <si>
    <t>9.512,79</t>
  </si>
  <si>
    <t>Ha</t>
  </si>
  <si>
    <t>Desa Sujau, Lulu, Bebanas, Suyadon, Bulu, Mengolom, Payang, Tukulon, Batung, Ubal Sulok dan Ubal Alung</t>
  </si>
  <si>
    <t>Sebuku dan Lumbis Ogong</t>
  </si>
  <si>
    <t>Kab. Nunukan</t>
  </si>
  <si>
    <t>Kalimantan Utara</t>
  </si>
  <si>
    <t>Pabrik Pengelolahan Minyak Kelapa Sawit</t>
  </si>
  <si>
    <t>Richard Barus &amp; Amri Simbolon (Penilai), Edwardo Krisna Sembiring (Pelaksana Inspeksi)</t>
  </si>
  <si>
    <t>Pabrik Pengelolaan Minyak Kelapa Sawit</t>
  </si>
  <si>
    <t>Desa. Suaju</t>
  </si>
  <si>
    <t xml:space="preserve">Sebuku </t>
  </si>
  <si>
    <t>00100/RBY-PPJP/BKS/VI/2023</t>
  </si>
  <si>
    <t>00067/2.0144-01/PI/07/0612/1/VIII/2023</t>
  </si>
  <si>
    <t>00100/RBY-PPJP/BKS/VII/2023</t>
  </si>
  <si>
    <t>00101/RBY-PPJP/BKS/VI/2023</t>
  </si>
  <si>
    <t>00068/2.0144-01/PI/07/0612/1/VIII/2023</t>
  </si>
  <si>
    <t>00099/RBY-PPJP/BKS/VI/2023</t>
  </si>
  <si>
    <t>00069/2.0144-01/PI/07/0612/1/VIII/2023</t>
  </si>
  <si>
    <t>Perkebunan Kelapa Sawit Plasma</t>
  </si>
  <si>
    <t>1432,48</t>
  </si>
  <si>
    <t>Desa Sujau, Lulu, Bebanas</t>
  </si>
  <si>
    <t>Sebuku</t>
  </si>
  <si>
    <t>00070/2.0144-01/PI/07/0612/1/VIII/2023</t>
  </si>
  <si>
    <t>00071/2.0144-01/PI/07/0612/1/VIII/2023</t>
  </si>
  <si>
    <t>00152/RBY-PPJP/BKS/VIII/2023</t>
  </si>
  <si>
    <t>00072/2.0144-01/PI/07/0612/1/IX/2023</t>
  </si>
  <si>
    <t>PT. Agung Automall</t>
  </si>
  <si>
    <t>Tanah dan Bangunan (Showroom)</t>
  </si>
  <si>
    <t>Jalan Pahlawan No.13</t>
  </si>
  <si>
    <t>Kel. Delod Peken</t>
  </si>
  <si>
    <t>Wabanan</t>
  </si>
  <si>
    <t>Kab. Tabanan</t>
  </si>
  <si>
    <t>Jalan Ir. Soekarno, Kel. Dauh Peken, Kec. Wabanan, Kab. Tebanan, Prov. Bali</t>
  </si>
  <si>
    <t>Bapak eka (0811388747)</t>
  </si>
  <si>
    <t>Bapak Gede (081239114465)</t>
  </si>
  <si>
    <t>Ibu Jayanti</t>
  </si>
  <si>
    <t>Richard Barus (Penilai), Mega Permata Sari Br Ginting &amp; Fajar Hariyadi Tambunan (Pelaksana Inspeksi)</t>
  </si>
  <si>
    <t>00073/2.0144-01/PI/07/0612/1/IX/2023</t>
  </si>
  <si>
    <t>Jalan SM Amin No.13</t>
  </si>
  <si>
    <t>Kel. Simpang Baru</t>
  </si>
  <si>
    <t>Binawidya</t>
  </si>
  <si>
    <t>Kota Pekan Baru</t>
  </si>
  <si>
    <t>Riau</t>
  </si>
  <si>
    <t>Jalan SM Amin, Kel. Simpang Baru, Kec. Binawidya, Kota Pekan Baru, Prov. Riau</t>
  </si>
  <si>
    <t>Tanah Kosong (Mentah)</t>
  </si>
  <si>
    <t>Ibu Ami (0816626690)</t>
  </si>
  <si>
    <t xml:space="preserve">Tanah Kosong </t>
  </si>
  <si>
    <t>Bapak Saiful Rojiq (081275278090)</t>
  </si>
  <si>
    <t>Bapak Dedi (085265323388)</t>
  </si>
  <si>
    <t>Gun Gun Bayu Sahara (Penilai), Richard Barus (Pelaksana Inspeksi)</t>
  </si>
  <si>
    <t>00074/2.0144-01/PI/07/0612/1/IX/2023</t>
  </si>
  <si>
    <t>Gang Garuda Dalam</t>
  </si>
  <si>
    <t xml:space="preserve">Jawa Barat </t>
  </si>
  <si>
    <t>Gang Bakti II, Kel. Garuda, Kec. Andir, Kota Bandung, Prov. Jawa Barat</t>
  </si>
  <si>
    <t>Bapak Dedi (087788242004)</t>
  </si>
  <si>
    <t>Gang Garuda Dalam, Kel. Garuda, Kec. Andir, Kota Bandung, Prov. Jawa Barat</t>
  </si>
  <si>
    <t>Bapak Aep (081213198433)</t>
  </si>
  <si>
    <t>Gang Helbeu Utara, Kel. Garuda, Kec. Andir, Kota Bandung, Prov. Jawa Barat</t>
  </si>
  <si>
    <t>Bapak Hildan (081222722895)</t>
  </si>
  <si>
    <t>00119/RBY-PPJP/BKS/VI/2023</t>
  </si>
  <si>
    <t>00075/2.0144-01/PI/07/0612/1/IX/2023</t>
  </si>
  <si>
    <t>Perum Villa Bekasi Indah 2</t>
  </si>
  <si>
    <t>Jalan Anggrek 3, Blok A9 No. 23</t>
  </si>
  <si>
    <t>Kel. Sumber Jaya</t>
  </si>
  <si>
    <t>Tambun</t>
  </si>
  <si>
    <t>Perum Villa Bekasi Indah 2, Jalan Anggrek 4, Blok A4 No.15, Kel. Sumber Jaya, Kec. Tambun, Kab. Bekasi, Prov. Jawa Barat</t>
  </si>
  <si>
    <t>Bapak Memed (082111362020)</t>
  </si>
  <si>
    <t>Perum Villa Bekasi Indah 2, Jalan Anggrek 4, Blok A5 No.18, Kel. Sumber Jaya, Kec. Tambun, Kab. Bekasi, Prov. Jawa Barat</t>
  </si>
  <si>
    <t>Bapak Deddy (081316338443)</t>
  </si>
  <si>
    <t>Perum Villa Bekasi Indah 2, Jalan Anggrek 3, Blok A5 No.2, Kel. Sumber Jaya, Kec. Tambun, Kab. Bekasi, Prov. Jawa Barat</t>
  </si>
  <si>
    <t>Ibu Yuni (081319387571)</t>
  </si>
  <si>
    <t>00143/RBY-PPJP/BKS/VII/2023</t>
  </si>
  <si>
    <t>00076/2.0144-01/PI/07/0612/1/IX/2023</t>
  </si>
  <si>
    <t>PT. Energi Oleo Persada</t>
  </si>
  <si>
    <r>
      <t>Pabrik Oleo Chemical (</t>
    </r>
    <r>
      <rPr>
        <i/>
        <sz val="11"/>
        <color rgb="FFFF0000"/>
        <rFont val="Calibri"/>
        <family val="2"/>
        <scheme val="minor"/>
      </rPr>
      <t>Fatty Acid</t>
    </r>
    <r>
      <rPr>
        <sz val="11"/>
        <color rgb="FFFF0000"/>
        <rFont val="Calibri"/>
        <family val="2"/>
        <scheme val="minor"/>
      </rPr>
      <t>)</t>
    </r>
  </si>
  <si>
    <t>Saran Pelengkap
Kendaraan dan Alat Berat
Mesin dan Peralatan</t>
  </si>
  <si>
    <t>Jalan Medan - Lubuk Pakam KM 20</t>
  </si>
  <si>
    <t>Desa Tanjung Baru</t>
  </si>
  <si>
    <t>Tanjung Morawa</t>
  </si>
  <si>
    <t>Kab. Deli Serdang</t>
  </si>
  <si>
    <t>Sumatra Utara</t>
  </si>
  <si>
    <t xml:space="preserve">1. Toyota Alphard 2.5 G A/T BK 777 MZ
2. Mitsubishi Xpander 1.5 L Excl 4X2 AT B 1727 DFD
3. Toyota Innova 2.5 G A/T B 7323 VGA
4. Daihatsu Grand Max PU 1.5 STD AC &amp; PS BK 8974 MR
</t>
  </si>
  <si>
    <t xml:space="preserve">1. Toyota FDZN30/ Forklift 2021
2. Toyota FGZN25/ Forklift 2021
3. Toyota FGZN25/ Forklift 2021
4. Toyota 32-8FG25/ Forklift 2021
</t>
  </si>
  <si>
    <t xml:space="preserve">1. Mesin FAT PRETREATMENT/052
2. Mesin FAT SPLITTING/053
3. Mesin FATTY ACID HYDROGENATION/071
4. FATTY ACID DISTILLATION/061
5. FATTY ACID FRACTIONATION/068
6. GLYCERINEWATER PRETREATMENT/022
7. GLYCERINEWATER EVAPORATION/026
8. GLYCERINE DISTILLATION/028
9. FILLING&amp;WEIGHING OF GLYCERINE/078
10. ELECTROLYZER EQUIPMENT/051
11. FLACKING&amp;BEADING/122
12. OLIED ACID PLANT
13. UTILITIES EQUPMENT
14. ELECTRICAL EQUIPMENT
15. WORKSHOP EQUIPMENT
16. LABORATORIUM EQUIPMENT
17. TANK FARM
18. PIPE LINE
</t>
  </si>
  <si>
    <t>Line</t>
  </si>
  <si>
    <t>Peralatan</t>
  </si>
  <si>
    <t xml:space="preserve">1. LABORATORIUM (Tambahan)
2. GLYCERINE DISTILLATION
3. REFINERY PLANT 
</t>
  </si>
  <si>
    <t>Lot</t>
  </si>
  <si>
    <t xml:space="preserve">Sarana Pelngkap </t>
  </si>
  <si>
    <t>1. Pagar
2. Perkerasan
3. Kanopi Parkir
4. Listrik
5. Kolam Limbah</t>
  </si>
  <si>
    <t>00149/RBY-PPJP/BKS/VII/2023</t>
  </si>
  <si>
    <t>00077/2.0144-01/PI/07/0612/1/IX/2023</t>
  </si>
  <si>
    <t>Perumahan Bekasi Jaya Indah</t>
  </si>
  <si>
    <t>Jalan Wijaya Kusuma Blok C24 No.8</t>
  </si>
  <si>
    <t>Kel. Duren Jaya</t>
  </si>
  <si>
    <t>Bekasi Timur</t>
  </si>
  <si>
    <t>Perumahan Bekasi Jaya Indah, Jalan Wijaya Kusuma, Blok C23 No. 13, Kel Duren Jaya, Kec. Bekasi Timur, Prov. Jawa Barat</t>
  </si>
  <si>
    <t>Ibu Koming (082297255381)</t>
  </si>
  <si>
    <t>Perumahan Bekasi Jaya Indah, Jalan Wijaya Kusuma, Blok C23 No. 10, Kel Duren Jaya, Kec. Bekasi Timur, Prov. Jawa Barat</t>
  </si>
  <si>
    <t>Bapak Dodi (081321840370)</t>
  </si>
  <si>
    <t>Perumahan Bekasi Jaya Indah, Jalan Wijaya Kusuma, Blok F15 No. 17, Kel Duren Jaya, Kec. Bekasi Timur, Prov. Jawa Barat</t>
  </si>
  <si>
    <t>Ibu Rani (081218489514)</t>
  </si>
  <si>
    <t>00145/RBY-PPJP/BKS/VIII/2023</t>
  </si>
  <si>
    <t>00078/2.0144-01/PI/07/0612/1/IX/2023</t>
  </si>
  <si>
    <t>PT. Kenrope Utama</t>
  </si>
  <si>
    <t>Stasiun Pengisian Bulk Elpiji (SPBE)</t>
  </si>
  <si>
    <t>1. Tanah &amp; Bangunan
2. Sarana Pelengkap
3. Kendaraan
4. Mesin dan Peralatan</t>
  </si>
  <si>
    <t>Jalan Tengsaw</t>
  </si>
  <si>
    <t>Desa Tarikolot</t>
  </si>
  <si>
    <t>Citereup</t>
  </si>
  <si>
    <t>Jalan Tengsaw, Kel. Tarikolot, Kec. Citeureup, Kab. Bogor, Prov. Jawa Barat</t>
  </si>
  <si>
    <t>Bapak Imam (082325539159)</t>
  </si>
  <si>
    <t>Bapak Nando (081915854670)</t>
  </si>
  <si>
    <t>1. Pagar
2. Perkerasan
3. Parkiran Motor
4. Parkiran Mobil
5. Listrik
5. Kolam Limbah</t>
  </si>
  <si>
    <t xml:space="preserve">1. Truck Tangki Trailer B 9980 MS
2. Truck Tangki Trailer B9984 MS
</t>
  </si>
  <si>
    <t xml:space="preserve">B 9980 MS
B 9984 MS
</t>
  </si>
  <si>
    <t>Trail Tangki/ PK260 CT</t>
  </si>
  <si>
    <t>jakarta Utara</t>
  </si>
  <si>
    <t>Nissan/ Tariller</t>
  </si>
  <si>
    <t>Bapak Eric (081286661XXXX)</t>
  </si>
  <si>
    <t>Nissan/ Trailler</t>
  </si>
  <si>
    <t>Bapak Rino Wilmi (08212559XXXX)</t>
  </si>
  <si>
    <t>Harapan Indah, Bekasi</t>
  </si>
  <si>
    <t xml:space="preserve">1. Timbangan Elektronik
2. Timbangan Mekanik Bobot Ingsut
3. Timbangan Elektronik Pengisian LPG 3Kg
4. Generator Set
5.Tangki Storage
6. LPG Compressor
7. LPG Pump
8. Tangki Solar
9. Tabung Pemadam
10. Hydrant
11. Tangki Trailer </t>
  </si>
  <si>
    <t>00156/RBY-PPJP/BKS/VIII/2023</t>
  </si>
  <si>
    <t>00079/2.0144-01/PI/07/0612/1/X/2023</t>
  </si>
  <si>
    <t>PT. Medika Loka Pasteur</t>
  </si>
  <si>
    <t>Jalan Terusan Pasteur No. 69/183, RT.02 RW. 03</t>
  </si>
  <si>
    <t xml:space="preserve">Kel. Pajajaran </t>
  </si>
  <si>
    <t>Cicendo</t>
  </si>
  <si>
    <t>Jalan Dr. Djunjunan Pasteur, Kel. Pajajaran, Kec. Cicendo, Kota Bandung, Prov. Jawa Barat</t>
  </si>
  <si>
    <t>Bapak Eddie (0816626690)</t>
  </si>
  <si>
    <t>Jalan Dr. Djunjunan Dalam 1 No. 9, Kel. Pajajaran, Kec. Cicendo, Kota Bandung, Prov. Jawa Barat</t>
  </si>
  <si>
    <t>Ibu Mei Mei (089613909765)</t>
  </si>
  <si>
    <t>Jalan Dr. Djunjunan Dalam, Kel. Pajajaran, Kec. Cicendo, Kota Bandung, Prov. Jawa Barat</t>
  </si>
  <si>
    <t>Ibu Fony (081910070233)</t>
  </si>
  <si>
    <t>Gun Gun Bayu Sahara (Penilai), Mega Permata Sari Br Ginting &amp; Fajar Hariyadi Tambunan (Pelaksana Inspeksi)</t>
  </si>
  <si>
    <t>00171/RBY-PPJP/BKS/IX/2023</t>
  </si>
  <si>
    <t>00080/2.0144-01/PI/07/0612/1/X/2023</t>
  </si>
  <si>
    <t>Jalan Pangkalan 2</t>
  </si>
  <si>
    <t>Kel. Sumur Batu</t>
  </si>
  <si>
    <t>Jalan Pangkalan 2, Kel. Sumur Batu, Kec. Bantar Gebang, Kota Bekasi, Prov. Jawa Barat</t>
  </si>
  <si>
    <t>Bapak Boby (081380075815)</t>
  </si>
  <si>
    <t>Bapak Johnni (087888049923)</t>
  </si>
  <si>
    <t>Bapak Wahyu (082150086910)</t>
  </si>
  <si>
    <t>Amri Simbolon (Penilai), Firdaus Ginting (Pelaksana Inspeksi)</t>
  </si>
  <si>
    <t>Jalan Setu Cilengsi- Taman Rahayu</t>
  </si>
  <si>
    <t>Desa Ciledug</t>
  </si>
  <si>
    <t>setu</t>
  </si>
  <si>
    <t>Jalan Cisaat Setu, Kel. Ciledug, Kec. Setu, Kab. Bekasi, Prov. Jawa Barat</t>
  </si>
  <si>
    <t>Pak Fahmi (0899355633)</t>
  </si>
  <si>
    <t>Jalan Setu Cilengsi -Taman Rahayu, Kel. Ciledug, Kec. Setu, Kab. Bekasi, Prov. Jawa Barat</t>
  </si>
  <si>
    <t>Bapak Wardo (085718496775)</t>
  </si>
  <si>
    <t>Jalan Adam II Kp. Dukuh, Kel. Ciledug, Kec. Setu, Kab. Bekasi, Prov. Jawa Barat</t>
  </si>
  <si>
    <t>Bapak Jof (087802292409)</t>
  </si>
  <si>
    <t>Jalan Sero</t>
  </si>
  <si>
    <t>Mustika Jaya</t>
  </si>
  <si>
    <t>Jalan AMD Pabuaran, Kel. Cimuning, Kec. Mustikajaya, Kota Bekasi, Prov. Jawa Barat</t>
  </si>
  <si>
    <t>Bapak Ruli (081314359448)</t>
  </si>
  <si>
    <t>Jalan Malins, Kel. Cimuning, Kec. Mustikajaya, Kota Bekasi, Prov. Jawa Barat</t>
  </si>
  <si>
    <t>Bapak Dedi (081283286656)</t>
  </si>
  <si>
    <t>Jalan Santika, Kel. Cimuning, Kec. Mustikajaya, Kota Bekasi, Prov. Jawa Barat</t>
  </si>
  <si>
    <t>Bapak Arif (08129244426)</t>
  </si>
  <si>
    <t>Jalan Raya Pondok Timur Indah</t>
  </si>
  <si>
    <t>Kel. Mustika Jaya</t>
  </si>
  <si>
    <t>Perumahan Pondok Timur Indah, Jalan Pondok Timur Indah Blok D5, Kel. Jatimulya, Kec. Tambun Selatan, Prov. Jawa Barat</t>
  </si>
  <si>
    <t>Bapak Prazku (08989169827)</t>
  </si>
  <si>
    <t>Perumahan Pondok Timur Indah, Jalan Pondok Timur Indah Blok G12, Kel. Jatimulya, Kec. Tambun Selatan, Prov. Jawa Barat</t>
  </si>
  <si>
    <t>Bapak Mamat Ali Rahmat (081296456585)</t>
  </si>
  <si>
    <t>Perumahan Pondok Timur Indah, Jalan Pondok Timur Indah Blok G 4, Kel. Jatimulya, Kec. Tambun Selatan, Prov. Jawa Barat</t>
  </si>
  <si>
    <t>Ibu Nurjannah (081288812330)</t>
  </si>
  <si>
    <t>Mega Permata Sari Br Ginting (Penilai),  Robbi Sugara Ginting (Pelaksana Inspeksi)</t>
  </si>
  <si>
    <t>Tanah dan Bangunan (Villa0</t>
  </si>
  <si>
    <t>Komplek Villa Yasmin</t>
  </si>
  <si>
    <t>Blok B No. 29</t>
  </si>
  <si>
    <t>Desa Palasari</t>
  </si>
  <si>
    <t>Cipanas</t>
  </si>
  <si>
    <t xml:space="preserve">Villa Orchid Blok G6, Desa Palasari, Kec. Cipanas, Kab Cianjur, Prov. Jawa Barat </t>
  </si>
  <si>
    <t>Tanah dan Bangunan (villa)</t>
  </si>
  <si>
    <t>Ibu Ingrid Sugiharto (081380333999)</t>
  </si>
  <si>
    <t xml:space="preserve">Villa Chery, Desa Palasari, Kec. Cipanas, Kab Cianjur, Prov. Jawa Barat </t>
  </si>
  <si>
    <t>Tanah dan Bangunan (Villa)</t>
  </si>
  <si>
    <t>Bapak Mas Bro (082114612461)</t>
  </si>
  <si>
    <t xml:space="preserve">Villa Green Apple, Desa Palasari, Kec. Cipanas, Kab Cianjur, Prov. Jawa Barat </t>
  </si>
  <si>
    <t>Incore Property (087833961999)</t>
  </si>
  <si>
    <t>Richard Barus (Penilai), Fajar Hariyadi (Pelaksana Inspeksi)</t>
  </si>
  <si>
    <t>Perumahan Pondok Timur Indah</t>
  </si>
  <si>
    <t xml:space="preserve">Jalan Pondok Timur Indah Blok D.9 </t>
  </si>
  <si>
    <t>Perumahan Mutiara Gading Timur</t>
  </si>
  <si>
    <t>Jalan Anggrek 3, Blok N5 No. 2</t>
  </si>
  <si>
    <t>Perumahan Mutiara Gading Timur, Jalan Anggrek Blok N.5, Kel. Mustikajaya, Kec.Mustikajaya, Kota Bekasi, Prov. Jawa Barat</t>
  </si>
  <si>
    <t>Ibu Maria Theresia Hoo (08129715773)</t>
  </si>
  <si>
    <t>Perumahan Mutiara Gading Timur, Jalan Plazzo Raya, Kel. Mustikajaya, Kec.Mustikajaya, Kota Bekasi, Prov. Jawa Barat</t>
  </si>
  <si>
    <t>Bapak Antonius (081277722620)</t>
  </si>
  <si>
    <t>Perumahan Mutiara Gading Timur, Jalan Plazzo Dalam Blok N. 25 No. 20, Kel. Mustikajaya, Kec.Mustikajaya, Kota Bekasi, Prov. Jawa Barat</t>
  </si>
  <si>
    <t>Bapak Dody Perdana (085779967167)</t>
  </si>
  <si>
    <t>Jalan Raya Pebayuran</t>
  </si>
  <si>
    <t xml:space="preserve">Desa Sumbersari </t>
  </si>
  <si>
    <t>Pebayuran</t>
  </si>
  <si>
    <t>Jalan Raya Pebayuran, Desa Sumbersari, Kec. Pebayuran, Kab. Bekasi, Prov. Jawa Barat</t>
  </si>
  <si>
    <t>Tanah Sawah</t>
  </si>
  <si>
    <t>Mochamad Firdaus (085693123544)</t>
  </si>
  <si>
    <t>Jalan Raya Pebayuran, Desa Karang Haur, Kec. Pebayuran, Kab. Bekasi, Prov. Jawa Barat</t>
  </si>
  <si>
    <t>Kebun dan Sawah</t>
  </si>
  <si>
    <t>Ibu Cynthia (081286710071)</t>
  </si>
  <si>
    <t>Bapak Prana (08128111482)</t>
  </si>
  <si>
    <t>Gun Gun Bayu Sahara (Penilai &amp; Pelaksana Inspeksi)</t>
  </si>
  <si>
    <t>Gang H.Ramli No. 8 RT.001 RW. 013</t>
  </si>
  <si>
    <t>Kel. Cipinang Melayu</t>
  </si>
  <si>
    <t>Makasar</t>
  </si>
  <si>
    <t>Gang Tarum Barat, Kel. Cipinang Melayu, Kec. Makasar, Kota Jakarta Timur, Prov. DKI Jakarta</t>
  </si>
  <si>
    <t>Ibu Vivi (081282249498)</t>
  </si>
  <si>
    <t>Gang Wirajasa, Kel. Cipinang Melayu, Kec. Makasar, Kota Jakarta Timur, Prov. DKI Jakarta</t>
  </si>
  <si>
    <t>Ibu Nurma (081283109443)</t>
  </si>
  <si>
    <t>Gang Pangkalan Jati V, Kel. Cipinang Melayu, Kec. Makasar, Kota Jakarta Timur, Prov. DKI Jakarta</t>
  </si>
  <si>
    <t>Ibu Shierly (08119292882)</t>
  </si>
  <si>
    <t>Jalan Bontang II No. 55 RT. 004 RW. 01</t>
  </si>
  <si>
    <t>Kel. Jatimakmur</t>
  </si>
  <si>
    <t xml:space="preserve">Pondok Gede </t>
  </si>
  <si>
    <t>Jalan Bontang I No. 28 B, Kel. Jatimakmur, Kec. Pondok Gede, Kota Bekasi, Prov. Jawa Barat</t>
  </si>
  <si>
    <t>Ibu Salamah (081338625192)</t>
  </si>
  <si>
    <t>Jalan Bontang I No. 28 D, Kel. Jatimakmur, Kec. Pondok Gede, Kota Bekasi, Prov. Jawa Barat</t>
  </si>
  <si>
    <t>Bapak Nabil (0817278112)</t>
  </si>
  <si>
    <t>Jalan Cemara No. 4, Kel. Jatimakmur, Kec. Pondok Gede, Kota Bekasi, Prov. Jawa Barat</t>
  </si>
  <si>
    <t>Ibu Rika (081226085161)</t>
  </si>
  <si>
    <t>00181/RBY-PPJP/BKS/X/2023</t>
  </si>
  <si>
    <t>00081/2.0144-01/PI/10/0612/1/X/2023</t>
  </si>
  <si>
    <t>Dua Unit Kendaraan</t>
  </si>
  <si>
    <t>1. 1 Unit Truck Tronton Mixer Merek Sany Tahun 2022 Z9171 NB
2. 1 Unit  Truck Tronton Mixer Merek Sany Tahun 20222 Z 9180 NB</t>
  </si>
  <si>
    <t>PT. Dasuki Jaya Beton</t>
  </si>
  <si>
    <t>Jalan Raya cikur Gunung Menong</t>
  </si>
  <si>
    <t>Singaparna</t>
  </si>
  <si>
    <t>Z 9171 NB
Z 9180 NB</t>
  </si>
  <si>
    <t>Truck Tronton Mixer/SY5250GJBB-1 (6x4) M/T</t>
  </si>
  <si>
    <t>T00326945
T00326946</t>
  </si>
  <si>
    <t xml:space="preserve">1 Unit Truc Tronton Mixer Merk Sany </t>
  </si>
  <si>
    <t>Tigaaraksa, Kab. Tanggerang</t>
  </si>
  <si>
    <t>Sany</t>
  </si>
  <si>
    <t>Bapak Nur  (089627993405)</t>
  </si>
  <si>
    <t>Jakarta</t>
  </si>
  <si>
    <t>Sany/ Truck Tronton Mixer</t>
  </si>
  <si>
    <t>Bapak Viera (081314114430)</t>
  </si>
  <si>
    <t xml:space="preserve">Sany Makmur Perkasa </t>
  </si>
  <si>
    <t>Bapak Yofi (082234001021)</t>
  </si>
  <si>
    <t>Z 9180 NB</t>
  </si>
  <si>
    <t>T00326946</t>
  </si>
  <si>
    <t>00144/RBY-PPJP/BKS/VII/2023</t>
  </si>
  <si>
    <t>00082/2.0144-01/PI/07/0612/1/X/2023</t>
  </si>
  <si>
    <t>PT. Sarana Maluku Utama</t>
  </si>
  <si>
    <t>PT. Bank Central Asia, Tbk</t>
  </si>
  <si>
    <t>Bangunan-bangunan</t>
  </si>
  <si>
    <t>1. Kantor Utama
2. Thermo Oil+Genset
3. Aspal Bag
4.  Workshop + Lab
5. Limbah B3
6. Pos Timbang
7. Shelter Sopir
8. Pos Jaga</t>
  </si>
  <si>
    <t>Jalan Pelabuhan Kilo 1, Pelabuhan Biru</t>
  </si>
  <si>
    <t>Kel. Piru</t>
  </si>
  <si>
    <t>Seram Barat</t>
  </si>
  <si>
    <t>Kab. Seram Bagian Bara</t>
  </si>
  <si>
    <t>Maluku</t>
  </si>
  <si>
    <t>1. Pagar
2. Perkerasan dan Gorong-gorong
3. Kanopi
4. Listrik</t>
  </si>
  <si>
    <t>Mesin dan Peralatan Tangki Aspal</t>
  </si>
  <si>
    <t xml:space="preserve">Mesin dan Peralatan Tanggi Aspal 
1. Thermo Oil Heater/ Suction Oil Heater
2. Genset Hartech HT 100p
3. Compressor
4. Gear Pump Rotor ZPG 8 W
5. Mini Fuel Dispenser
6. Jembatan Timbang
Plant Mekanikal
1.Tanki Aspal 4700 KL
Instalasi Pipa Transfer &amp; Instalasi Pipa Filling
3. Instalasi Sirkulasi Oli
4. Sistem Air Bersih
5. Shelter Pengisian Aspal
</t>
  </si>
  <si>
    <t>Persediaan</t>
  </si>
  <si>
    <t>1. Aspal Curah 
2. Aspal Bag</t>
  </si>
  <si>
    <t>00176/RBY-PPJP/BKS/IX/2023</t>
  </si>
  <si>
    <t>00083/2.0144-01/PI/06/0612/1/X/2023</t>
  </si>
  <si>
    <t>PT. Sumatrasarana Sekar Sakti</t>
  </si>
  <si>
    <t>9 Unit Kendaraan</t>
  </si>
  <si>
    <t>1. Hino No. Polisi B 9764 YU Tahun 2014 (Dump Truck)
2. Hino No. Polisi B 9933 YU Tahun 2014 (Dump Truck)
3. Hino No. Polisi B 9855 YU Tahun 2014 (Dump Truck)
4.  Hino No. Polisi B 9660 YM Tahun 2014 (Dump Truck)
5.  Hino No. Polisi B 9872 YU Tahun 2014 (Dump Truck)
6. Hino No. Polisi B 9884 YU Tahun 2014 (Dump Truck)
7.  Hino No. Polisi B 9664 YM Tahun 2014 (Dump Truck)
8.  Hino No. Polisi B 9637 YM Tahun 2014 (Dump Truck)
9. Isuzu No. Polisi B 9769 YM Tahun 2014 (Dump Truck</t>
  </si>
  <si>
    <t>Jalan Lingkar Selatan KM. 9,75 No. 54 RT. 03 RW. 02</t>
  </si>
  <si>
    <t>Kel. Deringo</t>
  </si>
  <si>
    <t>Citangkil</t>
  </si>
  <si>
    <t>B 94764 YU
B 9933 YU
B 9855 YU
B 9660 YM
B 9872 YU
B 9884 YU
B 9664 YU
B 9637 YM
B 9769 YM</t>
  </si>
  <si>
    <t>Mobil Barang/ FVZ 34P
Truck Tronton Dump/ FM 8JNKD-MGJ(6x4)MT(FM260JD)</t>
  </si>
  <si>
    <t>Bandar Lampung</t>
  </si>
  <si>
    <t>Hino/ Truck Tronton Dump</t>
  </si>
  <si>
    <t>Bapak Nur (085382020212)</t>
  </si>
  <si>
    <t>Hino/ Mobil Barang</t>
  </si>
  <si>
    <t>Bapak Daro ()5314243306)</t>
  </si>
  <si>
    <t>Richard Barus (Penilai), Robbi Sugara Ginting&amp;Firdaus Ginting (Pelaksana Inspeksi)</t>
  </si>
  <si>
    <t>12 Unit kendaraan</t>
  </si>
  <si>
    <t>1. Hino No. Polisi B 9863 YU Tahun 2014 (Dump Truck)
2.  Hino No. Polisi B 9710 YU Tahun 2014 (Dump Truck)
3. Hino No. Polisi B 9907 YU Tahun 2014 (Dump Truck)
4.  Hino No. Polisi B 9638 YU Tahun 2014 (Dump Truck)
5. Isuzu No. Polisi B 9009 YU Tahun 2013 (Dump Truck)
6. Isuzu No. Polisi B  9954 YM Tahun 2013 (Dump Truck)
7.  Isuzu No. Polisi B  9751 YM Tahun 2013 (Dump Truck)
8.  Isuzu No. Polisi B  9755 YM Tahun 2013 (Dump Truck)
9.  Isuzu No. Polisi B  9758 YM Tahun 2013 (Dump Truck)
10.  Isuzu No. Polisi B  9760 YM Tahun 2013 (Dump Truck)
11.  Isuzu No. Polisi B  9770 YM Tahun 2013 (Dump Truck)
12.  Isuzu No. Polisi B  9878 YM Tahun 2013 (Dump Truck)</t>
  </si>
  <si>
    <t>Kampung Bolang</t>
  </si>
  <si>
    <t>Desa Argapura</t>
  </si>
  <si>
    <t>Cigudeg</t>
  </si>
  <si>
    <t xml:space="preserve">B 9863 YU
B 9710 YU
B 9907 YU
B 9638 YM
B 9009 YU
B 9954 YM
B 9751 YM
B 9755 YM
B 9758 YM
B 9760 YM
B 9770 YM
B 9878 YM
</t>
  </si>
  <si>
    <t>Isuzu/ Mobil Barang</t>
  </si>
  <si>
    <t>Pak Bowo (081390227298)</t>
  </si>
  <si>
    <t>Cikande</t>
  </si>
  <si>
    <t>Bapak Tonmi Chandra (User Facebook)</t>
  </si>
  <si>
    <t xml:space="preserve">Bogor </t>
  </si>
  <si>
    <t>Isuzu/Mobil Barang</t>
  </si>
  <si>
    <t>User OLX</t>
  </si>
  <si>
    <t>00175/RBY-PPJP/BKS/IX/2023</t>
  </si>
  <si>
    <t>00084/2.0144-01/PI/10/0612/1/X/2023</t>
  </si>
  <si>
    <t xml:space="preserve">PT. Medika Loka Arcamik </t>
  </si>
  <si>
    <t>PT. Medika Loka Arcamik</t>
  </si>
  <si>
    <t>Gang Arjasari RT. 001 RW. 008</t>
  </si>
  <si>
    <t>Kel. Antapani Wetan</t>
  </si>
  <si>
    <t>Antapani</t>
  </si>
  <si>
    <t>Gang Arjasari, Kel Antapani Wetan, Kel. Antapani, Kota Bandung, Prov. Jawa Barat</t>
  </si>
  <si>
    <t>Ibu Suratmi (081224222052)</t>
  </si>
  <si>
    <t>Gang Pasir Impun Barat, Kel. Karang Pamulang, Kec. Mandalajati, Kota Bandung, Prov. Jawa Barat</t>
  </si>
  <si>
    <t>Ibu Margaretha (082126083118)</t>
  </si>
  <si>
    <t>Gang pesantren, Kel. Sukamiskin, Kec. Arcamanik, Kota Bandung, Prov. Jawa Barat</t>
  </si>
  <si>
    <t>Bapak Dadang (089695890066)</t>
  </si>
  <si>
    <t>Richard Barus (Penilai), Edwardo Krisna Sembiring &amp; Fajar Hariyadi Tambunan (Pelaksana Inspeksi)</t>
  </si>
  <si>
    <t>00198/RBY-PPJP/BKS/X/2023</t>
  </si>
  <si>
    <t>00085/2.0144-01/PI/07/0612/1/X/2023</t>
  </si>
  <si>
    <t>Jalan Mahoni Blok D Gang III No. 31 RT. 007 RW. 010</t>
  </si>
  <si>
    <t>Lagoa</t>
  </si>
  <si>
    <t>Koja</t>
  </si>
  <si>
    <t>Jalan Mangga Blok D Gang I No. xx RT. 003 RW. 010, Kel. Lagoa, Kec. Koja, Kota Jakarta Utara, Prov. DKI Jakarta</t>
  </si>
  <si>
    <t>Bapak Ferry (0816729xxx)</t>
  </si>
  <si>
    <t>Ibu Hilda (08158549xxx)</t>
  </si>
  <si>
    <t>Jalan Mangga Blok D Gang II No. xx RT. 008 RW. 010, Kel. Lagoa, Kec. Koja, Kota Jakarta Utara, Prov. DKI Jakarta</t>
  </si>
  <si>
    <t>Bapak Dudi (08138984xxxx)</t>
  </si>
  <si>
    <t>00196/RBY-PPJP/BKS/X/2023</t>
  </si>
  <si>
    <t>00086/2.0144-01/PI/07/0612/1/X/2023</t>
  </si>
  <si>
    <t>PT. Rajawali Nusantara Indonesia (Persero)</t>
  </si>
  <si>
    <t>Jalan Dr. Wahidin Sudirohusodo No. 46</t>
  </si>
  <si>
    <t>Kel. Sukapura</t>
  </si>
  <si>
    <t>Kejaksana</t>
  </si>
  <si>
    <t>Kota Cirebon</t>
  </si>
  <si>
    <t>Jalan Dr. Cipto Mangunkusumo, kel. Pekeringan, Kec. Kesambi, Kota Cirebo, Prov. Jawa Barat</t>
  </si>
  <si>
    <t>Telfon Ibu fenny D (087720000789)</t>
  </si>
  <si>
    <t>Jalan Kartini, Kel. Kejaksan, Kec. Kejaksan, Kota Cirebon, Prov. Jawa Barat</t>
  </si>
  <si>
    <t>Telfon Bapak Deny (0818714776)</t>
  </si>
  <si>
    <t>Jalan Dr. Sutomo, Kel. Pekeringan, Kec. Kesambi, Kota Cirebon, Prov. Jawa Barat</t>
  </si>
  <si>
    <t>Telfon Bapak Andre (087781682889)</t>
  </si>
  <si>
    <t>Gun Gun Bayu Sahara (Penilai), Robbi Sugara Ginting &amp; Edwardo Krisna Sembiring &amp; Fajar Hariyadi Tambunan (Pelaksana Inspeksi)</t>
  </si>
  <si>
    <t>Jalan Pangeran Sutajaya-Babakan</t>
  </si>
  <si>
    <t xml:space="preserve">Desa Babakan </t>
  </si>
  <si>
    <t>Babakan</t>
  </si>
  <si>
    <t>Jalan Pangeran Sutajaya-Babakan, Desa Babakan, Kec. Babakan, Kab. Cirebon, Prov. Jawa Barat</t>
  </si>
  <si>
    <t>Bapak Zago (081222761418)</t>
  </si>
  <si>
    <t>Jalan Merdeka Utara, Desa Gebang Udik, Kec. Gebang Udik, Kab Cirebon, Prov. Jawa Barat</t>
  </si>
  <si>
    <t>Jalan KH. Zaenal Arifin, Desa Jatipiring, Kec. Karang Warang, Kab. Cirebon, Prob. Jawa Barat</t>
  </si>
  <si>
    <t>Bapak Sang (0895370751099)</t>
  </si>
  <si>
    <t>Tanah dan Bangunan (Mess Karyawan)</t>
  </si>
  <si>
    <t>Jalan Kol. H. Burlian No. 1610 RT.25 RW 09</t>
  </si>
  <si>
    <t>Kel. Sukarami</t>
  </si>
  <si>
    <t>Sukarami</t>
  </si>
  <si>
    <t>Jalan Kol H. Burlian, Kel. Sukarame, Kec. Sukarami, Kota Palembang, Prov. Sumatra Selatan</t>
  </si>
  <si>
    <t>Jalan Kol H. Burlian No.21, Kel. Sukarame, Kec. Sukarami, Kota Palembang, Prov. Sumatra Selatan</t>
  </si>
  <si>
    <t>Ibu Yuyun Harahap (085368189975)</t>
  </si>
  <si>
    <t>Tanah dan Bangunan (Supermarket)</t>
  </si>
  <si>
    <t>Bapak Nugroho (087876825467)</t>
  </si>
  <si>
    <t>Richard Barus (Penilai&amp;Pelaksana Inspeksi)</t>
  </si>
  <si>
    <t>00170/RBY-PPJP/BKS/IX/2023</t>
  </si>
  <si>
    <t>00087/2.0144-01/PI/07/0612/1/X/2023</t>
  </si>
  <si>
    <t>Jalan Bulak Barat IV No. 10 RT. 10 RW. 003</t>
  </si>
  <si>
    <t>Kel. Klender</t>
  </si>
  <si>
    <t>Duren Sawit</t>
  </si>
  <si>
    <t>Jalan Bulak Barat IV RT. 003 RW. 06, Kel. Klender, Kec. Duren Sawit, Kota Jakarta Timur, Prov. DKI Jakarta</t>
  </si>
  <si>
    <t>Bapak Christian (08788791926)</t>
  </si>
  <si>
    <t>Bapak Tuwuh Widadi (081388991985)</t>
  </si>
  <si>
    <t>Jalan Kapitan No. 18, Kel. Klender, Kec. Duren Sawit, Kota Jakarta Timur, Prov. DKI Jakarta</t>
  </si>
  <si>
    <t>Bapak Faizal (08159745470)</t>
  </si>
  <si>
    <t>00088/2.0144-01/PI/07/0612/1/X/2023</t>
  </si>
  <si>
    <t>Jalan Walang Timur No. 32/(52) RT. 08 RW. 12</t>
  </si>
  <si>
    <t>Kel. Tugu Utara</t>
  </si>
  <si>
    <t>Jalan Walang Baru III No.133, Kel. Tugu Utara, Kec. Koja, Kota Jakarta Utara, Prov. DKI Jakarta</t>
  </si>
  <si>
    <t>Bapak Wisnu (087854203796)</t>
  </si>
  <si>
    <t>Jalan Walang Baru VI No.6, Kel. Tugu Utara, Kec. Koja, Kota Jakarta Utara, Prov. DKI Jakarta</t>
  </si>
  <si>
    <t>Bapak Faisal (0811255557917)</t>
  </si>
  <si>
    <t>Jalan Walang Baru II No. 74, Kel. Tugu Utara, Kec. Koja, Kota Jakarta Utara, Prov. DKI Jakarta</t>
  </si>
  <si>
    <t>Ibu Sofia (081293867931)</t>
  </si>
  <si>
    <t>00089/2.0144-01/PI/07/0612/1/X/2023</t>
  </si>
  <si>
    <t>Jalan Jati Padang Utara RT.011 RW. 02</t>
  </si>
  <si>
    <t>Kel. Jati Padang</t>
  </si>
  <si>
    <t>Jalan Jati Pejaten Raya, Kel. Jati Padang, Kec. Pasar Minggu, Kota Jakarta Selatan, Prov. DKI Jakarta</t>
  </si>
  <si>
    <t>Ibu Maria (0811840710)</t>
  </si>
  <si>
    <t>Jalan Jati Padang Utara, Kel. Jati Padang, Kec. Pasar Minggu, Kota Jakarta Selatan, Prov. DKI Jakarta</t>
  </si>
  <si>
    <t>Ibu Nana (081219550667)</t>
  </si>
  <si>
    <t>Bapak Amir (081219695087)</t>
  </si>
  <si>
    <t>Gun Gun Bayu Sahara (Penilai dan Pelaksana Inspeksi)</t>
  </si>
  <si>
    <t>00172/RBY-PPJP/BKS/IX/2023</t>
  </si>
  <si>
    <t>00090/2.0144-01/PI/07/0612/1/X/2023</t>
  </si>
  <si>
    <t>Kapal Platfrom (Supply Vessel) S Panglima eks Surf Panglima eks Bourbon Liberty 118</t>
  </si>
  <si>
    <t>Perairan Teluk Balikpapan PTK Shorebase Tanjung Batu (PSTB)</t>
  </si>
  <si>
    <t>Kel. Kariangau</t>
  </si>
  <si>
    <t>Balikpapan Baru</t>
  </si>
  <si>
    <t>00189/RBY-PPJP/BKS/X/2023</t>
  </si>
  <si>
    <t>00091/2.0144-01/PI/07/0612/1/X/2023</t>
  </si>
  <si>
    <t>PT. Medika Loka Pekanbaru</t>
  </si>
  <si>
    <t>Tanah dan Bangunan (Rumah Sakit Hermina Pekanbaru)</t>
  </si>
  <si>
    <t>Jalan Tuanku Tambusai</t>
  </si>
  <si>
    <t>Kel. Delima</t>
  </si>
  <si>
    <t>Tampan</t>
  </si>
  <si>
    <t>Jalan Soekarno Hatta, Kel. Delima, Kec. Tampan, Kota Pekan Baru, Prov. Riau</t>
  </si>
  <si>
    <t>Bapak Jon (082174280609)</t>
  </si>
  <si>
    <t>Jalan Tuanku Tambusai, Kel. Delima, Kec. Tampan, Kota Pekan Baru, Prov. Riau</t>
  </si>
  <si>
    <t>Ibu Oktaviyani (085247215315)</t>
  </si>
  <si>
    <t>Jalan Tuanku Tambusai, Kel. Labu Baru Timur, Kec. Payung Sekaki, Kota Pekan Baru, Prov. Riau</t>
  </si>
  <si>
    <t>Ibu Imelda Parapat (081275828875)</t>
  </si>
  <si>
    <t>Robbi Sugara Ginting (Penilai&amp;Pelaksana Inspeksi)</t>
  </si>
  <si>
    <t>00188/RBY-PPJP/BKS/X/2023</t>
  </si>
  <si>
    <t>00092/2.0144-01/PI/07/0612/1/X/2023</t>
  </si>
  <si>
    <t>PT. Medika Loka Makasar</t>
  </si>
  <si>
    <t>Tanah dan Bangunan (Rumah Sakit Hermina Makasar)</t>
  </si>
  <si>
    <t>Jalan Toddouli Raya Timur No. 7 RT. 004 RW. 001</t>
  </si>
  <si>
    <t>Kel. Borong</t>
  </si>
  <si>
    <t>Manggala</t>
  </si>
  <si>
    <t>Jalan Toddopuli Raya, Kel. Antang, Kec. Manggala, Kota Makassar, Prov. Sulawesi Selatan</t>
  </si>
  <si>
    <t>Bapak Irwan Muchtar (087704500555)</t>
  </si>
  <si>
    <t>Jalan Ujung Bori, Kel. Antang, Kec. Manggala, Kota Makassar, Prov. Sulawesi Selatan</t>
  </si>
  <si>
    <t>Ibu Martha Kalasuso (081342795495)</t>
  </si>
  <si>
    <t>Jalan Borong Indah, Kel. Kassi-kassi, Kec. Rappocini, Kota Makassar, Prov. Sulawesi Selatan</t>
  </si>
  <si>
    <t>Bapak Day (081343625177)</t>
  </si>
  <si>
    <t>Richard Barus (Penilai dan Pelaksana Inspeksi)</t>
  </si>
  <si>
    <t>00200/RBY-PPJP/BKS/X/2023</t>
  </si>
  <si>
    <t>00093/2.0144-01/PI/10/0612/1/XI/2023</t>
  </si>
  <si>
    <t>PT. Pipit Nusa Raya</t>
  </si>
  <si>
    <t>PT. Piput Nusa Raya</t>
  </si>
  <si>
    <t>Inveco Trakker AD380T38H Tahun 2016</t>
  </si>
  <si>
    <t xml:space="preserve">PT. Nunukam Bara Sukses </t>
  </si>
  <si>
    <t>Jalan Ujung Dewa RT. 11</t>
  </si>
  <si>
    <t>Desa Selisun</t>
  </si>
  <si>
    <t>Nunukan Selatan</t>
  </si>
  <si>
    <t>indonesia</t>
  </si>
  <si>
    <t>Iveco Trakker/ IVECO Cursor 13</t>
  </si>
  <si>
    <t>Bekasi</t>
  </si>
  <si>
    <t>Bapak Ryan (081283137271)</t>
  </si>
  <si>
    <t>Afrika Selatan</t>
  </si>
  <si>
    <t>Bapak Piere (+27102009221)</t>
  </si>
  <si>
    <t>Banjarmasin</t>
  </si>
  <si>
    <t>Bapak Indra Gunawan (085210262533)</t>
  </si>
  <si>
    <t xml:space="preserve">Kendaraan dan Alat Berat
</t>
  </si>
  <si>
    <t>Inveco Trakker AD380T38H Tahun 2016
Inveco Trakker AD380T38H Tahun 2016
Hydroulic Excavator Hitachi ZX470LC-5G Tahun 2016
Hydroulic Excavator Hitachi ZX350H-5G Tahun 2016</t>
  </si>
  <si>
    <t>PT. Pipit Mutiara Raya Site Sebakis</t>
  </si>
  <si>
    <t>Desa Pembeliangan</t>
  </si>
  <si>
    <t>Hitachi/ ZX470Lc-5G</t>
  </si>
  <si>
    <t>Tanggerang</t>
  </si>
  <si>
    <t>Hitachi/ZX350H-5G</t>
  </si>
  <si>
    <t>Bapak Anwar (081218698031)</t>
  </si>
  <si>
    <t>Bapak Agus (082151489979)</t>
  </si>
  <si>
    <t>Hitachi/ ZX350H-5G</t>
  </si>
  <si>
    <t>Ibu Wynna Pitarini (08179338835)</t>
  </si>
  <si>
    <t>Hydroulic Excavator Doosan DX700LC Tahun 2016
Hydroulic Excavator Doosan DX700LC Tahun 2016</t>
  </si>
  <si>
    <t>PT. Pipit Jaya Abadi Site Siberuang</t>
  </si>
  <si>
    <t>Desa Sekatak Buji</t>
  </si>
  <si>
    <t>Sekatak</t>
  </si>
  <si>
    <t>Kab. Bulungan</t>
  </si>
  <si>
    <t>Hydroulic Excavator Hitachi ZX470LC-5G Tahun 2016</t>
  </si>
  <si>
    <t>PT. Pipit Jaya Abadi Site Bebatu</t>
  </si>
  <si>
    <t>Jalan Yos Sudarso RT. 03 A No. 81</t>
  </si>
  <si>
    <t>Desa Bandan Bilkis</t>
  </si>
  <si>
    <t>Sesayap</t>
  </si>
  <si>
    <t>Kab. Tana Tidung</t>
  </si>
  <si>
    <t>00221/RBY-PPJP/BKS/XI/2023</t>
  </si>
  <si>
    <t>00094/2.0144-01/PI/12/0612/1/XI/2023</t>
  </si>
  <si>
    <t>Budhi Santoso</t>
  </si>
  <si>
    <t>Jalan Sam Ratulangi RT. 003 RW. 009</t>
  </si>
  <si>
    <t>Kel. Manahan</t>
  </si>
  <si>
    <t>Kota Surakarta</t>
  </si>
  <si>
    <t>Jalan Basuki Rahmat, Kel. Kerten, Kec. Laweyan, Kota Surakarta, Prov. Jawa Tengah</t>
  </si>
  <si>
    <t>Bapak Atharazka (089628969666)</t>
  </si>
  <si>
    <t>Jalan Sam Ratulangi, Kel. Manahan, Kec. Banjarsari, Kota Surakarta, Prov. Jawa Tengah</t>
  </si>
  <si>
    <t>Ibu Maria Lely (081327585549)</t>
  </si>
  <si>
    <t>Bapak Sugih (085292056789)</t>
  </si>
  <si>
    <t>Richard Barus &amp; Robbi Sugara Ginting (Penilai), Fajar Hariyadi Tambunan (Pelaksana Inspeksi)</t>
  </si>
  <si>
    <t>00229/RBY-PPJP/BKS/XI/2023</t>
  </si>
  <si>
    <t>00095/2.0144-01/PI/07/0612/1/XI/2023</t>
  </si>
  <si>
    <t>Jalan Radio Dalam II No. 4 RT.006 RW.013</t>
  </si>
  <si>
    <t>Kel. Gandaria Utara</t>
  </si>
  <si>
    <t>Jalan radio Dalam VII, Kel. Gandaria Utara, Kec. Kebayoran Baru, Kota Jakarta Selatan, Prov. DKI Jakarta</t>
  </si>
  <si>
    <t>Bapak David (0878878071590</t>
  </si>
  <si>
    <t>Jalan Radio Dalam V, Kel. Gandaria Utara, Kec. Kebayoran Baru, Kota Jakarta Selatan, Prov. DKI Jakarta</t>
  </si>
  <si>
    <t>Ibu Irna (0878040405570)</t>
  </si>
  <si>
    <t>Jalan Radio Dalam VII, Kel. Gandaria Utara, Kec. Kebayoran Baru, Kota Jakarta Selatan, Prov. DKI Jakarta</t>
  </si>
  <si>
    <t>Ibu Aldila (081287776761)</t>
  </si>
  <si>
    <t>00236/RBY-PPJP/BKS/XII/2023</t>
  </si>
  <si>
    <t>00096/2.0144-01/PI/07/0612/1/XII/2023</t>
  </si>
  <si>
    <t>Perum Tytyan Kencana</t>
  </si>
  <si>
    <t>Jalan ST. Baddarudin III Blok R1 No. 8 dan 9 RT.012 RW. 006</t>
  </si>
  <si>
    <t>Kel. Margamulya</t>
  </si>
  <si>
    <t>Perumahan Tytyan Kencana, Jalan ST. Baddaraudin II No. 15, Kel. Margamulya, Kec. Bekasi Utara, Kota Bekasi, Prov. Jawa Barat</t>
  </si>
  <si>
    <t>Ibu Jeane (08129283824)</t>
  </si>
  <si>
    <t>Perumahan Tytyan Kencana, Jalan Raden Patah Blok BB1 No.14, Kel. Margamulya, Kec. Bekasi Utara, Kota Bekasi, Prov. Jawa Barat</t>
  </si>
  <si>
    <t>Bapak Nizar (08161879657)</t>
  </si>
  <si>
    <t>Perumahan Tytyan Kencana, Jalan ST. Baddaraudin III Blok R1 No. 5, Kel. Margamulya, Kec. Bekasi Utara, Kota Bekasi, Prov. Jawa Barat</t>
  </si>
  <si>
    <t>Bapak Rico (082111348263)</t>
  </si>
  <si>
    <t>Gun Gun Bayu Sahara (Penilai), Firdaus Ginting (Pelaksana Inspeksi)</t>
  </si>
  <si>
    <t>00228/RBY-PPJP/BKS/XI/2023</t>
  </si>
  <si>
    <t>00097/2.0144-01/PI/07/0612/1/XII/2023</t>
  </si>
  <si>
    <t>Paramount Hill Gold Residence</t>
  </si>
  <si>
    <t>Jalan Boulevard Gading Golf No. 27</t>
  </si>
  <si>
    <t>Desa Cihuni</t>
  </si>
  <si>
    <t>Paramount Hill Golf Residence, Jalan Gading Golf Boulevard Blok GGB No.10, Desa Cihuni, Kec. Pagedangan, Kab. Tanggerang, Prov. Banten</t>
  </si>
  <si>
    <t>Ibu Eva (08161176822)</t>
  </si>
  <si>
    <t>Paramount Hill Golf Residence, Jalan Gading Golf Boulevard Blok GGB No.31 dan No. 32, Desa Cihuni, Kec. Pagedangan, Kab. Tanggerang, Prov. Banten</t>
  </si>
  <si>
    <t>Ibu Gree (081513999388)</t>
  </si>
  <si>
    <t>Paramount Hill Golf Residence, Jalan Gading Golf Boulevard Blok GGB No.7, Desa Cihuni, Kec. Pagedangan, Kab. Tanggerang, Prov. Banten</t>
  </si>
  <si>
    <t>Robbi Sugara Ginting (Penilai), Edwardo Krisna Sembiring dan Firdaus Ginting (Pelaksana Inspeksi)</t>
  </si>
  <si>
    <t>Jalan Boulevard Gading Golf No. 67</t>
  </si>
  <si>
    <t>00234/RBY-PPJP/BKS/XII/2023</t>
  </si>
  <si>
    <t>00098/2.0144-01/PI/07/0612/1/XII/2023</t>
  </si>
  <si>
    <t xml:space="preserve">Perumahan Taman Kebon Jeruk </t>
  </si>
  <si>
    <t>Jalan Jeruk Utama 4 Blok E.1 No. 38 dan 39</t>
  </si>
  <si>
    <t>Kel. Srengseng</t>
  </si>
  <si>
    <t>Kembangan</t>
  </si>
  <si>
    <t>Perumahan Taman Kebon Jeruk, Jalan Jeruk Joglo, Kel. Srengseng, Kec. Kembangan, Kota Jakarta Barat, Prov. DKI Jakarta</t>
  </si>
  <si>
    <t>Ibu Wenny (08788220xxxx)</t>
  </si>
  <si>
    <t>Perumahan Taman Kebon Jeruk, Jalan Jeruk Kembar, Kel. Srengseng, Kec. Kembangan, Kota Jakarta Barat, Prov. DKI Jakarta</t>
  </si>
  <si>
    <t>Ibu Nancie (0818818181xxxx)</t>
  </si>
  <si>
    <t>Perumahan Taman Kebon Jeruk, Jalan Jeruk Utama, Kel. Srengseng, Kec. Kembangan, Kota Jakarta Barat, Prov. DKI Jakarta</t>
  </si>
  <si>
    <t>Richard Barus (Penilai), Faajar Hariyadi Tambunan (Pelaksana Inspkesi)</t>
  </si>
  <si>
    <t>00203/RBY-PPJP/BKS/X/2023</t>
  </si>
  <si>
    <t>00099/2.0144-01/PI/10/0612/1/XII/2023</t>
  </si>
  <si>
    <t>Desa Pancowati I</t>
  </si>
  <si>
    <t>Terbanggi Besar</t>
  </si>
  <si>
    <t>Kab. Lampung Tengah</t>
  </si>
  <si>
    <t>Desa Purnama Tunggal, Kec. Way Pangubuan, Kab. Lampung Tengah, Prov. Lampung</t>
  </si>
  <si>
    <t>Bapak Bambang (089635506441)</t>
  </si>
  <si>
    <t>Bapak Eka (085896546844)</t>
  </si>
  <si>
    <t>Bapak Sumino (085383285563)</t>
  </si>
  <si>
    <t>Robbi Sugara Ginting (Penilai), Fajar Hariyadi Tambunana (Pelaksana Inspkesi)</t>
  </si>
  <si>
    <t>00239/RBY-PPJP/BKS/XII/2023</t>
  </si>
  <si>
    <t>00100/2.0144-01/PI/07/0612/1/XII/2023</t>
  </si>
  <si>
    <t>Tanah dan Bangunan (Hotel Wyndham Hotel)</t>
  </si>
  <si>
    <t>Jalan Basuki Rahmat No.67-73</t>
  </si>
  <si>
    <t>Kel. Embong Kaliasin</t>
  </si>
  <si>
    <t>Genteng</t>
  </si>
  <si>
    <t>Jalan Basuki Rahmat No.16-17, Kel. Kedungdoro, Kec. Tegalsari, Kota Surabaya, Prov. Jawa Timur</t>
  </si>
  <si>
    <t>Tanah dan Bangunan (Gedung ICBC)</t>
  </si>
  <si>
    <t>Bapak Rizky Amanda (087851143552)</t>
  </si>
  <si>
    <t>Jalan Embung Malang, Kel. Kedungdoro, Kec. Tegalsari, Kota Surabaya, Prov. Jawa Timur</t>
  </si>
  <si>
    <t>Ibu Anna (082116659899)</t>
  </si>
  <si>
    <t>Jalan Panglima Sudirman, Kel.Embong Kaliasin, Kec. Genteng, Kota Surabaya, Prov. Jawa Timur</t>
  </si>
  <si>
    <t>Tanah dan Bangunan (Hotel Tanjung)</t>
  </si>
  <si>
    <t>Ibu Susi (08123269520)</t>
  </si>
  <si>
    <t>peralatan</t>
  </si>
  <si>
    <t>Lift &amp; Escalator
Chiller
Colling Tower
FCU % AHU
Genset
Pompa Hydrand
Equipment All</t>
  </si>
  <si>
    <t>00241/RBY-PPJP/BKS/XII/2023</t>
  </si>
  <si>
    <t>00101/2.0144-01/PI/10/0612/1/XII/2023</t>
  </si>
  <si>
    <t>PT. Gosyen Sejahtera Utama</t>
  </si>
  <si>
    <t>Jalan N. Kusno Tungkodu</t>
  </si>
  <si>
    <t>Kel. Dutulana</t>
  </si>
  <si>
    <t>Limboto</t>
  </si>
  <si>
    <t>Kota Gorontalo</t>
  </si>
  <si>
    <t>Gorontalo</t>
  </si>
  <si>
    <t>Jalan Prof. Dr. Sahmina Nur, SH, Kel. Dutulanaa, Kec. Limboto, Kab. Gorontalo, Prov. Gorontalo</t>
  </si>
  <si>
    <t>Ibu Maria (081356277739)</t>
  </si>
  <si>
    <t>Jalan Sun Ismail, Kel. kayubulan, Kec. Limboto, Kab. Gorontalo, Prov. Gorontalo</t>
  </si>
  <si>
    <t>Bapak Sukirman (082293635005)</t>
  </si>
  <si>
    <t>Jalan Ahmad A. Wahab, Kel. Luhu, Kec. Telaga, Kab. Gorontalo, Prov. Gorontalo</t>
  </si>
  <si>
    <t>Bapak Madani (082116323838)</t>
  </si>
  <si>
    <t>Richard Barus (Penilai &amp; Pelaksana Inspeksi)</t>
  </si>
  <si>
    <t>00240/RBY-PPJP/BKS/XII/2023</t>
  </si>
  <si>
    <t>00102/2.0144-01/PI/10/0612/1/XII/2023</t>
  </si>
  <si>
    <t>PT. Maxi Tam Jaya</t>
  </si>
  <si>
    <t>Perumahan Royal Tam Citeras</t>
  </si>
  <si>
    <t>Jalan Cikande-Rangkasbitung</t>
  </si>
  <si>
    <t>Desa Cemplang</t>
  </si>
  <si>
    <t>Jawilan</t>
  </si>
  <si>
    <t>Komplek Saka Hill, Jalan Prof. DR. Ir. Soetami, Desa Sukamanah, Kec. Rangkasbitung, Kab. Lebak, Prov. Banten</t>
  </si>
  <si>
    <t>Ibu Nani (085102889299)</t>
  </si>
  <si>
    <t>Komplek Bukit Ciawi Regency, Kp. Leik, Desa Sukamanah, Kec. Rangkasbitung, Kab. Lebak, Prov. Banten</t>
  </si>
  <si>
    <t>Ibu Susi (087773684392)</t>
  </si>
  <si>
    <t>Perumahan Grand Citeras, Jalan Raya Maja, Desa Cempiang, Kec. Jawilan, Kab. Serang, Prov. Banten</t>
  </si>
  <si>
    <t>Ibu Amel (081386748566)</t>
  </si>
  <si>
    <t>00184/RBY-PPJP/BKS/X/2023</t>
  </si>
  <si>
    <t>00103/2.0144-01/PI/10/0612/1/XII/2023</t>
  </si>
  <si>
    <t>PT. Medika Loka Bogor</t>
  </si>
  <si>
    <t>Tanah dan Bangunan (Rumah Sakit Hermina Bogor)</t>
  </si>
  <si>
    <t>Jalan Ring Road I Kav. 23,25,27</t>
  </si>
  <si>
    <t xml:space="preserve">Kel. Curug Mekar </t>
  </si>
  <si>
    <t>Bogor Barat</t>
  </si>
  <si>
    <t>Kota Bogor</t>
  </si>
  <si>
    <t>Jalan Raya Yasmin, Kel. Curug Mekar, Kec.Bogor Barat, Kota Bogor, Prov. Jawa Barat</t>
  </si>
  <si>
    <t>Bapak Calyadi (082299820306)</t>
  </si>
  <si>
    <t>Bapak Cahyadi (082299820306)</t>
  </si>
  <si>
    <t>jalan sholeh Iskandar, Kel. Kedungbadak, Kec. Tanah Sereal, kota Bogor, Prov. Jawa Barat</t>
  </si>
  <si>
    <t>Bapak Firdaus (085322555666)</t>
  </si>
  <si>
    <t>Gun Gun Bayu Sahara (Penilai), Firdaus Ginting &amp; Edwado Krisna Sembiring (Pelaksana Inspeksi)</t>
  </si>
  <si>
    <t>00185/RBY-PPJP/BKS/X/2023</t>
  </si>
  <si>
    <t>00104/2.0144-01/PI/10/0612/1/XII/2023</t>
  </si>
  <si>
    <t>PT. Medika Loka Ciledug</t>
  </si>
  <si>
    <t>Tanah dan Bangunan (Rumah Sakit Hermina Ciledug)</t>
  </si>
  <si>
    <t>Jalan H. Mencong RT. 001 RW. 01</t>
  </si>
  <si>
    <t>Kel. Sudirmara Timur</t>
  </si>
  <si>
    <t>Ciledug</t>
  </si>
  <si>
    <t>Jalan radeh Fatah, Kel. Parung Serap, Kec.Ciledug, Kota Tanggerang, Prov. Banten</t>
  </si>
  <si>
    <t>Ibu Erna (085710009081)</t>
  </si>
  <si>
    <t>Jalan HOS Cokroaminoto, Kel. Sudimara Timur, Kec.Ciledug, Kota Tanggerang, Prov. Banten</t>
  </si>
  <si>
    <t>Bapak Andi Wang (082122007679)</t>
  </si>
  <si>
    <t>Jalan HOS Cokroaminoto, Kel.Larangan Utara, Kec.Ciledug, Kota Tanggerang, Prov. Banten</t>
  </si>
  <si>
    <t>Bapak Robert Ljhooker Gds (085921210088)</t>
  </si>
  <si>
    <t>00186/RBY-PPJP/BKS/X/2023</t>
  </si>
  <si>
    <t>00105/2.0144-01/PI/10/0612/1/XII/2023</t>
  </si>
  <si>
    <t>PT. Medika Loka Manado</t>
  </si>
  <si>
    <t>Tanah dan Bangunan (Rumah Sakit Hermina Manado)</t>
  </si>
  <si>
    <t>Jalan Ring Road 2 Lingkungan I</t>
  </si>
  <si>
    <t>Kel. Paniki Bawah</t>
  </si>
  <si>
    <t>Mapanget</t>
  </si>
  <si>
    <t>Jalan A.A Maramis, Kel. Paniki Bawah, Kec. Mapangat, Kota Mando, Prov.Sulawesi Utara</t>
  </si>
  <si>
    <t>Ibu Rosaline Kandoy (081244279980)</t>
  </si>
  <si>
    <t>Jalan Ring Road 2, Kel. Paniki Bawah, Kec. Mapangat, Kota Mando, Prov.Sulawesi Utara</t>
  </si>
  <si>
    <t>Bapak Theo (089601000007)</t>
  </si>
  <si>
    <t>Ibu Laurrina (0821885960550)</t>
  </si>
  <si>
    <t>00187/RBY-PPJP/BKS/X/2023</t>
  </si>
  <si>
    <t>00106/2.0144-01/PI/10/0612/1/XII/2023</t>
  </si>
  <si>
    <t>PT. Medika Loka Podomoro</t>
  </si>
  <si>
    <t>Tanah dan Bangunan (Rumah Sakit Hermina Podomoro)</t>
  </si>
  <si>
    <t>Jalan Danau Agung 2 Blok E3 Kav. 4 No. 28-30</t>
  </si>
  <si>
    <t>Tanjung Priok</t>
  </si>
  <si>
    <t xml:space="preserve">Jalan Agung Indah 3, Kel. Sunter Agung, Kec. Tanjung Priok, Kota Jakarta Utara, Prov. DKI Jakarta </t>
  </si>
  <si>
    <t>Bapak Andi (081364667909)</t>
  </si>
  <si>
    <t xml:space="preserve">Jalan Danau Sunter Barat Blok A, Kel. Sunter Agung, Kec. Tanjung Priok, Kota Jakarta Utara, Prov. DKI Jakarta </t>
  </si>
  <si>
    <t>Ibu Rose (08159800801)</t>
  </si>
  <si>
    <t xml:space="preserve">Jalan Agung Tengah 4, Kel. Sunter Agung, Kec. Tanjung Priok, Kota Jakarta Utara, Prov. DKI Jakarta </t>
  </si>
  <si>
    <t>Ibu Mariana (087865657575)</t>
  </si>
  <si>
    <t>Richard Barus (Penilai), Edwardo Krisna Sembiring &amp; Firdaus Ginting (Pelaksana Inspeksi)</t>
  </si>
  <si>
    <t>00190/RBY-PPJP/BKS/X/2023</t>
  </si>
  <si>
    <t>00107/2.0144-01/PI/10/0612/1/XII/2023</t>
  </si>
  <si>
    <t>PT. Medika Loka Samarinda</t>
  </si>
  <si>
    <t>Tanah dan Bangunan (Rumah Sakit Hermina Samarinda)</t>
  </si>
  <si>
    <t>Jalan Raya Teuku Umar</t>
  </si>
  <si>
    <t>Kel. Karang Asam Ilir</t>
  </si>
  <si>
    <t>Sungai Kunjang</t>
  </si>
  <si>
    <t>Kota Samarinda</t>
  </si>
  <si>
    <t>Jalan Raya Teuku Umar, Kel. Karang Asam Ilir, Kec. Sungai Kunjang, Kota Samarinda, Prov. Kalimantan Timur</t>
  </si>
  <si>
    <t>Bapak Charles (085251857288)</t>
  </si>
  <si>
    <t>Agent Art &amp; Entertainment (085822169566)</t>
  </si>
  <si>
    <t>Jalan Raya jakarta 1, Kel. Loa Bakung, Kec. Sungai Kunjang, Kota Samarinda, Prov. Kalimantan Timur</t>
  </si>
  <si>
    <t>Bapak Bobbi (0878528011191)</t>
  </si>
  <si>
    <t>00227/RBY-PPJP/BKS/XI/2023</t>
  </si>
  <si>
    <t>00108/2.0144-01/PI/10/0612/1/XII/2023</t>
  </si>
  <si>
    <t>PT. Sarolangun Prima Coal</t>
  </si>
  <si>
    <t>Jalan Trikora</t>
  </si>
  <si>
    <t>Kel. Kemuning</t>
  </si>
  <si>
    <t>Banjarbaru Selatan</t>
  </si>
  <si>
    <t>Kota Banjarbaru</t>
  </si>
  <si>
    <t>Kalimantan Selatan</t>
  </si>
  <si>
    <t>jalan Trikora, Kel. Kemuning, Kec. Banjarbaru Selatan, Kota Banjarbaru, Prov. Kalimatan Selatan</t>
  </si>
  <si>
    <t>Bapak Sugi(08125536501)</t>
  </si>
  <si>
    <t>Ibu Eva (081348701654)</t>
  </si>
  <si>
    <t>jalan Trikora Kel. Guntung Manggis, Kec. Banjarbaru Selatan, Kota Banjarbaru, Prov. Kalimatan Selatan</t>
  </si>
  <si>
    <t>Tanah dan Bangunan (Workshop)</t>
  </si>
  <si>
    <t>Bapak Jainipin (0811507562)</t>
  </si>
  <si>
    <t>Jalan Mitra praja</t>
  </si>
  <si>
    <t>Jalan Mitra Praja, Kel. Kemuning, Kec. Banjarbaru Selatan, Kota Banjarbaru, Prov. Kalimantan Selatan</t>
  </si>
  <si>
    <t>Bapak Maulana (08115022217)</t>
  </si>
  <si>
    <t>Jalan Sumber Arum</t>
  </si>
  <si>
    <t>Jalan Hijriyah, Kel. Kemuning, Kec. Banjarbaru Selatan, Kota Banjarbaru, Prov. Kalimantan Selatan</t>
  </si>
  <si>
    <t>Ibu Hasanah (0812200178090)</t>
  </si>
  <si>
    <t>Jalan Medan, Kel. Kemuning, Kec. Banjarbaru Selatan, Kota Banjarbaru, Prov. Kalimantan Selatan</t>
  </si>
  <si>
    <t>Ibu Rina (08115001634)</t>
  </si>
  <si>
    <t>Jalan Bumi Berkat 5, Kel. Guntung Paikat, Kec. Banjarbaru Selatan, Kota Banjarbaru, Prov. Kalimantan Selatan</t>
  </si>
  <si>
    <t>Ibu Sigit (081220018090)</t>
  </si>
  <si>
    <t>Jalan Bukit Lestari IV</t>
  </si>
  <si>
    <t>Komplek Ruko Mega Grosir Cempaka Mas</t>
  </si>
  <si>
    <t>Jalan Ruko Cempaka Mas Blok H No.2</t>
  </si>
  <si>
    <t>Kemayoran</t>
  </si>
  <si>
    <t>Jakarta Pusat</t>
  </si>
  <si>
    <t>Nilai Pasr</t>
  </si>
  <si>
    <t>Komplek Ruko Mega Grosir Cempaka Mas, Ruko Cempaka Mas Blok H No, 7&amp;8, Kel. Sumur Batu, Kec. Kemayoran, Kota Jakarta Pusat, Prov. DKI Jakarta</t>
  </si>
  <si>
    <t>2 unit Ruko</t>
  </si>
  <si>
    <t>Ibu Lydia (081285910700)</t>
  </si>
  <si>
    <t>Komplek Ruko Mega Grosir Cempaka Mas, Ruko Cempaka Mas Blok G No.6, Kel. Sumur Batu, Kec. Kemayoran, Kota Jakarta Pusat, Prov. DKI Jakarta</t>
  </si>
  <si>
    <t>Bapak Jimmy (08561688888)</t>
  </si>
  <si>
    <t>Komplek Ruko Mega Grosir Cempaka Mas, Ruko Cempaka Mas Blok M1 No.39, Kel. Sumur Batu, Kec. Kemayoran, Kota Jakarta Pusat, Prov. DKI Jakarta</t>
  </si>
  <si>
    <t>Bapak Parman (081286867887)</t>
  </si>
  <si>
    <t>Richard Barus (Penilai), Edwardo Sembiring &amp; Firdaus Ginting (Pelaksana Inspeksi)</t>
  </si>
  <si>
    <t>Laporan Tahun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</si>
</sst>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421]dd\ mmmm\ yyyy;@"/>
    <numFmt numFmtId="165" formatCode="[$-409]d\-mmm\-yy;@"/>
    <numFmt numFmtId="166" formatCode="_-[$Rp-421]* #,##0_-;\-[$Rp-421]* #,##0_-;_-[$Rp-421]* &quot;-&quot;_-;_-@_-"/>
    <numFmt numFmtId="167" formatCode="_-[$Rp-421]* #,##0.00_-;\-[$Rp-421]* #,##0.00_-;_-[$Rp-421]* &quot;-&quot;??_-;_-@_-"/>
    <numFmt numFmtId="168" formatCode="#,##0;[Red]#,##0"/>
  </numFmts>
  <fonts count="10"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charset val="1"/>
      <scheme val="minor"/>
    </font>
    <font>
      <b/>
      <sz val="10"/>
      <color indexed="8"/>
      <name val="Arial Narrow"/>
      <family val="2"/>
    </font>
    <font>
      <b/>
      <sz val="10"/>
      <color theme="1"/>
      <name val="Arial Narrow"/>
      <family val="2"/>
    </font>
    <font>
      <sz val="20"/>
      <color theme="1"/>
      <name val="Calibri"/>
      <family val="2"/>
      <scheme val="minor"/>
    </font>
    <font>
      <sz val="11"/>
      <color rgb="FFEE0000"/>
      <name val="Calibri"/>
      <family val="2"/>
      <scheme val="minor"/>
    </font>
    <font>
      <i/>
      <sz val="11"/>
      <color theme="1"/>
      <name val="Calibri"/>
      <family val="2"/>
      <scheme val="minor"/>
    </font>
    <font>
      <i/>
      <sz val="11"/>
      <color rgb="FFFF0000"/>
      <name val="Calibri"/>
      <family val="2"/>
      <scheme val="minor"/>
    </font>
  </fonts>
  <fills count="8">
    <fill>
      <patternFill patternType="none"/>
    </fill>
    <fill>
      <patternFill patternType="gray125"/>
    </fill>
    <fill>
      <patternFill patternType="solid">
        <fgColor indexed="13"/>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43" fontId="3" fillId="0" borderId="0" applyFont="0" applyFill="0" applyBorder="0" applyAlignment="0" applyProtection="0"/>
    <xf numFmtId="0" fontId="3" fillId="0" borderId="0"/>
  </cellStyleXfs>
  <cellXfs count="89">
    <xf numFmtId="0" fontId="0" fillId="0" borderId="0" xfId="0"/>
    <xf numFmtId="43" fontId="4" fillId="2" borderId="1" xfId="1" applyFont="1" applyFill="1" applyBorder="1" applyAlignment="1">
      <alignment horizontal="center" vertical="center" wrapText="1"/>
    </xf>
    <xf numFmtId="14" fontId="4" fillId="2" borderId="1" xfId="1" applyNumberFormat="1"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horizontal="center" vertical="center" wrapText="1"/>
    </xf>
    <xf numFmtId="49" fontId="4" fillId="2" borderId="1" xfId="2" applyNumberFormat="1" applyFont="1" applyFill="1" applyBorder="1" applyAlignment="1">
      <alignment horizontal="center" vertical="center" wrapText="1"/>
    </xf>
    <xf numFmtId="164" fontId="4" fillId="2" borderId="1" xfId="2" applyNumberFormat="1" applyFont="1" applyFill="1" applyBorder="1" applyAlignment="1">
      <alignment horizontal="center" vertical="center" wrapText="1"/>
    </xf>
    <xf numFmtId="165" fontId="4" fillId="2" borderId="1" xfId="2" applyNumberFormat="1" applyFont="1" applyFill="1" applyBorder="1" applyAlignment="1">
      <alignment horizontal="center" vertical="center" wrapText="1"/>
    </xf>
    <xf numFmtId="165" fontId="4" fillId="2" borderId="5" xfId="2" applyNumberFormat="1" applyFont="1" applyFill="1" applyBorder="1" applyAlignment="1">
      <alignment horizontal="center" vertical="center" wrapText="1"/>
    </xf>
    <xf numFmtId="165" fontId="4" fillId="2" borderId="2" xfId="2" applyNumberFormat="1" applyFont="1" applyFill="1" applyBorder="1" applyAlignment="1">
      <alignment horizontal="center" vertical="center" wrapText="1"/>
    </xf>
    <xf numFmtId="165" fontId="4" fillId="2" borderId="4" xfId="2" applyNumberFormat="1" applyFont="1" applyFill="1" applyBorder="1" applyAlignment="1">
      <alignment horizontal="center" vertical="center" wrapText="1"/>
    </xf>
    <xf numFmtId="165" fontId="4" fillId="2" borderId="3" xfId="2" applyNumberFormat="1" applyFont="1" applyFill="1" applyBorder="1" applyAlignment="1">
      <alignment horizontal="center" vertical="center" wrapText="1"/>
    </xf>
    <xf numFmtId="166" fontId="4" fillId="2" borderId="1" xfId="2" applyNumberFormat="1" applyFont="1" applyFill="1" applyBorder="1" applyAlignment="1">
      <alignment horizontal="center" vertical="center" wrapText="1"/>
    </xf>
    <xf numFmtId="166" fontId="4" fillId="2" borderId="4" xfId="2" applyNumberFormat="1" applyFont="1" applyFill="1" applyBorder="1" applyAlignment="1">
      <alignment horizontal="center" vertical="center" wrapText="1"/>
    </xf>
    <xf numFmtId="43" fontId="4" fillId="2" borderId="6" xfId="1" applyFont="1" applyFill="1" applyBorder="1" applyAlignment="1">
      <alignment horizontal="center" vertical="center" wrapText="1"/>
    </xf>
    <xf numFmtId="14" fontId="4" fillId="2" borderId="6" xfId="1" applyNumberFormat="1" applyFont="1" applyFill="1" applyBorder="1" applyAlignment="1">
      <alignment horizontal="center" vertical="center" wrapText="1"/>
    </xf>
    <xf numFmtId="0" fontId="4" fillId="2" borderId="6"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4" fillId="3" borderId="5" xfId="2" applyFont="1" applyFill="1" applyBorder="1" applyAlignment="1">
      <alignment horizontal="center" vertical="center" wrapText="1"/>
    </xf>
    <xf numFmtId="0" fontId="4" fillId="4" borderId="5" xfId="2" applyFont="1" applyFill="1" applyBorder="1" applyAlignment="1">
      <alignment horizontal="center" vertical="center" wrapText="1"/>
    </xf>
    <xf numFmtId="0" fontId="0" fillId="5" borderId="5" xfId="0" applyFill="1" applyBorder="1" applyAlignment="1">
      <alignment horizontal="center" vertical="center" wrapText="1"/>
    </xf>
    <xf numFmtId="49" fontId="4" fillId="2" borderId="6" xfId="2" applyNumberFormat="1" applyFont="1" applyFill="1" applyBorder="1" applyAlignment="1">
      <alignment horizontal="center" vertical="center" wrapText="1"/>
    </xf>
    <xf numFmtId="164" fontId="4" fillId="2" borderId="6" xfId="2" applyNumberFormat="1" applyFont="1" applyFill="1" applyBorder="1" applyAlignment="1">
      <alignment horizontal="center" vertical="center" wrapText="1"/>
    </xf>
    <xf numFmtId="165" fontId="4" fillId="2" borderId="6" xfId="2" applyNumberFormat="1" applyFont="1" applyFill="1" applyBorder="1" applyAlignment="1">
      <alignment horizontal="center" vertical="center" wrapText="1"/>
    </xf>
    <xf numFmtId="0" fontId="5" fillId="5" borderId="5" xfId="0" applyFont="1" applyFill="1" applyBorder="1" applyAlignment="1">
      <alignment horizontal="center" vertical="center"/>
    </xf>
    <xf numFmtId="166" fontId="4" fillId="2" borderId="5" xfId="2" applyNumberFormat="1" applyFont="1" applyFill="1" applyBorder="1" applyAlignment="1">
      <alignment horizontal="center" vertical="center" wrapText="1"/>
    </xf>
    <xf numFmtId="167" fontId="4" fillId="2" borderId="5" xfId="2" applyNumberFormat="1" applyFont="1" applyFill="1" applyBorder="1" applyAlignment="1">
      <alignment horizontal="center" vertical="center" wrapText="1"/>
    </xf>
    <xf numFmtId="166" fontId="4" fillId="2" borderId="6" xfId="2"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6" borderId="5" xfId="0" applyFill="1" applyBorder="1" applyAlignment="1">
      <alignment horizontal="center" vertical="center" wrapText="1"/>
    </xf>
    <xf numFmtId="164" fontId="0" fillId="6" borderId="5" xfId="0" applyNumberFormat="1" applyFill="1" applyBorder="1" applyAlignment="1">
      <alignment horizontal="center" vertical="center" wrapText="1"/>
    </xf>
    <xf numFmtId="3" fontId="0" fillId="6" borderId="5" xfId="0" applyNumberFormat="1" applyFill="1" applyBorder="1" applyAlignment="1">
      <alignment horizontal="center" vertical="center" wrapText="1"/>
    </xf>
    <xf numFmtId="166" fontId="0" fillId="6" borderId="5" xfId="0" applyNumberFormat="1" applyFill="1" applyBorder="1" applyAlignment="1">
      <alignment horizontal="center" vertical="center" wrapText="1"/>
    </xf>
    <xf numFmtId="168" fontId="0" fillId="6" borderId="5" xfId="0" applyNumberFormat="1" applyFill="1" applyBorder="1" applyAlignment="1">
      <alignment horizontal="center" vertical="center" wrapText="1"/>
    </xf>
    <xf numFmtId="164" fontId="0" fillId="0" borderId="5" xfId="0" applyNumberFormat="1" applyBorder="1" applyAlignment="1">
      <alignment horizontal="center" vertical="center" wrapText="1"/>
    </xf>
    <xf numFmtId="166" fontId="0" fillId="0" borderId="5" xfId="0" applyNumberFormat="1" applyBorder="1" applyAlignment="1">
      <alignment horizontal="center" vertical="center" wrapText="1"/>
    </xf>
    <xf numFmtId="3" fontId="0" fillId="0" borderId="5" xfId="0" applyNumberFormat="1" applyBorder="1" applyAlignment="1">
      <alignment horizontal="center" vertical="center" wrapText="1"/>
    </xf>
    <xf numFmtId="168" fontId="0" fillId="0" borderId="5" xfId="0" applyNumberFormat="1" applyBorder="1" applyAlignment="1">
      <alignment horizontal="center" vertical="center" wrapText="1"/>
    </xf>
    <xf numFmtId="0" fontId="1" fillId="0" borderId="5" xfId="0" applyFont="1" applyBorder="1" applyAlignment="1">
      <alignment horizontal="center" vertical="center" wrapText="1"/>
    </xf>
    <xf numFmtId="164" fontId="1" fillId="0" borderId="5" xfId="0" applyNumberFormat="1" applyFont="1" applyBorder="1" applyAlignment="1">
      <alignment horizontal="center" vertical="center" wrapText="1"/>
    </xf>
    <xf numFmtId="3" fontId="1" fillId="0" borderId="5" xfId="0" applyNumberFormat="1" applyFont="1" applyBorder="1" applyAlignment="1">
      <alignment horizontal="center" vertical="center" wrapText="1"/>
    </xf>
    <xf numFmtId="166" fontId="1" fillId="0" borderId="5" xfId="0" applyNumberFormat="1" applyFont="1" applyBorder="1" applyAlignment="1">
      <alignment horizontal="center" vertical="center" wrapText="1"/>
    </xf>
    <xf numFmtId="168" fontId="1" fillId="0" borderId="5" xfId="0" applyNumberFormat="1" applyFont="1" applyBorder="1" applyAlignment="1">
      <alignment horizontal="center" vertical="center" wrapText="1"/>
    </xf>
    <xf numFmtId="0" fontId="2" fillId="7" borderId="5" xfId="0" applyFont="1" applyFill="1" applyBorder="1" applyAlignment="1">
      <alignment horizontal="center" vertical="center" wrapText="1"/>
    </xf>
    <xf numFmtId="3" fontId="2" fillId="7" borderId="5" xfId="0" applyNumberFormat="1" applyFont="1" applyFill="1" applyBorder="1" applyAlignment="1">
      <alignment horizontal="center" vertical="center" wrapText="1"/>
    </xf>
    <xf numFmtId="164" fontId="2" fillId="7" borderId="5" xfId="0" applyNumberFormat="1" applyFont="1" applyFill="1" applyBorder="1" applyAlignment="1">
      <alignment horizontal="center" vertical="center" wrapText="1"/>
    </xf>
    <xf numFmtId="166" fontId="2" fillId="7" borderId="5" xfId="0" applyNumberFormat="1" applyFont="1" applyFill="1" applyBorder="1" applyAlignment="1">
      <alignment horizontal="center" vertical="center" wrapText="1"/>
    </xf>
    <xf numFmtId="168" fontId="2" fillId="7" borderId="5" xfId="0" applyNumberFormat="1" applyFont="1" applyFill="1" applyBorder="1" applyAlignment="1">
      <alignment horizontal="center" vertical="center" wrapText="1"/>
    </xf>
    <xf numFmtId="0" fontId="0" fillId="7" borderId="5" xfId="0" applyFill="1" applyBorder="1" applyAlignment="1">
      <alignment horizontal="center" vertical="center" wrapText="1"/>
    </xf>
    <xf numFmtId="3" fontId="0" fillId="7" borderId="5" xfId="0" applyNumberFormat="1" applyFill="1" applyBorder="1" applyAlignment="1">
      <alignment horizontal="center" vertical="center" wrapText="1"/>
    </xf>
    <xf numFmtId="164" fontId="0" fillId="7" borderId="5" xfId="0" applyNumberFormat="1" applyFill="1" applyBorder="1" applyAlignment="1">
      <alignment horizontal="center" vertical="center" wrapText="1"/>
    </xf>
    <xf numFmtId="166" fontId="0" fillId="7" borderId="5" xfId="0" applyNumberFormat="1" applyFill="1" applyBorder="1" applyAlignment="1">
      <alignment horizontal="center" vertical="center" wrapText="1"/>
    </xf>
    <xf numFmtId="168" fontId="0" fillId="7" borderId="5" xfId="0" applyNumberFormat="1" applyFill="1" applyBorder="1" applyAlignment="1">
      <alignment horizontal="center" vertical="center" wrapText="1"/>
    </xf>
    <xf numFmtId="0" fontId="6" fillId="0" borderId="0" xfId="0" applyFont="1" applyAlignment="1">
      <alignment horizontal="center" vertical="center"/>
    </xf>
    <xf numFmtId="0" fontId="6" fillId="0" borderId="7" xfId="0" applyFont="1" applyBorder="1" applyAlignment="1">
      <alignment horizontal="center" vertical="center"/>
    </xf>
    <xf numFmtId="167" fontId="0" fillId="6" borderId="5" xfId="0" applyNumberFormat="1" applyFill="1" applyBorder="1" applyAlignment="1">
      <alignment horizontal="center" vertical="center" wrapText="1"/>
    </xf>
    <xf numFmtId="167" fontId="2" fillId="7" borderId="5" xfId="0" applyNumberFormat="1" applyFont="1" applyFill="1" applyBorder="1" applyAlignment="1">
      <alignment horizontal="center" vertical="center" wrapText="1"/>
    </xf>
    <xf numFmtId="0" fontId="7" fillId="6" borderId="5" xfId="0" applyFont="1" applyFill="1" applyBorder="1" applyAlignment="1">
      <alignment horizontal="center" vertical="center" wrapText="1"/>
    </xf>
    <xf numFmtId="164" fontId="7" fillId="6" borderId="5" xfId="0" applyNumberFormat="1" applyFont="1" applyFill="1" applyBorder="1" applyAlignment="1">
      <alignment horizontal="center" vertical="center" wrapText="1"/>
    </xf>
    <xf numFmtId="3" fontId="7" fillId="6" borderId="5" xfId="0" applyNumberFormat="1" applyFont="1" applyFill="1" applyBorder="1" applyAlignment="1">
      <alignment horizontal="center" vertical="center" wrapText="1"/>
    </xf>
    <xf numFmtId="166" fontId="7" fillId="6" borderId="5" xfId="0" applyNumberFormat="1" applyFont="1" applyFill="1" applyBorder="1" applyAlignment="1">
      <alignment horizontal="center" vertical="center" wrapText="1"/>
    </xf>
    <xf numFmtId="168" fontId="7" fillId="6" borderId="5" xfId="0" applyNumberFormat="1" applyFont="1" applyFill="1" applyBorder="1" applyAlignment="1">
      <alignment horizontal="center" vertical="center" wrapText="1"/>
    </xf>
    <xf numFmtId="0" fontId="2" fillId="6" borderId="5" xfId="0" applyFont="1" applyFill="1" applyBorder="1" applyAlignment="1">
      <alignment horizontal="center" vertical="center" wrapText="1"/>
    </xf>
    <xf numFmtId="167" fontId="0" fillId="0" borderId="5" xfId="0" applyNumberFormat="1" applyBorder="1" applyAlignment="1">
      <alignment horizontal="center" vertical="center" wrapText="1"/>
    </xf>
    <xf numFmtId="0" fontId="0" fillId="0" borderId="5" xfId="0" applyBorder="1" applyAlignment="1">
      <alignment horizontal="center" vertical="center"/>
    </xf>
    <xf numFmtId="166" fontId="0" fillId="0" borderId="5" xfId="0" applyNumberForma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166" fontId="0" fillId="0" borderId="0" xfId="0" applyNumberFormat="1" applyAlignment="1">
      <alignment horizontal="center" vertical="center"/>
    </xf>
    <xf numFmtId="166" fontId="0" fillId="0" borderId="1" xfId="0" applyNumberFormat="1" applyBorder="1" applyAlignment="1">
      <alignment horizontal="center" vertical="center" wrapText="1"/>
    </xf>
    <xf numFmtId="41" fontId="0" fillId="0" borderId="5" xfId="0" applyNumberFormat="1" applyBorder="1" applyAlignment="1">
      <alignment horizontal="center" vertical="center" wrapText="1"/>
    </xf>
    <xf numFmtId="166" fontId="0" fillId="0" borderId="8" xfId="0" applyNumberFormat="1" applyBorder="1" applyAlignment="1">
      <alignment horizontal="center" vertical="center" wrapText="1"/>
    </xf>
    <xf numFmtId="166" fontId="0" fillId="0" borderId="6" xfId="0" applyNumberFormat="1" applyBorder="1" applyAlignment="1">
      <alignment horizontal="center" vertical="center" wrapText="1"/>
    </xf>
    <xf numFmtId="41" fontId="1" fillId="0" borderId="5" xfId="0" applyNumberFormat="1" applyFont="1" applyBorder="1" applyAlignment="1">
      <alignment horizontal="center" vertical="center" wrapText="1"/>
    </xf>
    <xf numFmtId="166"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166" fontId="1" fillId="0" borderId="6" xfId="0" applyNumberFormat="1" applyFont="1" applyBorder="1" applyAlignment="1">
      <alignment horizontal="center" vertical="center"/>
    </xf>
    <xf numFmtId="0" fontId="1" fillId="0" borderId="6" xfId="0" applyFont="1" applyBorder="1" applyAlignment="1">
      <alignment horizontal="center" vertical="center" wrapText="1"/>
    </xf>
    <xf numFmtId="0" fontId="0" fillId="0" borderId="1" xfId="0" applyBorder="1" applyAlignment="1">
      <alignment horizontal="center" vertical="center" wrapText="1"/>
    </xf>
    <xf numFmtId="3" fontId="0" fillId="0" borderId="5" xfId="0" applyNumberFormat="1" applyBorder="1" applyAlignment="1">
      <alignment horizontal="center" vertical="center"/>
    </xf>
    <xf numFmtId="41" fontId="0" fillId="0" borderId="5" xfId="0" applyNumberFormat="1" applyBorder="1" applyAlignment="1">
      <alignment horizontal="center" vertical="center"/>
    </xf>
    <xf numFmtId="168" fontId="0" fillId="0" borderId="5" xfId="0" applyNumberFormat="1" applyBorder="1" applyAlignment="1">
      <alignment horizontal="center" vertical="center"/>
    </xf>
    <xf numFmtId="0" fontId="0" fillId="0" borderId="8" xfId="0" applyBorder="1" applyAlignment="1">
      <alignment horizontal="center" vertical="center" wrapText="1"/>
    </xf>
    <xf numFmtId="0" fontId="0" fillId="0" borderId="6" xfId="0" applyBorder="1" applyAlignment="1">
      <alignment horizontal="center" vertical="center" wrapText="1"/>
    </xf>
    <xf numFmtId="167" fontId="0" fillId="0" borderId="5" xfId="0" applyNumberFormat="1" applyBorder="1" applyAlignment="1">
      <alignment horizontal="center" vertical="center"/>
    </xf>
    <xf numFmtId="166" fontId="0" fillId="0" borderId="1" xfId="0" applyNumberFormat="1" applyBorder="1" applyAlignment="1">
      <alignment horizontal="center" vertical="center"/>
    </xf>
    <xf numFmtId="166" fontId="0" fillId="0" borderId="6" xfId="0" applyNumberFormat="1" applyBorder="1" applyAlignment="1">
      <alignment horizontal="center" vertical="center"/>
    </xf>
  </cellXfs>
  <cellStyles count="3">
    <cellStyle name="Comma 5" xfId="1" xr:uid="{7E1BD77A-378B-4B27-86E2-7C379A72B1B9}"/>
    <cellStyle name="Normal" xfId="0" builtinId="0"/>
    <cellStyle name="Normal 4" xfId="2" xr:uid="{54D36589-5259-4599-AA83-7A2E6F408E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AF89-2BC4-48AC-9F06-95D0F0EA8648}">
  <dimension ref="A1:CH194"/>
  <sheetViews>
    <sheetView tabSelected="1" workbookViewId="0">
      <selection activeCell="B5" sqref="B5"/>
    </sheetView>
  </sheetViews>
  <sheetFormatPr defaultColWidth="15.28515625" defaultRowHeight="15" x14ac:dyDescent="0.25"/>
  <cols>
    <col min="1" max="1" width="7.42578125" customWidth="1"/>
  </cols>
  <sheetData>
    <row r="1" spans="1:86" x14ac:dyDescent="0.25">
      <c r="A1" s="55" t="s">
        <v>1960</v>
      </c>
      <c r="B1" s="55"/>
      <c r="C1" s="55"/>
      <c r="D1" s="55"/>
      <c r="E1" s="55"/>
      <c r="F1" s="55"/>
      <c r="G1" s="55"/>
      <c r="H1" s="55"/>
      <c r="I1" s="55"/>
      <c r="J1" s="55"/>
      <c r="K1" s="55"/>
      <c r="L1" s="55"/>
      <c r="M1" s="55"/>
    </row>
    <row r="2" spans="1:86" x14ac:dyDescent="0.25">
      <c r="A2" s="56"/>
      <c r="B2" s="56"/>
      <c r="C2" s="56"/>
      <c r="D2" s="56"/>
      <c r="E2" s="56"/>
      <c r="F2" s="56"/>
      <c r="G2" s="56"/>
      <c r="H2" s="56"/>
      <c r="I2" s="56"/>
      <c r="J2" s="56"/>
      <c r="K2" s="56"/>
      <c r="L2" s="56"/>
      <c r="M2" s="56"/>
    </row>
    <row r="3" spans="1:86" x14ac:dyDescent="0.25">
      <c r="A3" s="1" t="s">
        <v>0</v>
      </c>
      <c r="B3" s="1" t="s">
        <v>1</v>
      </c>
      <c r="C3" s="1" t="s">
        <v>2</v>
      </c>
      <c r="D3" s="2" t="s">
        <v>3</v>
      </c>
      <c r="E3" s="1" t="s">
        <v>4</v>
      </c>
      <c r="F3" s="3" t="s">
        <v>5</v>
      </c>
      <c r="G3" s="4" t="s">
        <v>6</v>
      </c>
      <c r="H3" s="5"/>
      <c r="I3" s="4" t="s">
        <v>7</v>
      </c>
      <c r="J3" s="6"/>
      <c r="K3" s="6"/>
      <c r="L3" s="6"/>
      <c r="M3" s="6"/>
      <c r="N3" s="6"/>
      <c r="O3" s="6"/>
      <c r="P3" s="5"/>
      <c r="Q3" s="4" t="s">
        <v>8</v>
      </c>
      <c r="R3" s="6"/>
      <c r="S3" s="6"/>
      <c r="T3" s="6"/>
      <c r="U3" s="6"/>
      <c r="V3" s="6"/>
      <c r="W3" s="5"/>
      <c r="X3" s="7" t="s">
        <v>9</v>
      </c>
      <c r="Y3" s="7" t="s">
        <v>10</v>
      </c>
      <c r="Z3" s="8" t="s">
        <v>11</v>
      </c>
      <c r="AA3" s="8" t="s">
        <v>12</v>
      </c>
      <c r="AB3" s="9" t="s">
        <v>13</v>
      </c>
      <c r="AC3" s="10"/>
      <c r="AD3" s="10"/>
      <c r="AE3" s="10"/>
      <c r="AF3" s="10"/>
      <c r="AG3" s="10"/>
      <c r="AH3" s="10"/>
      <c r="AI3" s="10"/>
      <c r="AJ3" s="11" t="s">
        <v>14</v>
      </c>
      <c r="AK3" s="12"/>
      <c r="AL3" s="12"/>
      <c r="AM3" s="12"/>
      <c r="AN3" s="13"/>
      <c r="AO3" s="14" t="s">
        <v>15</v>
      </c>
      <c r="AP3" s="11" t="s">
        <v>16</v>
      </c>
      <c r="AQ3" s="12"/>
      <c r="AR3" s="12"/>
      <c r="AS3" s="12"/>
      <c r="AT3" s="12"/>
      <c r="AU3" s="12"/>
      <c r="AV3" s="12"/>
      <c r="AW3" s="15"/>
      <c r="AX3" s="12"/>
      <c r="AY3" s="12"/>
      <c r="AZ3" s="15"/>
      <c r="BA3" s="15"/>
      <c r="BB3" s="12"/>
      <c r="BC3" s="13"/>
      <c r="BD3" s="11" t="s">
        <v>17</v>
      </c>
      <c r="BE3" s="12"/>
      <c r="BF3" s="12"/>
      <c r="BG3" s="12"/>
      <c r="BH3" s="12"/>
      <c r="BI3" s="12"/>
      <c r="BJ3" s="12"/>
      <c r="BK3" s="12"/>
      <c r="BL3" s="12"/>
      <c r="BM3" s="12"/>
      <c r="BN3" s="12"/>
      <c r="BO3" s="12"/>
      <c r="BP3" s="12"/>
      <c r="BQ3" s="13"/>
      <c r="BR3" s="11" t="s">
        <v>18</v>
      </c>
      <c r="BS3" s="12"/>
      <c r="BT3" s="12"/>
      <c r="BU3" s="12"/>
      <c r="BV3" s="12"/>
      <c r="BW3" s="12"/>
      <c r="BX3" s="12"/>
      <c r="BY3" s="12"/>
      <c r="BZ3" s="12"/>
      <c r="CA3" s="12"/>
      <c r="CB3" s="12"/>
      <c r="CC3" s="12"/>
      <c r="CD3" s="12"/>
      <c r="CE3" s="13"/>
      <c r="CF3" s="7" t="s">
        <v>19</v>
      </c>
      <c r="CG3" s="7" t="s">
        <v>20</v>
      </c>
      <c r="CH3" s="7" t="s">
        <v>21</v>
      </c>
    </row>
    <row r="4" spans="1:86" ht="51" x14ac:dyDescent="0.25">
      <c r="A4" s="16"/>
      <c r="B4" s="16"/>
      <c r="C4" s="16"/>
      <c r="D4" s="17"/>
      <c r="E4" s="16"/>
      <c r="F4" s="18"/>
      <c r="G4" s="19" t="s">
        <v>0</v>
      </c>
      <c r="H4" s="19" t="s">
        <v>22</v>
      </c>
      <c r="I4" s="20" t="s">
        <v>23</v>
      </c>
      <c r="J4" s="20" t="s">
        <v>24</v>
      </c>
      <c r="K4" s="19" t="s">
        <v>25</v>
      </c>
      <c r="L4" s="19" t="s">
        <v>26</v>
      </c>
      <c r="M4" s="19" t="s">
        <v>27</v>
      </c>
      <c r="N4" s="19" t="s">
        <v>28</v>
      </c>
      <c r="O4" s="21" t="s">
        <v>29</v>
      </c>
      <c r="P4" s="21" t="s">
        <v>24</v>
      </c>
      <c r="Q4" s="22" t="s">
        <v>30</v>
      </c>
      <c r="R4" s="22" t="s">
        <v>31</v>
      </c>
      <c r="S4" s="22" t="s">
        <v>32</v>
      </c>
      <c r="T4" s="22" t="s">
        <v>33</v>
      </c>
      <c r="U4" s="22" t="s">
        <v>34</v>
      </c>
      <c r="V4" s="22" t="s">
        <v>35</v>
      </c>
      <c r="W4" s="22" t="s">
        <v>36</v>
      </c>
      <c r="X4" s="23"/>
      <c r="Y4" s="23"/>
      <c r="Z4" s="24"/>
      <c r="AA4" s="24"/>
      <c r="AB4" s="25"/>
      <c r="AC4" s="10" t="s">
        <v>37</v>
      </c>
      <c r="AD4" s="10" t="s">
        <v>38</v>
      </c>
      <c r="AE4" s="10" t="s">
        <v>39</v>
      </c>
      <c r="AF4" s="10" t="s">
        <v>40</v>
      </c>
      <c r="AG4" s="26" t="s">
        <v>41</v>
      </c>
      <c r="AH4" s="10" t="s">
        <v>42</v>
      </c>
      <c r="AI4" s="10" t="s">
        <v>43</v>
      </c>
      <c r="AJ4" s="10" t="s">
        <v>44</v>
      </c>
      <c r="AK4" s="27" t="s">
        <v>45</v>
      </c>
      <c r="AL4" s="10" t="s">
        <v>46</v>
      </c>
      <c r="AM4" s="28" t="s">
        <v>47</v>
      </c>
      <c r="AN4" s="10" t="s">
        <v>48</v>
      </c>
      <c r="AO4" s="29"/>
      <c r="AP4" s="10" t="s">
        <v>49</v>
      </c>
      <c r="AQ4" s="10" t="s">
        <v>50</v>
      </c>
      <c r="AR4" s="10" t="s">
        <v>51</v>
      </c>
      <c r="AS4" s="10" t="s">
        <v>52</v>
      </c>
      <c r="AT4" s="10" t="s">
        <v>53</v>
      </c>
      <c r="AU4" s="10" t="s">
        <v>38</v>
      </c>
      <c r="AV4" s="10" t="s">
        <v>54</v>
      </c>
      <c r="AW4" s="28" t="s">
        <v>55</v>
      </c>
      <c r="AX4" s="10" t="s">
        <v>56</v>
      </c>
      <c r="AY4" s="10" t="s">
        <v>57</v>
      </c>
      <c r="AZ4" s="28" t="s">
        <v>58</v>
      </c>
      <c r="BA4" s="28" t="s">
        <v>59</v>
      </c>
      <c r="BB4" s="10" t="s">
        <v>60</v>
      </c>
      <c r="BC4" s="10" t="s">
        <v>61</v>
      </c>
      <c r="BD4" s="10" t="s">
        <v>49</v>
      </c>
      <c r="BE4" s="10" t="s">
        <v>50</v>
      </c>
      <c r="BF4" s="10" t="s">
        <v>62</v>
      </c>
      <c r="BG4" s="10" t="s">
        <v>52</v>
      </c>
      <c r="BH4" s="10" t="s">
        <v>63</v>
      </c>
      <c r="BI4" s="10" t="s">
        <v>64</v>
      </c>
      <c r="BJ4" s="10" t="s">
        <v>65</v>
      </c>
      <c r="BK4" s="28" t="s">
        <v>66</v>
      </c>
      <c r="BL4" s="10" t="s">
        <v>56</v>
      </c>
      <c r="BM4" s="10" t="s">
        <v>67</v>
      </c>
      <c r="BN4" s="28" t="s">
        <v>58</v>
      </c>
      <c r="BO4" s="28" t="s">
        <v>59</v>
      </c>
      <c r="BP4" s="10" t="s">
        <v>60</v>
      </c>
      <c r="BQ4" s="10" t="s">
        <v>61</v>
      </c>
      <c r="BR4" s="10" t="s">
        <v>49</v>
      </c>
      <c r="BS4" s="10" t="s">
        <v>50</v>
      </c>
      <c r="BT4" s="10" t="s">
        <v>62</v>
      </c>
      <c r="BU4" s="10" t="s">
        <v>68</v>
      </c>
      <c r="BV4" s="10" t="s">
        <v>53</v>
      </c>
      <c r="BW4" s="10" t="s">
        <v>38</v>
      </c>
      <c r="BX4" s="10" t="s">
        <v>69</v>
      </c>
      <c r="BY4" s="28" t="s">
        <v>55</v>
      </c>
      <c r="BZ4" s="10" t="s">
        <v>56</v>
      </c>
      <c r="CA4" s="10" t="s">
        <v>57</v>
      </c>
      <c r="CB4" s="28" t="s">
        <v>58</v>
      </c>
      <c r="CC4" s="28" t="s">
        <v>59</v>
      </c>
      <c r="CD4" s="10" t="s">
        <v>60</v>
      </c>
      <c r="CE4" s="10" t="s">
        <v>61</v>
      </c>
      <c r="CF4" s="23"/>
      <c r="CG4" s="23"/>
      <c r="CH4" s="23"/>
    </row>
    <row r="5" spans="1:86" ht="120" x14ac:dyDescent="0.25">
      <c r="A5" s="30">
        <v>1</v>
      </c>
      <c r="B5" s="31" t="s">
        <v>149</v>
      </c>
      <c r="C5" s="31" t="s">
        <v>150</v>
      </c>
      <c r="D5" s="32">
        <v>44938</v>
      </c>
      <c r="E5" s="31" t="s">
        <v>97</v>
      </c>
      <c r="F5" s="31" t="s">
        <v>97</v>
      </c>
      <c r="G5" s="31"/>
      <c r="H5" s="31" t="s">
        <v>124</v>
      </c>
      <c r="I5" s="33">
        <v>125</v>
      </c>
      <c r="J5" s="31" t="s">
        <v>70</v>
      </c>
      <c r="K5" s="33">
        <v>218</v>
      </c>
      <c r="L5" s="33"/>
      <c r="M5" s="31"/>
      <c r="N5" s="31"/>
      <c r="O5" s="31"/>
      <c r="P5" s="31"/>
      <c r="Q5" s="31"/>
      <c r="R5" s="31" t="s">
        <v>151</v>
      </c>
      <c r="S5" s="31" t="s">
        <v>152</v>
      </c>
      <c r="T5" s="31" t="s">
        <v>153</v>
      </c>
      <c r="U5" s="31" t="s">
        <v>110</v>
      </c>
      <c r="V5" s="31" t="s">
        <v>85</v>
      </c>
      <c r="W5" s="31" t="s">
        <v>73</v>
      </c>
      <c r="X5" s="31" t="s">
        <v>74</v>
      </c>
      <c r="Y5" s="31" t="s">
        <v>75</v>
      </c>
      <c r="Z5" s="32">
        <v>44932</v>
      </c>
      <c r="AA5" s="32">
        <v>44932</v>
      </c>
      <c r="AB5" s="31" t="s">
        <v>76</v>
      </c>
      <c r="AC5" s="31"/>
      <c r="AD5" s="31"/>
      <c r="AE5" s="31"/>
      <c r="AF5" s="31"/>
      <c r="AG5" s="31"/>
      <c r="AH5" s="31"/>
      <c r="AI5" s="31"/>
      <c r="AJ5" s="33">
        <f t="shared" ref="AJ5:AJ68" si="0">I5</f>
        <v>125</v>
      </c>
      <c r="AK5" s="34">
        <v>20674032</v>
      </c>
      <c r="AL5" s="33">
        <f t="shared" ref="AL5:AL68" si="1">K5</f>
        <v>218</v>
      </c>
      <c r="AM5" s="34"/>
      <c r="AN5" s="34"/>
      <c r="AO5" s="34">
        <v>4497000000</v>
      </c>
      <c r="AP5" s="31" t="s">
        <v>154</v>
      </c>
      <c r="AQ5" s="31" t="s">
        <v>124</v>
      </c>
      <c r="AR5" s="31"/>
      <c r="AS5" s="31"/>
      <c r="AT5" s="31"/>
      <c r="AU5" s="31"/>
      <c r="AV5" s="33">
        <v>90</v>
      </c>
      <c r="AW5" s="34">
        <v>20740741</v>
      </c>
      <c r="AX5" s="33">
        <v>270</v>
      </c>
      <c r="AY5" s="34"/>
      <c r="AZ5" s="34">
        <v>6000000000</v>
      </c>
      <c r="BA5" s="34">
        <f t="shared" ref="BA5:BA68" si="2">AV5*AW5</f>
        <v>1866666690</v>
      </c>
      <c r="BB5" s="31" t="s">
        <v>155</v>
      </c>
      <c r="BC5" s="31" t="s">
        <v>82</v>
      </c>
      <c r="BD5" s="31" t="s">
        <v>154</v>
      </c>
      <c r="BE5" s="31" t="s">
        <v>124</v>
      </c>
      <c r="BF5" s="31"/>
      <c r="BG5" s="31"/>
      <c r="BH5" s="31"/>
      <c r="BI5" s="31"/>
      <c r="BJ5" s="35">
        <v>108</v>
      </c>
      <c r="BK5" s="34">
        <v>20833333</v>
      </c>
      <c r="BL5" s="35">
        <v>288</v>
      </c>
      <c r="BM5" s="34"/>
      <c r="BN5" s="34">
        <v>6800000000</v>
      </c>
      <c r="BO5" s="34">
        <f t="shared" ref="BO5:BO68" si="3">BJ5*BK5</f>
        <v>2249999964</v>
      </c>
      <c r="BP5" s="31" t="s">
        <v>156</v>
      </c>
      <c r="BQ5" s="31" t="s">
        <v>82</v>
      </c>
      <c r="BR5" s="31" t="s">
        <v>154</v>
      </c>
      <c r="BS5" s="31" t="s">
        <v>157</v>
      </c>
      <c r="BT5" s="31"/>
      <c r="BU5" s="31"/>
      <c r="BV5" s="31"/>
      <c r="BW5" s="31"/>
      <c r="BX5" s="35">
        <v>224</v>
      </c>
      <c r="BY5" s="34">
        <v>20000000</v>
      </c>
      <c r="BZ5" s="35">
        <v>640</v>
      </c>
      <c r="CA5" s="34"/>
      <c r="CB5" s="34">
        <v>17000000000</v>
      </c>
      <c r="CC5" s="34">
        <f t="shared" ref="CC5:CC68" si="4">BX5*BY5</f>
        <v>4480000000</v>
      </c>
      <c r="CD5" s="31" t="s">
        <v>158</v>
      </c>
      <c r="CE5" s="31" t="s">
        <v>82</v>
      </c>
      <c r="CF5" s="31" t="s">
        <v>159</v>
      </c>
      <c r="CG5" s="31"/>
      <c r="CH5" s="31"/>
    </row>
    <row r="6" spans="1:86" ht="105" x14ac:dyDescent="0.25">
      <c r="A6" s="30">
        <v>2</v>
      </c>
      <c r="B6" s="31" t="s">
        <v>160</v>
      </c>
      <c r="C6" s="31" t="s">
        <v>161</v>
      </c>
      <c r="D6" s="32">
        <v>44938</v>
      </c>
      <c r="E6" s="31" t="s">
        <v>162</v>
      </c>
      <c r="F6" s="31" t="s">
        <v>162</v>
      </c>
      <c r="G6" s="31"/>
      <c r="H6" s="31" t="s">
        <v>144</v>
      </c>
      <c r="I6" s="33"/>
      <c r="J6" s="31"/>
      <c r="K6" s="33"/>
      <c r="L6" s="33"/>
      <c r="M6" s="31" t="s">
        <v>163</v>
      </c>
      <c r="N6" s="31"/>
      <c r="O6" s="31">
        <v>1</v>
      </c>
      <c r="P6" s="31" t="s">
        <v>164</v>
      </c>
      <c r="Q6" s="31" t="s">
        <v>165</v>
      </c>
      <c r="R6" s="31" t="s">
        <v>166</v>
      </c>
      <c r="S6" s="31" t="s">
        <v>167</v>
      </c>
      <c r="T6" s="31" t="s">
        <v>168</v>
      </c>
      <c r="U6" s="31" t="s">
        <v>169</v>
      </c>
      <c r="V6" s="31" t="s">
        <v>80</v>
      </c>
      <c r="W6" s="31" t="s">
        <v>73</v>
      </c>
      <c r="X6" s="31" t="s">
        <v>170</v>
      </c>
      <c r="Y6" s="31" t="s">
        <v>90</v>
      </c>
      <c r="Z6" s="32">
        <v>44918</v>
      </c>
      <c r="AA6" s="32">
        <v>44918</v>
      </c>
      <c r="AB6" s="31" t="s">
        <v>91</v>
      </c>
      <c r="AC6" s="31" t="s">
        <v>171</v>
      </c>
      <c r="AD6" s="31"/>
      <c r="AE6" s="31" t="s">
        <v>172</v>
      </c>
      <c r="AF6" s="31"/>
      <c r="AG6" s="31" t="s">
        <v>173</v>
      </c>
      <c r="AH6" s="31"/>
      <c r="AI6" s="31"/>
      <c r="AJ6" s="33">
        <f t="shared" si="0"/>
        <v>0</v>
      </c>
      <c r="AK6" s="34"/>
      <c r="AL6" s="33">
        <f t="shared" si="1"/>
        <v>0</v>
      </c>
      <c r="AM6" s="34"/>
      <c r="AN6" s="34"/>
      <c r="AO6" s="34">
        <v>393300000</v>
      </c>
      <c r="AP6" s="31" t="s">
        <v>174</v>
      </c>
      <c r="AQ6" s="31" t="s">
        <v>175</v>
      </c>
      <c r="AR6" s="31"/>
      <c r="AS6" s="31"/>
      <c r="AT6" s="31" t="s">
        <v>176</v>
      </c>
      <c r="AU6" s="31">
        <v>2012</v>
      </c>
      <c r="AV6" s="33"/>
      <c r="AW6" s="34"/>
      <c r="AX6" s="33"/>
      <c r="AY6" s="34"/>
      <c r="AZ6" s="34">
        <v>475000000</v>
      </c>
      <c r="BA6" s="34">
        <f t="shared" si="2"/>
        <v>0</v>
      </c>
      <c r="BB6" s="31" t="s">
        <v>177</v>
      </c>
      <c r="BC6" s="31" t="s">
        <v>82</v>
      </c>
      <c r="BD6" s="31" t="s">
        <v>178</v>
      </c>
      <c r="BE6" s="31" t="s">
        <v>175</v>
      </c>
      <c r="BF6" s="31"/>
      <c r="BG6" s="31"/>
      <c r="BH6" s="31" t="s">
        <v>179</v>
      </c>
      <c r="BI6" s="31">
        <v>2014</v>
      </c>
      <c r="BJ6" s="35"/>
      <c r="BK6" s="57"/>
      <c r="BL6" s="35"/>
      <c r="BM6" s="34"/>
      <c r="BN6" s="34">
        <v>425000000</v>
      </c>
      <c r="BO6" s="34">
        <f t="shared" si="3"/>
        <v>0</v>
      </c>
      <c r="BP6" s="31" t="s">
        <v>180</v>
      </c>
      <c r="BQ6" s="31" t="s">
        <v>82</v>
      </c>
      <c r="BR6" s="31" t="s">
        <v>181</v>
      </c>
      <c r="BS6" s="31" t="s">
        <v>175</v>
      </c>
      <c r="BT6" s="31"/>
      <c r="BU6" s="31"/>
      <c r="BV6" s="31" t="s">
        <v>182</v>
      </c>
      <c r="BW6" s="31">
        <v>2011</v>
      </c>
      <c r="BX6" s="35"/>
      <c r="BY6" s="34"/>
      <c r="BZ6" s="35"/>
      <c r="CA6" s="34"/>
      <c r="CB6" s="34">
        <v>450000000</v>
      </c>
      <c r="CC6" s="34">
        <f t="shared" si="4"/>
        <v>0</v>
      </c>
      <c r="CD6" s="31" t="s">
        <v>183</v>
      </c>
      <c r="CE6" s="31" t="s">
        <v>82</v>
      </c>
      <c r="CF6" s="31" t="s">
        <v>147</v>
      </c>
      <c r="CG6" s="31"/>
      <c r="CH6" s="31"/>
    </row>
    <row r="7" spans="1:86" ht="105" x14ac:dyDescent="0.25">
      <c r="A7" s="30">
        <v>3</v>
      </c>
      <c r="B7" s="31" t="s">
        <v>160</v>
      </c>
      <c r="C7" s="31" t="s">
        <v>161</v>
      </c>
      <c r="D7" s="32">
        <v>44938</v>
      </c>
      <c r="E7" s="31" t="s">
        <v>162</v>
      </c>
      <c r="F7" s="31" t="s">
        <v>162</v>
      </c>
      <c r="G7" s="31"/>
      <c r="H7" s="31" t="s">
        <v>144</v>
      </c>
      <c r="I7" s="33"/>
      <c r="J7" s="31"/>
      <c r="K7" s="33"/>
      <c r="L7" s="33"/>
      <c r="M7" s="31" t="s">
        <v>184</v>
      </c>
      <c r="N7" s="31"/>
      <c r="O7" s="31">
        <v>1</v>
      </c>
      <c r="P7" s="31" t="s">
        <v>164</v>
      </c>
      <c r="Q7" s="31" t="s">
        <v>165</v>
      </c>
      <c r="R7" s="31" t="s">
        <v>166</v>
      </c>
      <c r="S7" s="31" t="s">
        <v>167</v>
      </c>
      <c r="T7" s="31" t="s">
        <v>168</v>
      </c>
      <c r="U7" s="31" t="s">
        <v>169</v>
      </c>
      <c r="V7" s="31" t="s">
        <v>80</v>
      </c>
      <c r="W7" s="31" t="s">
        <v>73</v>
      </c>
      <c r="X7" s="31" t="s">
        <v>170</v>
      </c>
      <c r="Y7" s="31" t="s">
        <v>90</v>
      </c>
      <c r="Z7" s="32">
        <v>44918</v>
      </c>
      <c r="AA7" s="32">
        <v>44918</v>
      </c>
      <c r="AB7" s="31" t="s">
        <v>91</v>
      </c>
      <c r="AC7" s="31" t="s">
        <v>185</v>
      </c>
      <c r="AD7" s="31"/>
      <c r="AE7" s="31" t="s">
        <v>172</v>
      </c>
      <c r="AF7" s="31"/>
      <c r="AG7" s="31" t="s">
        <v>186</v>
      </c>
      <c r="AH7" s="31"/>
      <c r="AI7" s="31"/>
      <c r="AJ7" s="33">
        <f t="shared" si="0"/>
        <v>0</v>
      </c>
      <c r="AK7" s="34"/>
      <c r="AL7" s="33">
        <f t="shared" si="1"/>
        <v>0</v>
      </c>
      <c r="AM7" s="34"/>
      <c r="AN7" s="34"/>
      <c r="AO7" s="34">
        <v>376100000</v>
      </c>
      <c r="AP7" s="31" t="s">
        <v>174</v>
      </c>
      <c r="AQ7" s="31" t="s">
        <v>175</v>
      </c>
      <c r="AR7" s="31"/>
      <c r="AS7" s="31"/>
      <c r="AT7" s="31" t="s">
        <v>176</v>
      </c>
      <c r="AU7" s="31">
        <v>2012</v>
      </c>
      <c r="AV7" s="33"/>
      <c r="AW7" s="34"/>
      <c r="AX7" s="33"/>
      <c r="AY7" s="34"/>
      <c r="AZ7" s="34">
        <v>475000000</v>
      </c>
      <c r="BA7" s="34">
        <f t="shared" si="2"/>
        <v>0</v>
      </c>
      <c r="BB7" s="31" t="s">
        <v>177</v>
      </c>
      <c r="BC7" s="31" t="s">
        <v>82</v>
      </c>
      <c r="BD7" s="31" t="s">
        <v>178</v>
      </c>
      <c r="BE7" s="31" t="s">
        <v>175</v>
      </c>
      <c r="BF7" s="31"/>
      <c r="BG7" s="31"/>
      <c r="BH7" s="31" t="s">
        <v>179</v>
      </c>
      <c r="BI7" s="31">
        <v>2014</v>
      </c>
      <c r="BJ7" s="35"/>
      <c r="BK7" s="57"/>
      <c r="BL7" s="35"/>
      <c r="BM7" s="34"/>
      <c r="BN7" s="34">
        <v>425000000</v>
      </c>
      <c r="BO7" s="34">
        <f t="shared" si="3"/>
        <v>0</v>
      </c>
      <c r="BP7" s="31" t="s">
        <v>180</v>
      </c>
      <c r="BQ7" s="31" t="s">
        <v>82</v>
      </c>
      <c r="BR7" s="31" t="s">
        <v>181</v>
      </c>
      <c r="BS7" s="31" t="s">
        <v>175</v>
      </c>
      <c r="BT7" s="31"/>
      <c r="BU7" s="31"/>
      <c r="BV7" s="31" t="s">
        <v>182</v>
      </c>
      <c r="BW7" s="31">
        <v>2011</v>
      </c>
      <c r="BX7" s="35"/>
      <c r="BY7" s="34"/>
      <c r="BZ7" s="35"/>
      <c r="CA7" s="34"/>
      <c r="CB7" s="34">
        <v>450000000</v>
      </c>
      <c r="CC7" s="34">
        <f t="shared" si="4"/>
        <v>0</v>
      </c>
      <c r="CD7" s="31" t="s">
        <v>183</v>
      </c>
      <c r="CE7" s="31" t="s">
        <v>82</v>
      </c>
      <c r="CF7" s="31" t="s">
        <v>147</v>
      </c>
      <c r="CG7" s="31"/>
      <c r="CH7" s="31"/>
    </row>
    <row r="8" spans="1:86" ht="105" x14ac:dyDescent="0.25">
      <c r="A8" s="30">
        <v>4</v>
      </c>
      <c r="B8" s="31" t="s">
        <v>160</v>
      </c>
      <c r="C8" s="31" t="s">
        <v>161</v>
      </c>
      <c r="D8" s="32">
        <v>44938</v>
      </c>
      <c r="E8" s="31" t="s">
        <v>162</v>
      </c>
      <c r="F8" s="31" t="s">
        <v>162</v>
      </c>
      <c r="G8" s="31"/>
      <c r="H8" s="31" t="s">
        <v>187</v>
      </c>
      <c r="I8" s="33"/>
      <c r="J8" s="31"/>
      <c r="K8" s="33"/>
      <c r="L8" s="33"/>
      <c r="M8" s="31" t="s">
        <v>188</v>
      </c>
      <c r="N8" s="31"/>
      <c r="O8" s="31">
        <v>1</v>
      </c>
      <c r="P8" s="31" t="s">
        <v>164</v>
      </c>
      <c r="Q8" s="31" t="s">
        <v>165</v>
      </c>
      <c r="R8" s="31" t="s">
        <v>166</v>
      </c>
      <c r="S8" s="31" t="s">
        <v>167</v>
      </c>
      <c r="T8" s="31" t="s">
        <v>168</v>
      </c>
      <c r="U8" s="31" t="s">
        <v>169</v>
      </c>
      <c r="V8" s="31" t="s">
        <v>80</v>
      </c>
      <c r="W8" s="31" t="s">
        <v>73</v>
      </c>
      <c r="X8" s="31" t="s">
        <v>170</v>
      </c>
      <c r="Y8" s="31" t="s">
        <v>90</v>
      </c>
      <c r="Z8" s="32">
        <v>44918</v>
      </c>
      <c r="AA8" s="32">
        <v>44918</v>
      </c>
      <c r="AB8" s="31" t="s">
        <v>91</v>
      </c>
      <c r="AC8" s="31"/>
      <c r="AD8" s="31"/>
      <c r="AE8" s="31" t="s">
        <v>188</v>
      </c>
      <c r="AF8" s="31"/>
      <c r="AG8" s="31"/>
      <c r="AH8" s="31"/>
      <c r="AI8" s="31"/>
      <c r="AJ8" s="33">
        <f t="shared" si="0"/>
        <v>0</v>
      </c>
      <c r="AK8" s="34"/>
      <c r="AL8" s="33">
        <f t="shared" si="1"/>
        <v>0</v>
      </c>
      <c r="AM8" s="34"/>
      <c r="AN8" s="34"/>
      <c r="AO8" s="34">
        <v>304500000</v>
      </c>
      <c r="AP8" s="31" t="s">
        <v>189</v>
      </c>
      <c r="AQ8" s="31" t="s">
        <v>187</v>
      </c>
      <c r="AR8" s="31"/>
      <c r="AS8" s="31"/>
      <c r="AT8" s="31" t="s">
        <v>188</v>
      </c>
      <c r="AU8" s="31">
        <v>2012</v>
      </c>
      <c r="AV8" s="33"/>
      <c r="AW8" s="34"/>
      <c r="AX8" s="33"/>
      <c r="AY8" s="34"/>
      <c r="AZ8" s="34">
        <v>332000000</v>
      </c>
      <c r="BA8" s="34">
        <f t="shared" si="2"/>
        <v>0</v>
      </c>
      <c r="BB8" s="31" t="s">
        <v>190</v>
      </c>
      <c r="BC8" s="31" t="s">
        <v>82</v>
      </c>
      <c r="BD8" s="31" t="s">
        <v>191</v>
      </c>
      <c r="BE8" s="31" t="s">
        <v>187</v>
      </c>
      <c r="BF8" s="31"/>
      <c r="BG8" s="31"/>
      <c r="BH8" s="31" t="s">
        <v>188</v>
      </c>
      <c r="BI8" s="31">
        <v>2011</v>
      </c>
      <c r="BJ8" s="35"/>
      <c r="BK8" s="57"/>
      <c r="BL8" s="35"/>
      <c r="BM8" s="34"/>
      <c r="BN8" s="34">
        <v>292000000</v>
      </c>
      <c r="BO8" s="34">
        <f t="shared" si="3"/>
        <v>0</v>
      </c>
      <c r="BP8" s="31" t="s">
        <v>192</v>
      </c>
      <c r="BQ8" s="31" t="s">
        <v>82</v>
      </c>
      <c r="BR8" s="31" t="s">
        <v>193</v>
      </c>
      <c r="BS8" s="31" t="s">
        <v>187</v>
      </c>
      <c r="BT8" s="31"/>
      <c r="BU8" s="31"/>
      <c r="BV8" s="31" t="s">
        <v>188</v>
      </c>
      <c r="BW8" s="31">
        <v>2015</v>
      </c>
      <c r="BX8" s="35"/>
      <c r="BY8" s="34"/>
      <c r="BZ8" s="35"/>
      <c r="CA8" s="34"/>
      <c r="CB8" s="34">
        <v>370000000</v>
      </c>
      <c r="CC8" s="34">
        <f t="shared" si="4"/>
        <v>0</v>
      </c>
      <c r="CD8" s="31" t="s">
        <v>194</v>
      </c>
      <c r="CE8" s="31" t="s">
        <v>82</v>
      </c>
      <c r="CF8" s="31" t="s">
        <v>147</v>
      </c>
      <c r="CG8" s="31"/>
      <c r="CH8" s="31"/>
    </row>
    <row r="9" spans="1:86" ht="105" x14ac:dyDescent="0.25">
      <c r="A9" s="30">
        <v>5</v>
      </c>
      <c r="B9" s="45" t="s">
        <v>195</v>
      </c>
      <c r="C9" s="45" t="s">
        <v>196</v>
      </c>
      <c r="D9" s="47">
        <v>45288</v>
      </c>
      <c r="E9" s="45" t="s">
        <v>162</v>
      </c>
      <c r="F9" s="45" t="s">
        <v>162</v>
      </c>
      <c r="G9" s="45"/>
      <c r="H9" s="45" t="s">
        <v>144</v>
      </c>
      <c r="I9" s="46"/>
      <c r="J9" s="45"/>
      <c r="K9" s="46"/>
      <c r="L9" s="46"/>
      <c r="M9" s="45" t="s">
        <v>197</v>
      </c>
      <c r="N9" s="45"/>
      <c r="O9" s="45">
        <v>1</v>
      </c>
      <c r="P9" s="45" t="s">
        <v>198</v>
      </c>
      <c r="Q9" s="45" t="s">
        <v>199</v>
      </c>
      <c r="R9" s="45" t="s">
        <v>200</v>
      </c>
      <c r="S9" s="45" t="s">
        <v>201</v>
      </c>
      <c r="T9" s="45" t="s">
        <v>202</v>
      </c>
      <c r="U9" s="45" t="s">
        <v>203</v>
      </c>
      <c r="V9" s="45" t="s">
        <v>95</v>
      </c>
      <c r="W9" s="45" t="s">
        <v>73</v>
      </c>
      <c r="X9" s="45" t="s">
        <v>170</v>
      </c>
      <c r="Y9" s="45" t="s">
        <v>90</v>
      </c>
      <c r="Z9" s="47">
        <v>44924</v>
      </c>
      <c r="AA9" s="47">
        <v>44924</v>
      </c>
      <c r="AB9" s="45" t="s">
        <v>91</v>
      </c>
      <c r="AC9" s="45" t="s">
        <v>204</v>
      </c>
      <c r="AD9" s="45"/>
      <c r="AE9" s="45" t="s">
        <v>205</v>
      </c>
      <c r="AF9" s="45"/>
      <c r="AG9" s="45" t="s">
        <v>206</v>
      </c>
      <c r="AH9" s="45"/>
      <c r="AI9" s="45"/>
      <c r="AJ9" s="33">
        <f t="shared" si="0"/>
        <v>0</v>
      </c>
      <c r="AK9" s="48"/>
      <c r="AL9" s="33">
        <f t="shared" si="1"/>
        <v>0</v>
      </c>
      <c r="AM9" s="48"/>
      <c r="AN9" s="48"/>
      <c r="AO9" s="48">
        <v>462600000</v>
      </c>
      <c r="AP9" s="45" t="s">
        <v>207</v>
      </c>
      <c r="AQ9" s="45" t="s">
        <v>208</v>
      </c>
      <c r="AR9" s="45"/>
      <c r="AS9" s="45"/>
      <c r="AT9" s="45" t="s">
        <v>209</v>
      </c>
      <c r="AU9" s="45">
        <v>2015</v>
      </c>
      <c r="AV9" s="46"/>
      <c r="AW9" s="48"/>
      <c r="AX9" s="46"/>
      <c r="AY9" s="48"/>
      <c r="AZ9" s="48">
        <v>525000000</v>
      </c>
      <c r="BA9" s="34">
        <f t="shared" si="2"/>
        <v>0</v>
      </c>
      <c r="BB9" s="45" t="s">
        <v>210</v>
      </c>
      <c r="BC9" s="45" t="s">
        <v>82</v>
      </c>
      <c r="BD9" s="45" t="s">
        <v>211</v>
      </c>
      <c r="BE9" s="45" t="s">
        <v>208</v>
      </c>
      <c r="BF9" s="45"/>
      <c r="BG9" s="45"/>
      <c r="BH9" s="45" t="s">
        <v>212</v>
      </c>
      <c r="BI9" s="45">
        <v>2015</v>
      </c>
      <c r="BJ9" s="49"/>
      <c r="BK9" s="58"/>
      <c r="BL9" s="49"/>
      <c r="BM9" s="48"/>
      <c r="BN9" s="48">
        <v>507000000</v>
      </c>
      <c r="BO9" s="34">
        <f t="shared" si="3"/>
        <v>0</v>
      </c>
      <c r="BP9" s="45" t="s">
        <v>213</v>
      </c>
      <c r="BQ9" s="45" t="s">
        <v>82</v>
      </c>
      <c r="BR9" s="45" t="s">
        <v>214</v>
      </c>
      <c r="BS9" s="45" t="s">
        <v>208</v>
      </c>
      <c r="BT9" s="45"/>
      <c r="BU9" s="45"/>
      <c r="BV9" s="45" t="s">
        <v>212</v>
      </c>
      <c r="BW9" s="45">
        <v>2015</v>
      </c>
      <c r="BX9" s="49"/>
      <c r="BY9" s="48"/>
      <c r="BZ9" s="49"/>
      <c r="CA9" s="48"/>
      <c r="CB9" s="48">
        <v>560000000</v>
      </c>
      <c r="CC9" s="34">
        <f t="shared" si="4"/>
        <v>0</v>
      </c>
      <c r="CD9" s="45">
        <v>81380638242</v>
      </c>
      <c r="CE9" s="45" t="s">
        <v>82</v>
      </c>
      <c r="CF9" s="45" t="s">
        <v>215</v>
      </c>
      <c r="CG9" s="45"/>
      <c r="CH9" s="45"/>
    </row>
    <row r="10" spans="1:86" ht="120" x14ac:dyDescent="0.25">
      <c r="A10" s="30">
        <v>6</v>
      </c>
      <c r="B10" s="31" t="s">
        <v>195</v>
      </c>
      <c r="C10" s="31" t="s">
        <v>196</v>
      </c>
      <c r="D10" s="32">
        <v>45288</v>
      </c>
      <c r="E10" s="31" t="s">
        <v>162</v>
      </c>
      <c r="F10" s="31" t="s">
        <v>162</v>
      </c>
      <c r="G10" s="31"/>
      <c r="H10" s="31" t="s">
        <v>144</v>
      </c>
      <c r="I10" s="33"/>
      <c r="J10" s="31"/>
      <c r="K10" s="33"/>
      <c r="L10" s="33"/>
      <c r="M10" s="31" t="s">
        <v>216</v>
      </c>
      <c r="N10" s="31"/>
      <c r="O10" s="31">
        <v>1</v>
      </c>
      <c r="P10" s="31" t="s">
        <v>164</v>
      </c>
      <c r="Q10" s="31"/>
      <c r="R10" s="31" t="s">
        <v>217</v>
      </c>
      <c r="S10" s="31" t="s">
        <v>218</v>
      </c>
      <c r="T10" s="31" t="s">
        <v>219</v>
      </c>
      <c r="U10" s="31" t="s">
        <v>220</v>
      </c>
      <c r="V10" s="31" t="s">
        <v>95</v>
      </c>
      <c r="W10" s="31" t="s">
        <v>73</v>
      </c>
      <c r="X10" s="31" t="s">
        <v>170</v>
      </c>
      <c r="Y10" s="31" t="s">
        <v>90</v>
      </c>
      <c r="Z10" s="32">
        <v>44914</v>
      </c>
      <c r="AA10" s="32">
        <v>44924</v>
      </c>
      <c r="AB10" s="31" t="s">
        <v>91</v>
      </c>
      <c r="AC10" s="31"/>
      <c r="AD10" s="31"/>
      <c r="AE10" s="31" t="s">
        <v>221</v>
      </c>
      <c r="AF10" s="31"/>
      <c r="AG10" s="31"/>
      <c r="AH10" s="31"/>
      <c r="AI10" s="31"/>
      <c r="AJ10" s="33">
        <f t="shared" si="0"/>
        <v>0</v>
      </c>
      <c r="AK10" s="34"/>
      <c r="AL10" s="33">
        <f t="shared" si="1"/>
        <v>0</v>
      </c>
      <c r="AM10" s="34"/>
      <c r="AN10" s="34"/>
      <c r="AO10" s="34">
        <v>690000000</v>
      </c>
      <c r="AP10" s="31" t="s">
        <v>222</v>
      </c>
      <c r="AQ10" s="31" t="s">
        <v>223</v>
      </c>
      <c r="AR10" s="31"/>
      <c r="AS10" s="31"/>
      <c r="AT10" s="31" t="s">
        <v>224</v>
      </c>
      <c r="AU10" s="31">
        <v>2016</v>
      </c>
      <c r="AV10" s="33"/>
      <c r="AW10" s="34"/>
      <c r="AX10" s="33"/>
      <c r="AY10" s="34"/>
      <c r="AZ10" s="34">
        <v>850000000</v>
      </c>
      <c r="BA10" s="34">
        <f t="shared" si="2"/>
        <v>0</v>
      </c>
      <c r="BB10" s="31" t="s">
        <v>225</v>
      </c>
      <c r="BC10" s="31" t="s">
        <v>82</v>
      </c>
      <c r="BD10" s="31" t="s">
        <v>226</v>
      </c>
      <c r="BE10" s="31" t="s">
        <v>223</v>
      </c>
      <c r="BF10" s="31"/>
      <c r="BG10" s="31"/>
      <c r="BH10" s="31" t="s">
        <v>224</v>
      </c>
      <c r="BI10" s="31">
        <v>2016</v>
      </c>
      <c r="BJ10" s="35"/>
      <c r="BK10" s="57"/>
      <c r="BL10" s="35"/>
      <c r="BM10" s="34"/>
      <c r="BN10" s="34">
        <v>800000000</v>
      </c>
      <c r="BO10" s="34">
        <f t="shared" si="3"/>
        <v>0</v>
      </c>
      <c r="BP10" s="31" t="s">
        <v>227</v>
      </c>
      <c r="BQ10" s="31" t="s">
        <v>82</v>
      </c>
      <c r="BR10" s="31" t="s">
        <v>228</v>
      </c>
      <c r="BS10" s="31" t="s">
        <v>223</v>
      </c>
      <c r="BT10" s="31"/>
      <c r="BU10" s="31"/>
      <c r="BV10" s="31" t="s">
        <v>224</v>
      </c>
      <c r="BW10" s="31">
        <v>2015</v>
      </c>
      <c r="BX10" s="35"/>
      <c r="BY10" s="34"/>
      <c r="BZ10" s="35"/>
      <c r="CA10" s="34"/>
      <c r="CB10" s="34">
        <v>795000000</v>
      </c>
      <c r="CC10" s="34">
        <f t="shared" si="4"/>
        <v>0</v>
      </c>
      <c r="CD10" s="31" t="s">
        <v>229</v>
      </c>
      <c r="CE10" s="31" t="s">
        <v>82</v>
      </c>
      <c r="CF10" s="31" t="s">
        <v>215</v>
      </c>
      <c r="CG10" s="31"/>
      <c r="CH10" s="31"/>
    </row>
    <row r="11" spans="1:86" ht="105" x14ac:dyDescent="0.25">
      <c r="A11" s="30">
        <v>7</v>
      </c>
      <c r="B11" s="31" t="s">
        <v>230</v>
      </c>
      <c r="C11" s="31" t="s">
        <v>231</v>
      </c>
      <c r="D11" s="32">
        <v>44938</v>
      </c>
      <c r="E11" s="31" t="s">
        <v>162</v>
      </c>
      <c r="F11" s="31" t="s">
        <v>162</v>
      </c>
      <c r="G11" s="31"/>
      <c r="H11" s="31" t="s">
        <v>144</v>
      </c>
      <c r="I11" s="33"/>
      <c r="J11" s="31"/>
      <c r="K11" s="33"/>
      <c r="L11" s="33"/>
      <c r="M11" s="31" t="s">
        <v>232</v>
      </c>
      <c r="N11" s="31"/>
      <c r="O11" s="31">
        <v>1</v>
      </c>
      <c r="P11" s="31" t="s">
        <v>164</v>
      </c>
      <c r="Q11" s="31" t="s">
        <v>199</v>
      </c>
      <c r="R11" s="31" t="s">
        <v>200</v>
      </c>
      <c r="S11" s="31" t="s">
        <v>201</v>
      </c>
      <c r="T11" s="31" t="s">
        <v>202</v>
      </c>
      <c r="U11" s="31" t="s">
        <v>203</v>
      </c>
      <c r="V11" s="31" t="s">
        <v>95</v>
      </c>
      <c r="W11" s="31" t="s">
        <v>73</v>
      </c>
      <c r="X11" s="31" t="s">
        <v>170</v>
      </c>
      <c r="Y11" s="31" t="s">
        <v>90</v>
      </c>
      <c r="Z11" s="32">
        <v>44923</v>
      </c>
      <c r="AA11" s="32">
        <v>44923</v>
      </c>
      <c r="AB11" s="31" t="s">
        <v>91</v>
      </c>
      <c r="AC11" s="31" t="s">
        <v>233</v>
      </c>
      <c r="AD11" s="31"/>
      <c r="AE11" s="31" t="s">
        <v>234</v>
      </c>
      <c r="AF11" s="31"/>
      <c r="AG11" s="31" t="s">
        <v>235</v>
      </c>
      <c r="AH11" s="31"/>
      <c r="AI11" s="31"/>
      <c r="AJ11" s="33">
        <f t="shared" si="0"/>
        <v>0</v>
      </c>
      <c r="AK11" s="34"/>
      <c r="AL11" s="33">
        <f t="shared" si="1"/>
        <v>0</v>
      </c>
      <c r="AM11" s="34"/>
      <c r="AN11" s="34"/>
      <c r="AO11" s="34">
        <v>229100000</v>
      </c>
      <c r="AP11" s="31" t="s">
        <v>236</v>
      </c>
      <c r="AQ11" s="31" t="s">
        <v>237</v>
      </c>
      <c r="AR11" s="31"/>
      <c r="AS11" s="31"/>
      <c r="AT11" s="31" t="s">
        <v>238</v>
      </c>
      <c r="AU11" s="31">
        <v>2013</v>
      </c>
      <c r="AV11" s="33"/>
      <c r="AW11" s="34"/>
      <c r="AX11" s="33"/>
      <c r="AY11" s="34"/>
      <c r="AZ11" s="34">
        <v>250000000</v>
      </c>
      <c r="BA11" s="34">
        <f t="shared" si="2"/>
        <v>0</v>
      </c>
      <c r="BB11" s="31" t="s">
        <v>239</v>
      </c>
      <c r="BC11" s="31" t="s">
        <v>82</v>
      </c>
      <c r="BD11" s="31" t="s">
        <v>240</v>
      </c>
      <c r="BE11" s="31" t="s">
        <v>237</v>
      </c>
      <c r="BF11" s="31"/>
      <c r="BG11" s="31"/>
      <c r="BH11" s="31" t="s">
        <v>238</v>
      </c>
      <c r="BI11" s="31">
        <v>2013</v>
      </c>
      <c r="BJ11" s="35"/>
      <c r="BK11" s="57"/>
      <c r="BL11" s="35"/>
      <c r="BM11" s="34"/>
      <c r="BN11" s="34">
        <v>275000000</v>
      </c>
      <c r="BO11" s="34">
        <f t="shared" si="3"/>
        <v>0</v>
      </c>
      <c r="BP11" s="31" t="s">
        <v>241</v>
      </c>
      <c r="BQ11" s="31" t="s">
        <v>82</v>
      </c>
      <c r="BR11" s="31" t="s">
        <v>242</v>
      </c>
      <c r="BS11" s="31" t="s">
        <v>237</v>
      </c>
      <c r="BT11" s="31"/>
      <c r="BU11" s="31"/>
      <c r="BV11" s="31" t="s">
        <v>238</v>
      </c>
      <c r="BW11" s="31">
        <v>2013</v>
      </c>
      <c r="BX11" s="35"/>
      <c r="BY11" s="34"/>
      <c r="BZ11" s="35"/>
      <c r="CA11" s="34"/>
      <c r="CB11" s="34">
        <v>294000000</v>
      </c>
      <c r="CC11" s="34">
        <f t="shared" si="4"/>
        <v>0</v>
      </c>
      <c r="CD11" s="31" t="s">
        <v>243</v>
      </c>
      <c r="CE11" s="31" t="s">
        <v>82</v>
      </c>
      <c r="CF11" s="31" t="s">
        <v>215</v>
      </c>
      <c r="CG11" s="31"/>
      <c r="CH11" s="31"/>
    </row>
    <row r="12" spans="1:86" ht="105" x14ac:dyDescent="0.25">
      <c r="A12" s="30">
        <v>8</v>
      </c>
      <c r="B12" s="31" t="s">
        <v>230</v>
      </c>
      <c r="C12" s="31" t="s">
        <v>231</v>
      </c>
      <c r="D12" s="32">
        <v>44938</v>
      </c>
      <c r="E12" s="31" t="s">
        <v>162</v>
      </c>
      <c r="F12" s="31" t="s">
        <v>162</v>
      </c>
      <c r="G12" s="31"/>
      <c r="H12" s="31" t="s">
        <v>144</v>
      </c>
      <c r="I12" s="33"/>
      <c r="J12" s="31"/>
      <c r="K12" s="33"/>
      <c r="L12" s="33"/>
      <c r="M12" s="31" t="s">
        <v>244</v>
      </c>
      <c r="N12" s="31"/>
      <c r="O12" s="31">
        <v>1</v>
      </c>
      <c r="P12" s="31" t="s">
        <v>164</v>
      </c>
      <c r="Q12" s="31" t="s">
        <v>199</v>
      </c>
      <c r="R12" s="31" t="s">
        <v>200</v>
      </c>
      <c r="S12" s="31" t="s">
        <v>201</v>
      </c>
      <c r="T12" s="31" t="s">
        <v>202</v>
      </c>
      <c r="U12" s="31" t="s">
        <v>203</v>
      </c>
      <c r="V12" s="31" t="s">
        <v>95</v>
      </c>
      <c r="W12" s="31" t="s">
        <v>73</v>
      </c>
      <c r="X12" s="31" t="s">
        <v>170</v>
      </c>
      <c r="Y12" s="31" t="s">
        <v>90</v>
      </c>
      <c r="Z12" s="32">
        <v>44923</v>
      </c>
      <c r="AA12" s="32">
        <v>44923</v>
      </c>
      <c r="AB12" s="31" t="s">
        <v>91</v>
      </c>
      <c r="AC12" s="31" t="s">
        <v>245</v>
      </c>
      <c r="AD12" s="31"/>
      <c r="AE12" s="31" t="s">
        <v>246</v>
      </c>
      <c r="AF12" s="31"/>
      <c r="AG12" s="31" t="s">
        <v>247</v>
      </c>
      <c r="AH12" s="31"/>
      <c r="AI12" s="31"/>
      <c r="AJ12" s="33">
        <f t="shared" si="0"/>
        <v>0</v>
      </c>
      <c r="AK12" s="34"/>
      <c r="AL12" s="33">
        <f t="shared" si="1"/>
        <v>0</v>
      </c>
      <c r="AM12" s="34"/>
      <c r="AN12" s="34"/>
      <c r="AO12" s="34">
        <v>218700000</v>
      </c>
      <c r="AP12" s="31" t="s">
        <v>248</v>
      </c>
      <c r="AQ12" s="31" t="s">
        <v>237</v>
      </c>
      <c r="AR12" s="31"/>
      <c r="AS12" s="31"/>
      <c r="AT12" s="31" t="s">
        <v>249</v>
      </c>
      <c r="AU12" s="31">
        <v>2014</v>
      </c>
      <c r="AV12" s="33"/>
      <c r="AW12" s="34"/>
      <c r="AX12" s="33"/>
      <c r="AY12" s="34"/>
      <c r="AZ12" s="34">
        <v>257000000</v>
      </c>
      <c r="BA12" s="34">
        <f t="shared" si="2"/>
        <v>0</v>
      </c>
      <c r="BB12" s="31" t="s">
        <v>250</v>
      </c>
      <c r="BC12" s="31" t="s">
        <v>82</v>
      </c>
      <c r="BD12" s="31" t="s">
        <v>251</v>
      </c>
      <c r="BE12" s="31" t="s">
        <v>237</v>
      </c>
      <c r="BF12" s="31"/>
      <c r="BG12" s="31"/>
      <c r="BH12" s="31" t="s">
        <v>249</v>
      </c>
      <c r="BI12" s="31">
        <v>2014</v>
      </c>
      <c r="BJ12" s="35"/>
      <c r="BK12" s="57"/>
      <c r="BL12" s="35"/>
      <c r="BM12" s="34"/>
      <c r="BN12" s="34">
        <v>225000000</v>
      </c>
      <c r="BO12" s="34">
        <f t="shared" si="3"/>
        <v>0</v>
      </c>
      <c r="BP12" s="31" t="s">
        <v>252</v>
      </c>
      <c r="BQ12" s="31" t="s">
        <v>82</v>
      </c>
      <c r="BR12" s="31" t="s">
        <v>253</v>
      </c>
      <c r="BS12" s="31" t="s">
        <v>237</v>
      </c>
      <c r="BT12" s="31"/>
      <c r="BU12" s="31"/>
      <c r="BV12" s="31" t="s">
        <v>249</v>
      </c>
      <c r="BW12" s="31">
        <v>2014</v>
      </c>
      <c r="BX12" s="35"/>
      <c r="BY12" s="34"/>
      <c r="BZ12" s="35"/>
      <c r="CA12" s="34"/>
      <c r="CB12" s="34">
        <v>220000000</v>
      </c>
      <c r="CC12" s="34">
        <f t="shared" si="4"/>
        <v>0</v>
      </c>
      <c r="CD12" s="31" t="s">
        <v>254</v>
      </c>
      <c r="CE12" s="31" t="s">
        <v>82</v>
      </c>
      <c r="CF12" s="31" t="s">
        <v>215</v>
      </c>
      <c r="CG12" s="31"/>
      <c r="CH12" s="31"/>
    </row>
    <row r="13" spans="1:86" ht="105" x14ac:dyDescent="0.25">
      <c r="A13" s="30">
        <v>9</v>
      </c>
      <c r="B13" s="31" t="s">
        <v>230</v>
      </c>
      <c r="C13" s="31" t="s">
        <v>231</v>
      </c>
      <c r="D13" s="32">
        <v>44938</v>
      </c>
      <c r="E13" s="31" t="s">
        <v>162</v>
      </c>
      <c r="F13" s="31" t="s">
        <v>162</v>
      </c>
      <c r="G13" s="31"/>
      <c r="H13" s="31" t="s">
        <v>144</v>
      </c>
      <c r="I13" s="33"/>
      <c r="J13" s="31"/>
      <c r="K13" s="33"/>
      <c r="L13" s="33"/>
      <c r="M13" s="31" t="s">
        <v>255</v>
      </c>
      <c r="N13" s="31"/>
      <c r="O13" s="31">
        <v>1</v>
      </c>
      <c r="P13" s="31" t="s">
        <v>164</v>
      </c>
      <c r="Q13" s="31" t="s">
        <v>199</v>
      </c>
      <c r="R13" s="31" t="s">
        <v>200</v>
      </c>
      <c r="S13" s="31" t="s">
        <v>201</v>
      </c>
      <c r="T13" s="31" t="s">
        <v>202</v>
      </c>
      <c r="U13" s="31" t="s">
        <v>203</v>
      </c>
      <c r="V13" s="31" t="s">
        <v>95</v>
      </c>
      <c r="W13" s="31" t="s">
        <v>73</v>
      </c>
      <c r="X13" s="31" t="s">
        <v>170</v>
      </c>
      <c r="Y13" s="31" t="s">
        <v>90</v>
      </c>
      <c r="Z13" s="32">
        <v>44923</v>
      </c>
      <c r="AA13" s="32">
        <v>44923</v>
      </c>
      <c r="AB13" s="31" t="s">
        <v>91</v>
      </c>
      <c r="AC13" s="31" t="s">
        <v>256</v>
      </c>
      <c r="AD13" s="31"/>
      <c r="AE13" s="31" t="s">
        <v>257</v>
      </c>
      <c r="AF13" s="31"/>
      <c r="AG13" s="31" t="s">
        <v>258</v>
      </c>
      <c r="AH13" s="31"/>
      <c r="AI13" s="31"/>
      <c r="AJ13" s="33">
        <f t="shared" si="0"/>
        <v>0</v>
      </c>
      <c r="AK13" s="34"/>
      <c r="AL13" s="33">
        <f t="shared" si="1"/>
        <v>0</v>
      </c>
      <c r="AM13" s="34"/>
      <c r="AN13" s="34"/>
      <c r="AO13" s="34">
        <v>245200000</v>
      </c>
      <c r="AP13" s="31" t="s">
        <v>259</v>
      </c>
      <c r="AQ13" s="31" t="s">
        <v>237</v>
      </c>
      <c r="AR13" s="31"/>
      <c r="AS13" s="31"/>
      <c r="AT13" s="31" t="s">
        <v>249</v>
      </c>
      <c r="AU13" s="31">
        <v>2016</v>
      </c>
      <c r="AV13" s="33"/>
      <c r="AW13" s="34"/>
      <c r="AX13" s="33"/>
      <c r="AY13" s="34"/>
      <c r="AZ13" s="34">
        <v>323000000</v>
      </c>
      <c r="BA13" s="34">
        <f t="shared" si="2"/>
        <v>0</v>
      </c>
      <c r="BB13" s="31" t="s">
        <v>260</v>
      </c>
      <c r="BC13" s="31" t="s">
        <v>261</v>
      </c>
      <c r="BD13" s="31" t="s">
        <v>262</v>
      </c>
      <c r="BE13" s="31" t="s">
        <v>237</v>
      </c>
      <c r="BF13" s="31"/>
      <c r="BG13" s="31"/>
      <c r="BH13" s="31" t="s">
        <v>249</v>
      </c>
      <c r="BI13" s="31">
        <v>2016</v>
      </c>
      <c r="BJ13" s="35"/>
      <c r="BK13" s="57"/>
      <c r="BL13" s="35"/>
      <c r="BM13" s="34"/>
      <c r="BN13" s="34">
        <v>315000000</v>
      </c>
      <c r="BO13" s="34">
        <f t="shared" si="3"/>
        <v>0</v>
      </c>
      <c r="BP13" s="31" t="s">
        <v>263</v>
      </c>
      <c r="BQ13" s="31" t="s">
        <v>82</v>
      </c>
      <c r="BR13" s="31" t="s">
        <v>264</v>
      </c>
      <c r="BS13" s="31" t="s">
        <v>237</v>
      </c>
      <c r="BT13" s="31"/>
      <c r="BU13" s="31"/>
      <c r="BV13" s="31" t="s">
        <v>249</v>
      </c>
      <c r="BW13" s="31">
        <v>2016</v>
      </c>
      <c r="BX13" s="35"/>
      <c r="BY13" s="34"/>
      <c r="BZ13" s="35"/>
      <c r="CA13" s="34"/>
      <c r="CB13" s="34">
        <v>275000000</v>
      </c>
      <c r="CC13" s="34">
        <f t="shared" si="4"/>
        <v>0</v>
      </c>
      <c r="CD13" s="31" t="s">
        <v>265</v>
      </c>
      <c r="CE13" s="31" t="s">
        <v>82</v>
      </c>
      <c r="CF13" s="31" t="s">
        <v>215</v>
      </c>
      <c r="CG13" s="31"/>
      <c r="CH13" s="31"/>
    </row>
    <row r="14" spans="1:86" ht="150" x14ac:dyDescent="0.25">
      <c r="A14" s="30">
        <v>10</v>
      </c>
      <c r="B14" s="59" t="s">
        <v>266</v>
      </c>
      <c r="C14" s="59" t="s">
        <v>267</v>
      </c>
      <c r="D14" s="60">
        <v>44938</v>
      </c>
      <c r="E14" s="59" t="s">
        <v>162</v>
      </c>
      <c r="F14" s="59" t="s">
        <v>162</v>
      </c>
      <c r="G14" s="59"/>
      <c r="H14" s="59" t="s">
        <v>268</v>
      </c>
      <c r="I14" s="61">
        <v>718</v>
      </c>
      <c r="J14" s="59" t="s">
        <v>70</v>
      </c>
      <c r="K14" s="61">
        <v>574</v>
      </c>
      <c r="L14" s="61"/>
      <c r="M14" s="59"/>
      <c r="N14" s="59"/>
      <c r="O14" s="59"/>
      <c r="P14" s="59"/>
      <c r="Q14" s="59"/>
      <c r="R14" s="59" t="s">
        <v>269</v>
      </c>
      <c r="S14" s="59" t="s">
        <v>270</v>
      </c>
      <c r="T14" s="59" t="s">
        <v>271</v>
      </c>
      <c r="U14" s="59" t="s">
        <v>272</v>
      </c>
      <c r="V14" s="59" t="s">
        <v>139</v>
      </c>
      <c r="W14" s="59" t="s">
        <v>73</v>
      </c>
      <c r="X14" s="59" t="s">
        <v>146</v>
      </c>
      <c r="Y14" s="59" t="s">
        <v>75</v>
      </c>
      <c r="Z14" s="60">
        <v>44921</v>
      </c>
      <c r="AA14" s="60">
        <v>44921</v>
      </c>
      <c r="AB14" s="59" t="s">
        <v>91</v>
      </c>
      <c r="AC14" s="59"/>
      <c r="AD14" s="59"/>
      <c r="AE14" s="59"/>
      <c r="AF14" s="59"/>
      <c r="AG14" s="59"/>
      <c r="AH14" s="59"/>
      <c r="AI14" s="59"/>
      <c r="AJ14" s="33">
        <f t="shared" si="0"/>
        <v>718</v>
      </c>
      <c r="AK14" s="62">
        <v>4500000</v>
      </c>
      <c r="AL14" s="33">
        <f t="shared" si="1"/>
        <v>574</v>
      </c>
      <c r="AM14" s="62"/>
      <c r="AN14" s="62"/>
      <c r="AO14" s="62">
        <v>3775000000</v>
      </c>
      <c r="AP14" s="59" t="s">
        <v>273</v>
      </c>
      <c r="AQ14" s="59" t="s">
        <v>78</v>
      </c>
      <c r="AR14" s="59"/>
      <c r="AS14" s="59"/>
      <c r="AT14" s="59"/>
      <c r="AU14" s="59"/>
      <c r="AV14" s="61">
        <v>503</v>
      </c>
      <c r="AW14" s="62">
        <v>4676617</v>
      </c>
      <c r="AX14" s="61"/>
      <c r="AY14" s="62"/>
      <c r="AZ14" s="62">
        <v>2600000000</v>
      </c>
      <c r="BA14" s="34">
        <f t="shared" si="2"/>
        <v>2352338351</v>
      </c>
      <c r="BB14" s="59" t="s">
        <v>274</v>
      </c>
      <c r="BC14" s="59" t="s">
        <v>82</v>
      </c>
      <c r="BD14" s="59" t="s">
        <v>275</v>
      </c>
      <c r="BE14" s="59" t="s">
        <v>101</v>
      </c>
      <c r="BF14" s="59"/>
      <c r="BG14" s="59"/>
      <c r="BH14" s="59"/>
      <c r="BI14" s="59"/>
      <c r="BJ14" s="63">
        <v>768</v>
      </c>
      <c r="BK14" s="62">
        <v>4562875</v>
      </c>
      <c r="BL14" s="63">
        <v>200</v>
      </c>
      <c r="BM14" s="62"/>
      <c r="BN14" s="62">
        <v>4070400000</v>
      </c>
      <c r="BO14" s="34">
        <f t="shared" si="3"/>
        <v>3504288000</v>
      </c>
      <c r="BP14" s="59" t="s">
        <v>276</v>
      </c>
      <c r="BQ14" s="59" t="s">
        <v>82</v>
      </c>
      <c r="BR14" s="59" t="s">
        <v>275</v>
      </c>
      <c r="BS14" s="59" t="s">
        <v>101</v>
      </c>
      <c r="BT14" s="59"/>
      <c r="BU14" s="59"/>
      <c r="BV14" s="59"/>
      <c r="BW14" s="59"/>
      <c r="BX14" s="63">
        <v>793</v>
      </c>
      <c r="BY14" s="62">
        <v>4452402</v>
      </c>
      <c r="BZ14" s="63">
        <v>450</v>
      </c>
      <c r="CA14" s="62"/>
      <c r="CB14" s="62">
        <v>4500000000</v>
      </c>
      <c r="CC14" s="34">
        <f t="shared" si="4"/>
        <v>3530754786</v>
      </c>
      <c r="CD14" s="59" t="s">
        <v>277</v>
      </c>
      <c r="CE14" s="59" t="s">
        <v>82</v>
      </c>
      <c r="CF14" s="59"/>
      <c r="CG14" s="59"/>
      <c r="CH14" s="59"/>
    </row>
    <row r="15" spans="1:86" ht="195" x14ac:dyDescent="0.25">
      <c r="A15" s="30">
        <v>11</v>
      </c>
      <c r="B15" s="31" t="s">
        <v>278</v>
      </c>
      <c r="C15" s="31" t="s">
        <v>279</v>
      </c>
      <c r="D15" s="32">
        <v>44952</v>
      </c>
      <c r="E15" s="31" t="s">
        <v>97</v>
      </c>
      <c r="F15" s="31" t="s">
        <v>97</v>
      </c>
      <c r="G15" s="31"/>
      <c r="H15" s="31" t="s">
        <v>107</v>
      </c>
      <c r="I15" s="33">
        <v>81</v>
      </c>
      <c r="J15" s="31" t="s">
        <v>70</v>
      </c>
      <c r="K15" s="33">
        <v>158</v>
      </c>
      <c r="L15" s="33"/>
      <c r="M15" s="31"/>
      <c r="N15" s="31"/>
      <c r="O15" s="31"/>
      <c r="P15" s="31"/>
      <c r="Q15" s="31" t="s">
        <v>280</v>
      </c>
      <c r="R15" s="31" t="s">
        <v>281</v>
      </c>
      <c r="S15" s="31" t="s">
        <v>282</v>
      </c>
      <c r="T15" s="31" t="s">
        <v>283</v>
      </c>
      <c r="U15" s="31" t="s">
        <v>99</v>
      </c>
      <c r="V15" s="31" t="s">
        <v>80</v>
      </c>
      <c r="W15" s="31" t="s">
        <v>73</v>
      </c>
      <c r="X15" s="31" t="s">
        <v>86</v>
      </c>
      <c r="Y15" s="31" t="s">
        <v>75</v>
      </c>
      <c r="Z15" s="32">
        <v>44950</v>
      </c>
      <c r="AA15" s="32">
        <v>44950</v>
      </c>
      <c r="AB15" s="31" t="s">
        <v>76</v>
      </c>
      <c r="AC15" s="31"/>
      <c r="AD15" s="31"/>
      <c r="AE15" s="31"/>
      <c r="AF15" s="31"/>
      <c r="AG15" s="31"/>
      <c r="AH15" s="31"/>
      <c r="AI15" s="31"/>
      <c r="AJ15" s="33">
        <f t="shared" si="0"/>
        <v>81</v>
      </c>
      <c r="AK15" s="34">
        <v>9935885</v>
      </c>
      <c r="AL15" s="33">
        <f t="shared" si="1"/>
        <v>158</v>
      </c>
      <c r="AM15" s="34">
        <v>3731000</v>
      </c>
      <c r="AN15" s="34"/>
      <c r="AO15" s="34">
        <v>1570000000</v>
      </c>
      <c r="AP15" s="31" t="s">
        <v>284</v>
      </c>
      <c r="AQ15" s="31" t="s">
        <v>107</v>
      </c>
      <c r="AR15" s="31"/>
      <c r="AS15" s="31"/>
      <c r="AT15" s="31"/>
      <c r="AU15" s="31"/>
      <c r="AV15" s="33">
        <v>72</v>
      </c>
      <c r="AW15" s="34">
        <v>10035842</v>
      </c>
      <c r="AX15" s="33">
        <v>140</v>
      </c>
      <c r="AY15" s="34"/>
      <c r="AZ15" s="34">
        <v>1650000000</v>
      </c>
      <c r="BA15" s="34">
        <f t="shared" si="2"/>
        <v>722580624</v>
      </c>
      <c r="BB15" s="31" t="s">
        <v>285</v>
      </c>
      <c r="BC15" s="31" t="s">
        <v>82</v>
      </c>
      <c r="BD15" s="31" t="s">
        <v>286</v>
      </c>
      <c r="BE15" s="31" t="s">
        <v>107</v>
      </c>
      <c r="BF15" s="31"/>
      <c r="BG15" s="31"/>
      <c r="BH15" s="31"/>
      <c r="BI15" s="31"/>
      <c r="BJ15" s="35">
        <v>81</v>
      </c>
      <c r="BK15" s="34">
        <v>9810127</v>
      </c>
      <c r="BL15" s="35">
        <v>158</v>
      </c>
      <c r="BM15" s="34"/>
      <c r="BN15" s="34">
        <v>1800000000</v>
      </c>
      <c r="BO15" s="34">
        <f t="shared" si="3"/>
        <v>794620287</v>
      </c>
      <c r="BP15" s="31" t="s">
        <v>287</v>
      </c>
      <c r="BQ15" s="31" t="s">
        <v>82</v>
      </c>
      <c r="BR15" s="31" t="s">
        <v>288</v>
      </c>
      <c r="BS15" s="31" t="s">
        <v>107</v>
      </c>
      <c r="BT15" s="31"/>
      <c r="BU15" s="31"/>
      <c r="BV15" s="31"/>
      <c r="BW15" s="31"/>
      <c r="BX15" s="35">
        <v>68</v>
      </c>
      <c r="BY15" s="34">
        <v>9961686</v>
      </c>
      <c r="BZ15" s="35">
        <v>131</v>
      </c>
      <c r="CA15" s="34"/>
      <c r="CB15" s="34">
        <v>1500000000</v>
      </c>
      <c r="CC15" s="34">
        <f t="shared" si="4"/>
        <v>677394648</v>
      </c>
      <c r="CD15" s="31" t="s">
        <v>289</v>
      </c>
      <c r="CE15" s="31" t="s">
        <v>82</v>
      </c>
      <c r="CF15" s="31" t="s">
        <v>147</v>
      </c>
      <c r="CG15" s="31"/>
      <c r="CH15" s="31"/>
    </row>
    <row r="16" spans="1:86" ht="120" x14ac:dyDescent="0.25">
      <c r="A16" s="30">
        <v>12</v>
      </c>
      <c r="B16" s="31" t="s">
        <v>290</v>
      </c>
      <c r="C16" s="31" t="s">
        <v>279</v>
      </c>
      <c r="D16" s="32">
        <v>44952</v>
      </c>
      <c r="E16" s="31" t="s">
        <v>291</v>
      </c>
      <c r="F16" s="31" t="s">
        <v>291</v>
      </c>
      <c r="G16" s="31"/>
      <c r="H16" s="31" t="s">
        <v>292</v>
      </c>
      <c r="I16" s="33">
        <v>7933</v>
      </c>
      <c r="J16" s="31" t="s">
        <v>70</v>
      </c>
      <c r="K16" s="33">
        <v>38845</v>
      </c>
      <c r="L16" s="33"/>
      <c r="M16" s="31"/>
      <c r="N16" s="31"/>
      <c r="O16" s="31"/>
      <c r="P16" s="31"/>
      <c r="Q16" s="31"/>
      <c r="R16" s="31" t="s">
        <v>293</v>
      </c>
      <c r="S16" s="31" t="s">
        <v>294</v>
      </c>
      <c r="T16" s="31" t="s">
        <v>295</v>
      </c>
      <c r="U16" s="31" t="s">
        <v>296</v>
      </c>
      <c r="V16" s="31" t="s">
        <v>139</v>
      </c>
      <c r="W16" s="31" t="s">
        <v>73</v>
      </c>
      <c r="X16" s="31" t="s">
        <v>89</v>
      </c>
      <c r="Y16" s="31" t="s">
        <v>90</v>
      </c>
      <c r="Z16" s="32">
        <v>44945</v>
      </c>
      <c r="AA16" s="32">
        <v>44926</v>
      </c>
      <c r="AB16" s="31" t="s">
        <v>91</v>
      </c>
      <c r="AC16" s="31"/>
      <c r="AD16" s="31"/>
      <c r="AE16" s="31"/>
      <c r="AF16" s="31"/>
      <c r="AG16" s="31"/>
      <c r="AH16" s="31"/>
      <c r="AI16" s="31"/>
      <c r="AJ16" s="33">
        <f t="shared" si="0"/>
        <v>7933</v>
      </c>
      <c r="AK16" s="34">
        <v>1900000</v>
      </c>
      <c r="AL16" s="33">
        <f t="shared" si="1"/>
        <v>38845</v>
      </c>
      <c r="AM16" s="34"/>
      <c r="AN16" s="34"/>
      <c r="AO16" s="34">
        <v>202537000000</v>
      </c>
      <c r="AP16" s="31" t="s">
        <v>297</v>
      </c>
      <c r="AQ16" s="31" t="s">
        <v>78</v>
      </c>
      <c r="AR16" s="31"/>
      <c r="AS16" s="31"/>
      <c r="AT16" s="31"/>
      <c r="AU16" s="31"/>
      <c r="AV16" s="33">
        <v>20</v>
      </c>
      <c r="AW16" s="34">
        <v>3200000</v>
      </c>
      <c r="AX16" s="33"/>
      <c r="AY16" s="34"/>
      <c r="AZ16" s="34">
        <v>100000000000</v>
      </c>
      <c r="BA16" s="34">
        <f t="shared" si="2"/>
        <v>64000000</v>
      </c>
      <c r="BB16" s="31" t="s">
        <v>298</v>
      </c>
      <c r="BC16" s="31" t="s">
        <v>82</v>
      </c>
      <c r="BD16" s="31" t="s">
        <v>297</v>
      </c>
      <c r="BE16" s="31" t="s">
        <v>78</v>
      </c>
      <c r="BF16" s="31"/>
      <c r="BG16" s="31"/>
      <c r="BH16" s="31"/>
      <c r="BI16" s="31"/>
      <c r="BJ16" s="35">
        <v>2775</v>
      </c>
      <c r="BK16" s="34">
        <v>3603604</v>
      </c>
      <c r="BL16" s="35"/>
      <c r="BM16" s="34"/>
      <c r="BN16" s="34">
        <v>14000000000</v>
      </c>
      <c r="BO16" s="34">
        <f t="shared" si="3"/>
        <v>10000001100</v>
      </c>
      <c r="BP16" s="31" t="s">
        <v>299</v>
      </c>
      <c r="BQ16" s="31" t="s">
        <v>82</v>
      </c>
      <c r="BR16" s="31" t="s">
        <v>297</v>
      </c>
      <c r="BS16" s="31" t="s">
        <v>78</v>
      </c>
      <c r="BT16" s="31"/>
      <c r="BU16" s="31"/>
      <c r="BV16" s="31"/>
      <c r="BW16" s="31"/>
      <c r="BX16" s="35">
        <v>100</v>
      </c>
      <c r="BY16" s="34">
        <v>1600000</v>
      </c>
      <c r="BZ16" s="35"/>
      <c r="CA16" s="34"/>
      <c r="CB16" s="34">
        <v>220000000000</v>
      </c>
      <c r="CC16" s="34">
        <f t="shared" si="4"/>
        <v>160000000</v>
      </c>
      <c r="CD16" s="31" t="s">
        <v>300</v>
      </c>
      <c r="CE16" s="31" t="s">
        <v>82</v>
      </c>
      <c r="CF16" s="31" t="s">
        <v>301</v>
      </c>
      <c r="CG16" s="31"/>
      <c r="CH16" s="31"/>
    </row>
    <row r="17" spans="1:86" ht="165" x14ac:dyDescent="0.25">
      <c r="A17" s="30">
        <v>13</v>
      </c>
      <c r="B17" s="31" t="s">
        <v>302</v>
      </c>
      <c r="C17" s="31" t="s">
        <v>303</v>
      </c>
      <c r="D17" s="32">
        <v>44958</v>
      </c>
      <c r="E17" s="31" t="s">
        <v>97</v>
      </c>
      <c r="F17" s="31" t="s">
        <v>97</v>
      </c>
      <c r="G17" s="31"/>
      <c r="H17" s="31" t="s">
        <v>292</v>
      </c>
      <c r="I17" s="33">
        <v>1037</v>
      </c>
      <c r="J17" s="31" t="s">
        <v>70</v>
      </c>
      <c r="K17" s="33">
        <v>3869</v>
      </c>
      <c r="L17" s="33"/>
      <c r="M17" s="31"/>
      <c r="N17" s="31"/>
      <c r="O17" s="31"/>
      <c r="P17" s="31"/>
      <c r="Q17" s="31" t="s">
        <v>304</v>
      </c>
      <c r="R17" s="31" t="s">
        <v>305</v>
      </c>
      <c r="S17" s="31" t="s">
        <v>306</v>
      </c>
      <c r="T17" s="31" t="s">
        <v>307</v>
      </c>
      <c r="U17" s="31" t="s">
        <v>114</v>
      </c>
      <c r="V17" s="31" t="s">
        <v>95</v>
      </c>
      <c r="W17" s="31" t="s">
        <v>73</v>
      </c>
      <c r="X17" s="31" t="s">
        <v>86</v>
      </c>
      <c r="Y17" s="31" t="s">
        <v>75</v>
      </c>
      <c r="Z17" s="32">
        <v>44951</v>
      </c>
      <c r="AA17" s="32">
        <v>44951</v>
      </c>
      <c r="AB17" s="31" t="s">
        <v>91</v>
      </c>
      <c r="AC17" s="31"/>
      <c r="AD17" s="31"/>
      <c r="AE17" s="31"/>
      <c r="AF17" s="31"/>
      <c r="AG17" s="31"/>
      <c r="AH17" s="31"/>
      <c r="AI17" s="31"/>
      <c r="AJ17" s="33">
        <f t="shared" si="0"/>
        <v>1037</v>
      </c>
      <c r="AK17" s="34">
        <v>3500000</v>
      </c>
      <c r="AL17" s="33">
        <f t="shared" si="1"/>
        <v>3869</v>
      </c>
      <c r="AM17" s="34"/>
      <c r="AN17" s="34"/>
      <c r="AO17" s="34">
        <v>42743000000</v>
      </c>
      <c r="AP17" s="31" t="s">
        <v>308</v>
      </c>
      <c r="AQ17" s="31" t="s">
        <v>292</v>
      </c>
      <c r="AR17" s="31"/>
      <c r="AS17" s="31"/>
      <c r="AT17" s="31"/>
      <c r="AU17" s="31"/>
      <c r="AV17" s="33">
        <v>7082</v>
      </c>
      <c r="AW17" s="34">
        <v>3718303</v>
      </c>
      <c r="AX17" s="33">
        <v>6092</v>
      </c>
      <c r="AY17" s="34"/>
      <c r="AZ17" s="34">
        <v>39000000000</v>
      </c>
      <c r="BA17" s="34">
        <f t="shared" si="2"/>
        <v>26333021846</v>
      </c>
      <c r="BB17" s="31" t="s">
        <v>309</v>
      </c>
      <c r="BC17" s="31" t="s">
        <v>82</v>
      </c>
      <c r="BD17" s="31" t="s">
        <v>310</v>
      </c>
      <c r="BE17" s="31" t="s">
        <v>292</v>
      </c>
      <c r="BF17" s="31"/>
      <c r="BG17" s="31"/>
      <c r="BH17" s="31"/>
      <c r="BI17" s="31"/>
      <c r="BJ17" s="35">
        <v>6500</v>
      </c>
      <c r="BK17" s="34">
        <v>3630451</v>
      </c>
      <c r="BL17" s="35">
        <v>4500</v>
      </c>
      <c r="BM17" s="34"/>
      <c r="BN17" s="34">
        <v>33000000000</v>
      </c>
      <c r="BO17" s="34">
        <f t="shared" si="3"/>
        <v>23597931500</v>
      </c>
      <c r="BP17" s="31" t="s">
        <v>311</v>
      </c>
      <c r="BQ17" s="31" t="s">
        <v>82</v>
      </c>
      <c r="BR17" s="31" t="s">
        <v>312</v>
      </c>
      <c r="BS17" s="31" t="s">
        <v>292</v>
      </c>
      <c r="BT17" s="31"/>
      <c r="BU17" s="31"/>
      <c r="BV17" s="31"/>
      <c r="BW17" s="31"/>
      <c r="BX17" s="35">
        <v>7300</v>
      </c>
      <c r="BY17" s="34">
        <v>3524925</v>
      </c>
      <c r="BZ17" s="35">
        <v>3000</v>
      </c>
      <c r="CA17" s="34"/>
      <c r="CB17" s="34">
        <v>34000000000</v>
      </c>
      <c r="CC17" s="34">
        <f t="shared" si="4"/>
        <v>25731952500</v>
      </c>
      <c r="CD17" s="31" t="s">
        <v>313</v>
      </c>
      <c r="CE17" s="31" t="s">
        <v>137</v>
      </c>
      <c r="CF17" s="31" t="s">
        <v>314</v>
      </c>
      <c r="CG17" s="31"/>
      <c r="CH17" s="31"/>
    </row>
    <row r="18" spans="1:86" ht="60" x14ac:dyDescent="0.25">
      <c r="A18" s="30">
        <v>14</v>
      </c>
      <c r="B18" s="59" t="s">
        <v>315</v>
      </c>
      <c r="C18" s="59" t="s">
        <v>316</v>
      </c>
      <c r="D18" s="60">
        <v>44958</v>
      </c>
      <c r="E18" s="59" t="s">
        <v>317</v>
      </c>
      <c r="F18" s="59" t="s">
        <v>317</v>
      </c>
      <c r="G18" s="59"/>
      <c r="H18" s="59" t="s">
        <v>88</v>
      </c>
      <c r="I18" s="61"/>
      <c r="J18" s="59"/>
      <c r="K18" s="61"/>
      <c r="L18" s="61"/>
      <c r="M18" s="59" t="s">
        <v>318</v>
      </c>
      <c r="N18" s="59"/>
      <c r="O18" s="59">
        <v>1</v>
      </c>
      <c r="P18" s="59" t="s">
        <v>164</v>
      </c>
      <c r="Q18" s="59"/>
      <c r="R18" s="59" t="s">
        <v>319</v>
      </c>
      <c r="S18" s="59" t="s">
        <v>320</v>
      </c>
      <c r="T18" s="59" t="s">
        <v>321</v>
      </c>
      <c r="U18" s="59" t="s">
        <v>322</v>
      </c>
      <c r="V18" s="59" t="s">
        <v>139</v>
      </c>
      <c r="W18" s="59" t="s">
        <v>73</v>
      </c>
      <c r="X18" s="59" t="s">
        <v>74</v>
      </c>
      <c r="Y18" s="59" t="s">
        <v>75</v>
      </c>
      <c r="Z18" s="60">
        <v>44945</v>
      </c>
      <c r="AA18" s="60">
        <v>44946</v>
      </c>
      <c r="AB18" s="59" t="s">
        <v>91</v>
      </c>
      <c r="AC18" s="59"/>
      <c r="AD18" s="59"/>
      <c r="AE18" s="59"/>
      <c r="AF18" s="59"/>
      <c r="AG18" s="59"/>
      <c r="AH18" s="59"/>
      <c r="AI18" s="59"/>
      <c r="AJ18" s="33">
        <f t="shared" si="0"/>
        <v>0</v>
      </c>
      <c r="AK18" s="62"/>
      <c r="AL18" s="33">
        <f t="shared" si="1"/>
        <v>0</v>
      </c>
      <c r="AM18" s="62"/>
      <c r="AN18" s="62"/>
      <c r="AO18" s="62">
        <v>88831000000</v>
      </c>
      <c r="AP18" s="59"/>
      <c r="AQ18" s="59" t="s">
        <v>323</v>
      </c>
      <c r="AR18" s="59"/>
      <c r="AS18" s="59"/>
      <c r="AT18" s="59"/>
      <c r="AU18" s="59"/>
      <c r="AV18" s="61"/>
      <c r="AW18" s="62"/>
      <c r="AX18" s="61"/>
      <c r="AY18" s="62"/>
      <c r="AZ18" s="62">
        <v>95211900000</v>
      </c>
      <c r="BA18" s="34">
        <f t="shared" si="2"/>
        <v>0</v>
      </c>
      <c r="BB18" s="59"/>
      <c r="BC18" s="59" t="s">
        <v>82</v>
      </c>
      <c r="BD18" s="59"/>
      <c r="BE18" s="59" t="s">
        <v>324</v>
      </c>
      <c r="BF18" s="59"/>
      <c r="BG18" s="59"/>
      <c r="BH18" s="59"/>
      <c r="BI18" s="59"/>
      <c r="BJ18" s="63"/>
      <c r="BK18" s="62"/>
      <c r="BL18" s="63"/>
      <c r="BM18" s="62"/>
      <c r="BN18" s="62">
        <v>226695000000</v>
      </c>
      <c r="BO18" s="34">
        <f t="shared" si="3"/>
        <v>0</v>
      </c>
      <c r="BP18" s="59"/>
      <c r="BQ18" s="59" t="s">
        <v>82</v>
      </c>
      <c r="BR18" s="59"/>
      <c r="BS18" s="59"/>
      <c r="BT18" s="59"/>
      <c r="BU18" s="59"/>
      <c r="BV18" s="59"/>
      <c r="BW18" s="59"/>
      <c r="BX18" s="63"/>
      <c r="BY18" s="62"/>
      <c r="BZ18" s="63"/>
      <c r="CA18" s="62"/>
      <c r="CB18" s="62"/>
      <c r="CC18" s="34">
        <f t="shared" si="4"/>
        <v>0</v>
      </c>
      <c r="CD18" s="59"/>
      <c r="CE18" s="59"/>
      <c r="CF18" s="59" t="s">
        <v>325</v>
      </c>
      <c r="CG18" s="59"/>
      <c r="CH18" s="59"/>
    </row>
    <row r="19" spans="1:86" ht="120" x14ac:dyDescent="0.25">
      <c r="A19" s="30">
        <v>15</v>
      </c>
      <c r="B19" s="31" t="s">
        <v>326</v>
      </c>
      <c r="C19" s="31" t="s">
        <v>327</v>
      </c>
      <c r="D19" s="32">
        <v>44959</v>
      </c>
      <c r="E19" s="31" t="s">
        <v>97</v>
      </c>
      <c r="F19" s="31" t="s">
        <v>97</v>
      </c>
      <c r="G19" s="31"/>
      <c r="H19" s="31" t="s">
        <v>328</v>
      </c>
      <c r="I19" s="33">
        <v>335</v>
      </c>
      <c r="J19" s="31" t="s">
        <v>70</v>
      </c>
      <c r="K19" s="33">
        <v>247</v>
      </c>
      <c r="L19" s="33"/>
      <c r="M19" s="31"/>
      <c r="N19" s="31"/>
      <c r="O19" s="31"/>
      <c r="P19" s="31"/>
      <c r="Q19" s="31"/>
      <c r="R19" s="31" t="s">
        <v>329</v>
      </c>
      <c r="S19" s="31" t="s">
        <v>330</v>
      </c>
      <c r="T19" s="31" t="s">
        <v>331</v>
      </c>
      <c r="U19" s="31" t="s">
        <v>99</v>
      </c>
      <c r="V19" s="31" t="s">
        <v>80</v>
      </c>
      <c r="W19" s="31" t="s">
        <v>73</v>
      </c>
      <c r="X19" s="31" t="s">
        <v>86</v>
      </c>
      <c r="Y19" s="31" t="s">
        <v>332</v>
      </c>
      <c r="Z19" s="32">
        <v>44974</v>
      </c>
      <c r="AA19" s="32">
        <v>44974</v>
      </c>
      <c r="AB19" s="31" t="s">
        <v>76</v>
      </c>
      <c r="AC19" s="31"/>
      <c r="AD19" s="31"/>
      <c r="AE19" s="31"/>
      <c r="AF19" s="31"/>
      <c r="AG19" s="31"/>
      <c r="AH19" s="31"/>
      <c r="AI19" s="31"/>
      <c r="AJ19" s="33">
        <f t="shared" si="0"/>
        <v>335</v>
      </c>
      <c r="AK19" s="34">
        <v>6000000</v>
      </c>
      <c r="AL19" s="33">
        <f t="shared" si="1"/>
        <v>247</v>
      </c>
      <c r="AM19" s="34">
        <v>797571</v>
      </c>
      <c r="AN19" s="34"/>
      <c r="AO19" s="34">
        <v>2207000000</v>
      </c>
      <c r="AP19" s="31" t="s">
        <v>333</v>
      </c>
      <c r="AQ19" s="31" t="s">
        <v>101</v>
      </c>
      <c r="AR19" s="31"/>
      <c r="AS19" s="31"/>
      <c r="AT19" s="31"/>
      <c r="AU19" s="31"/>
      <c r="AV19" s="33">
        <v>210</v>
      </c>
      <c r="AW19" s="34">
        <v>6190476</v>
      </c>
      <c r="AX19" s="33"/>
      <c r="AY19" s="34"/>
      <c r="AZ19" s="34">
        <v>1500000000</v>
      </c>
      <c r="BA19" s="34">
        <f t="shared" si="2"/>
        <v>1299999960</v>
      </c>
      <c r="BB19" s="31" t="s">
        <v>334</v>
      </c>
      <c r="BC19" s="31" t="s">
        <v>82</v>
      </c>
      <c r="BD19" s="31" t="s">
        <v>335</v>
      </c>
      <c r="BE19" s="31" t="s">
        <v>328</v>
      </c>
      <c r="BF19" s="31"/>
      <c r="BG19" s="31"/>
      <c r="BH19" s="31"/>
      <c r="BI19" s="31"/>
      <c r="BJ19" s="35">
        <v>275</v>
      </c>
      <c r="BK19" s="34">
        <v>6601394</v>
      </c>
      <c r="BL19" s="35">
        <v>450</v>
      </c>
      <c r="BM19" s="34"/>
      <c r="BN19" s="34">
        <v>4000000000</v>
      </c>
      <c r="BO19" s="34">
        <f t="shared" si="3"/>
        <v>1815383350</v>
      </c>
      <c r="BP19" s="31" t="s">
        <v>336</v>
      </c>
      <c r="BQ19" s="31" t="s">
        <v>82</v>
      </c>
      <c r="BR19" s="31" t="s">
        <v>337</v>
      </c>
      <c r="BS19" s="31" t="s">
        <v>87</v>
      </c>
      <c r="BT19" s="31"/>
      <c r="BU19" s="31"/>
      <c r="BV19" s="31"/>
      <c r="BW19" s="31"/>
      <c r="BX19" s="35">
        <v>1200</v>
      </c>
      <c r="BY19" s="34">
        <v>6167625</v>
      </c>
      <c r="BZ19" s="35">
        <v>1100</v>
      </c>
      <c r="CA19" s="34"/>
      <c r="CB19" s="34">
        <v>12000000000</v>
      </c>
      <c r="CC19" s="34">
        <f t="shared" si="4"/>
        <v>7401150000</v>
      </c>
      <c r="CD19" s="31" t="s">
        <v>338</v>
      </c>
      <c r="CE19" s="31" t="s">
        <v>82</v>
      </c>
      <c r="CF19" s="31" t="s">
        <v>215</v>
      </c>
      <c r="CG19" s="31"/>
      <c r="CH19" s="31"/>
    </row>
    <row r="20" spans="1:86" ht="105" x14ac:dyDescent="0.25">
      <c r="A20" s="30">
        <v>16</v>
      </c>
      <c r="B20" s="31" t="s">
        <v>339</v>
      </c>
      <c r="C20" s="31" t="s">
        <v>340</v>
      </c>
      <c r="D20" s="32">
        <v>44965</v>
      </c>
      <c r="E20" s="31" t="s">
        <v>162</v>
      </c>
      <c r="F20" s="31" t="s">
        <v>162</v>
      </c>
      <c r="G20" s="31"/>
      <c r="H20" s="31" t="s">
        <v>144</v>
      </c>
      <c r="I20" s="33"/>
      <c r="J20" s="31"/>
      <c r="K20" s="33"/>
      <c r="L20" s="33"/>
      <c r="M20" s="31" t="s">
        <v>341</v>
      </c>
      <c r="N20" s="31"/>
      <c r="O20" s="31">
        <v>1</v>
      </c>
      <c r="P20" s="31" t="s">
        <v>164</v>
      </c>
      <c r="Q20" s="31" t="s">
        <v>342</v>
      </c>
      <c r="R20" s="31" t="s">
        <v>343</v>
      </c>
      <c r="S20" s="31" t="s">
        <v>344</v>
      </c>
      <c r="T20" s="31" t="s">
        <v>345</v>
      </c>
      <c r="U20" s="31" t="s">
        <v>346</v>
      </c>
      <c r="V20" s="31" t="s">
        <v>95</v>
      </c>
      <c r="W20" s="31" t="s">
        <v>73</v>
      </c>
      <c r="X20" s="31" t="s">
        <v>347</v>
      </c>
      <c r="Y20" s="31" t="s">
        <v>75</v>
      </c>
      <c r="Z20" s="32">
        <v>44959</v>
      </c>
      <c r="AA20" s="32">
        <v>44959</v>
      </c>
      <c r="AB20" s="31" t="s">
        <v>76</v>
      </c>
      <c r="AC20" s="31" t="s">
        <v>348</v>
      </c>
      <c r="AD20" s="31"/>
      <c r="AE20" s="31" t="s">
        <v>349</v>
      </c>
      <c r="AF20" s="31"/>
      <c r="AG20" s="31" t="s">
        <v>350</v>
      </c>
      <c r="AH20" s="31"/>
      <c r="AI20" s="31"/>
      <c r="AJ20" s="33">
        <f t="shared" si="0"/>
        <v>0</v>
      </c>
      <c r="AK20" s="34"/>
      <c r="AL20" s="33">
        <f t="shared" si="1"/>
        <v>0</v>
      </c>
      <c r="AM20" s="34"/>
      <c r="AN20" s="34"/>
      <c r="AO20" s="34">
        <v>107400000</v>
      </c>
      <c r="AP20" s="31" t="s">
        <v>351</v>
      </c>
      <c r="AQ20" s="31" t="s">
        <v>144</v>
      </c>
      <c r="AR20" s="31"/>
      <c r="AS20" s="31"/>
      <c r="AT20" s="31" t="s">
        <v>352</v>
      </c>
      <c r="AU20" s="31">
        <v>2011</v>
      </c>
      <c r="AV20" s="33"/>
      <c r="AW20" s="34"/>
      <c r="AX20" s="33"/>
      <c r="AY20" s="34"/>
      <c r="AZ20" s="34"/>
      <c r="BA20" s="34">
        <f t="shared" si="2"/>
        <v>0</v>
      </c>
      <c r="BB20" s="31" t="s">
        <v>353</v>
      </c>
      <c r="BC20" s="31" t="s">
        <v>354</v>
      </c>
      <c r="BD20" s="31" t="s">
        <v>355</v>
      </c>
      <c r="BE20" s="31" t="s">
        <v>144</v>
      </c>
      <c r="BF20" s="31"/>
      <c r="BG20" s="31"/>
      <c r="BH20" s="31" t="s">
        <v>356</v>
      </c>
      <c r="BI20" s="31">
        <v>2011</v>
      </c>
      <c r="BJ20" s="35"/>
      <c r="BK20" s="34"/>
      <c r="BL20" s="35"/>
      <c r="BM20" s="34"/>
      <c r="BN20" s="34">
        <v>150000000</v>
      </c>
      <c r="BO20" s="34">
        <f t="shared" si="3"/>
        <v>0</v>
      </c>
      <c r="BP20" s="31" t="s">
        <v>357</v>
      </c>
      <c r="BQ20" s="31" t="s">
        <v>82</v>
      </c>
      <c r="BR20" s="31" t="s">
        <v>358</v>
      </c>
      <c r="BS20" s="31" t="s">
        <v>144</v>
      </c>
      <c r="BT20" s="31"/>
      <c r="BU20" s="31"/>
      <c r="BV20" s="31" t="s">
        <v>352</v>
      </c>
      <c r="BW20" s="31">
        <v>2010</v>
      </c>
      <c r="BX20" s="35"/>
      <c r="BY20" s="34"/>
      <c r="BZ20" s="35"/>
      <c r="CA20" s="34"/>
      <c r="CB20" s="34">
        <v>119000000</v>
      </c>
      <c r="CC20" s="34">
        <f t="shared" si="4"/>
        <v>0</v>
      </c>
      <c r="CD20" s="31" t="s">
        <v>359</v>
      </c>
      <c r="CE20" s="31" t="s">
        <v>82</v>
      </c>
      <c r="CF20" s="31" t="s">
        <v>102</v>
      </c>
      <c r="CG20" s="31"/>
      <c r="CH20" s="31"/>
    </row>
    <row r="21" spans="1:86" ht="105" x14ac:dyDescent="0.25">
      <c r="A21" s="30">
        <v>17</v>
      </c>
      <c r="B21" s="31" t="s">
        <v>339</v>
      </c>
      <c r="C21" s="31" t="s">
        <v>340</v>
      </c>
      <c r="D21" s="32">
        <v>44965</v>
      </c>
      <c r="E21" s="31" t="s">
        <v>162</v>
      </c>
      <c r="F21" s="31" t="s">
        <v>162</v>
      </c>
      <c r="G21" s="31"/>
      <c r="H21" s="31" t="s">
        <v>144</v>
      </c>
      <c r="I21" s="33"/>
      <c r="J21" s="31"/>
      <c r="K21" s="33"/>
      <c r="L21" s="33"/>
      <c r="M21" s="31" t="s">
        <v>360</v>
      </c>
      <c r="N21" s="31"/>
      <c r="O21" s="31">
        <v>1</v>
      </c>
      <c r="P21" s="31" t="s">
        <v>164</v>
      </c>
      <c r="Q21" s="31" t="s">
        <v>342</v>
      </c>
      <c r="R21" s="31" t="s">
        <v>343</v>
      </c>
      <c r="S21" s="31" t="s">
        <v>344</v>
      </c>
      <c r="T21" s="31" t="s">
        <v>345</v>
      </c>
      <c r="U21" s="31" t="s">
        <v>346</v>
      </c>
      <c r="V21" s="31" t="s">
        <v>95</v>
      </c>
      <c r="W21" s="31" t="s">
        <v>73</v>
      </c>
      <c r="X21" s="31" t="s">
        <v>347</v>
      </c>
      <c r="Y21" s="31" t="s">
        <v>75</v>
      </c>
      <c r="Z21" s="32">
        <v>44959</v>
      </c>
      <c r="AA21" s="32">
        <v>44959</v>
      </c>
      <c r="AB21" s="31" t="s">
        <v>76</v>
      </c>
      <c r="AC21" s="31" t="s">
        <v>361</v>
      </c>
      <c r="AD21" s="31"/>
      <c r="AE21" s="31" t="s">
        <v>362</v>
      </c>
      <c r="AF21" s="31"/>
      <c r="AG21" s="31" t="s">
        <v>363</v>
      </c>
      <c r="AH21" s="31"/>
      <c r="AI21" s="31"/>
      <c r="AJ21" s="33">
        <f t="shared" si="0"/>
        <v>0</v>
      </c>
      <c r="AK21" s="34"/>
      <c r="AL21" s="33">
        <f t="shared" si="1"/>
        <v>0</v>
      </c>
      <c r="AM21" s="34"/>
      <c r="AN21" s="34"/>
      <c r="AO21" s="34">
        <v>100100000</v>
      </c>
      <c r="AP21" s="31" t="s">
        <v>364</v>
      </c>
      <c r="AQ21" s="31" t="s">
        <v>144</v>
      </c>
      <c r="AR21" s="31"/>
      <c r="AS21" s="31"/>
      <c r="AT21" s="31" t="s">
        <v>365</v>
      </c>
      <c r="AU21" s="31">
        <v>2008</v>
      </c>
      <c r="AV21" s="33"/>
      <c r="AW21" s="34"/>
      <c r="AX21" s="33"/>
      <c r="AY21" s="34"/>
      <c r="AZ21" s="34">
        <v>135000000</v>
      </c>
      <c r="BA21" s="34">
        <f t="shared" si="2"/>
        <v>0</v>
      </c>
      <c r="BB21" s="31" t="s">
        <v>366</v>
      </c>
      <c r="BC21" s="31" t="s">
        <v>82</v>
      </c>
      <c r="BD21" s="31" t="s">
        <v>367</v>
      </c>
      <c r="BE21" s="31" t="s">
        <v>144</v>
      </c>
      <c r="BF21" s="31"/>
      <c r="BG21" s="31"/>
      <c r="BH21" s="31" t="s">
        <v>365</v>
      </c>
      <c r="BI21" s="31">
        <v>2008</v>
      </c>
      <c r="BJ21" s="35"/>
      <c r="BK21" s="34"/>
      <c r="BL21" s="35"/>
      <c r="BM21" s="34"/>
      <c r="BN21" s="34">
        <v>145000000</v>
      </c>
      <c r="BO21" s="34">
        <f t="shared" si="3"/>
        <v>0</v>
      </c>
      <c r="BP21" s="31" t="s">
        <v>368</v>
      </c>
      <c r="BQ21" s="31" t="s">
        <v>82</v>
      </c>
      <c r="BR21" s="31" t="s">
        <v>369</v>
      </c>
      <c r="BS21" s="31" t="s">
        <v>144</v>
      </c>
      <c r="BT21" s="31"/>
      <c r="BU21" s="31"/>
      <c r="BV21" s="31" t="s">
        <v>365</v>
      </c>
      <c r="BW21" s="31">
        <v>2008</v>
      </c>
      <c r="BX21" s="35"/>
      <c r="BY21" s="34"/>
      <c r="BZ21" s="35"/>
      <c r="CA21" s="34"/>
      <c r="CB21" s="34">
        <v>135000000</v>
      </c>
      <c r="CC21" s="34">
        <f t="shared" si="4"/>
        <v>0</v>
      </c>
      <c r="CD21" s="31" t="s">
        <v>370</v>
      </c>
      <c r="CE21" s="31" t="s">
        <v>82</v>
      </c>
      <c r="CF21" s="31" t="s">
        <v>102</v>
      </c>
      <c r="CG21" s="31"/>
      <c r="CH21" s="31"/>
    </row>
    <row r="22" spans="1:86" ht="120" x14ac:dyDescent="0.25">
      <c r="A22" s="30">
        <v>18</v>
      </c>
      <c r="B22" s="31" t="s">
        <v>371</v>
      </c>
      <c r="C22" s="31" t="s">
        <v>372</v>
      </c>
      <c r="D22" s="32">
        <v>44968</v>
      </c>
      <c r="E22" s="31" t="s">
        <v>373</v>
      </c>
      <c r="F22" s="31" t="s">
        <v>97</v>
      </c>
      <c r="G22" s="31"/>
      <c r="H22" s="31" t="s">
        <v>84</v>
      </c>
      <c r="I22" s="33">
        <v>410</v>
      </c>
      <c r="J22" s="31" t="s">
        <v>70</v>
      </c>
      <c r="K22" s="33">
        <v>520</v>
      </c>
      <c r="L22" s="33"/>
      <c r="M22" s="31"/>
      <c r="N22" s="31"/>
      <c r="O22" s="31"/>
      <c r="P22" s="31"/>
      <c r="Q22" s="31"/>
      <c r="R22" s="31" t="s">
        <v>374</v>
      </c>
      <c r="S22" s="31" t="s">
        <v>375</v>
      </c>
      <c r="T22" s="31" t="s">
        <v>376</v>
      </c>
      <c r="U22" s="31" t="s">
        <v>122</v>
      </c>
      <c r="V22" s="31" t="s">
        <v>85</v>
      </c>
      <c r="W22" s="31" t="s">
        <v>73</v>
      </c>
      <c r="X22" s="31" t="s">
        <v>86</v>
      </c>
      <c r="Y22" s="31" t="s">
        <v>75</v>
      </c>
      <c r="Z22" s="32">
        <v>44946</v>
      </c>
      <c r="AA22" s="32">
        <v>44946</v>
      </c>
      <c r="AB22" s="31" t="s">
        <v>91</v>
      </c>
      <c r="AC22" s="31"/>
      <c r="AD22" s="31"/>
      <c r="AE22" s="31"/>
      <c r="AF22" s="31"/>
      <c r="AG22" s="31"/>
      <c r="AH22" s="31"/>
      <c r="AI22" s="31"/>
      <c r="AJ22" s="33">
        <f t="shared" si="0"/>
        <v>410</v>
      </c>
      <c r="AK22" s="34">
        <v>60000000</v>
      </c>
      <c r="AL22" s="33">
        <f t="shared" si="1"/>
        <v>520</v>
      </c>
      <c r="AM22" s="34"/>
      <c r="AN22" s="34"/>
      <c r="AO22" s="34">
        <v>26875000000</v>
      </c>
      <c r="AP22" s="31" t="s">
        <v>377</v>
      </c>
      <c r="AQ22" s="31" t="s">
        <v>84</v>
      </c>
      <c r="AR22" s="31"/>
      <c r="AS22" s="31"/>
      <c r="AT22" s="31"/>
      <c r="AU22" s="31"/>
      <c r="AV22" s="33">
        <v>823</v>
      </c>
      <c r="AW22" s="34">
        <v>59538275</v>
      </c>
      <c r="AX22" s="33"/>
      <c r="AY22" s="34"/>
      <c r="AZ22" s="34">
        <v>55000000000</v>
      </c>
      <c r="BA22" s="34">
        <f t="shared" si="2"/>
        <v>49000000325</v>
      </c>
      <c r="BB22" s="31" t="s">
        <v>378</v>
      </c>
      <c r="BC22" s="31" t="s">
        <v>82</v>
      </c>
      <c r="BD22" s="31" t="s">
        <v>379</v>
      </c>
      <c r="BE22" s="31" t="s">
        <v>84</v>
      </c>
      <c r="BF22" s="31"/>
      <c r="BG22" s="31"/>
      <c r="BH22" s="31"/>
      <c r="BI22" s="31"/>
      <c r="BJ22" s="35">
        <v>518</v>
      </c>
      <c r="BK22" s="34">
        <v>60810811</v>
      </c>
      <c r="BL22" s="35"/>
      <c r="BM22" s="34"/>
      <c r="BN22" s="34">
        <v>36000000000</v>
      </c>
      <c r="BO22" s="34">
        <f t="shared" si="3"/>
        <v>31500000098</v>
      </c>
      <c r="BP22" s="31" t="s">
        <v>380</v>
      </c>
      <c r="BQ22" s="31" t="s">
        <v>82</v>
      </c>
      <c r="BR22" s="31" t="s">
        <v>381</v>
      </c>
      <c r="BS22" s="31" t="s">
        <v>84</v>
      </c>
      <c r="BT22" s="31"/>
      <c r="BU22" s="31"/>
      <c r="BV22" s="31"/>
      <c r="BW22" s="31"/>
      <c r="BX22" s="35">
        <v>344</v>
      </c>
      <c r="BY22" s="34">
        <v>60078744</v>
      </c>
      <c r="BZ22" s="35">
        <v>280</v>
      </c>
      <c r="CA22" s="34"/>
      <c r="CB22" s="34">
        <v>24500000000</v>
      </c>
      <c r="CC22" s="34">
        <f t="shared" si="4"/>
        <v>20667087936</v>
      </c>
      <c r="CD22" s="31" t="s">
        <v>382</v>
      </c>
      <c r="CE22" s="31" t="s">
        <v>82</v>
      </c>
      <c r="CF22" s="31" t="s">
        <v>383</v>
      </c>
      <c r="CG22" s="31"/>
      <c r="CH22" s="31"/>
    </row>
    <row r="23" spans="1:86" ht="135" x14ac:dyDescent="0.25">
      <c r="A23" s="30">
        <v>19</v>
      </c>
      <c r="B23" s="31" t="s">
        <v>371</v>
      </c>
      <c r="C23" s="31" t="s">
        <v>372</v>
      </c>
      <c r="D23" s="32">
        <v>44968</v>
      </c>
      <c r="E23" s="31" t="s">
        <v>373</v>
      </c>
      <c r="F23" s="31" t="s">
        <v>97</v>
      </c>
      <c r="G23" s="31"/>
      <c r="H23" s="31" t="s">
        <v>101</v>
      </c>
      <c r="I23" s="33">
        <v>1993</v>
      </c>
      <c r="J23" s="31" t="s">
        <v>70</v>
      </c>
      <c r="K23" s="33">
        <v>966</v>
      </c>
      <c r="L23" s="33"/>
      <c r="M23" s="31"/>
      <c r="N23" s="31"/>
      <c r="O23" s="31"/>
      <c r="P23" s="31"/>
      <c r="Q23" s="31"/>
      <c r="R23" s="31" t="s">
        <v>384</v>
      </c>
      <c r="S23" s="31" t="s">
        <v>385</v>
      </c>
      <c r="T23" s="31" t="s">
        <v>386</v>
      </c>
      <c r="U23" s="31" t="s">
        <v>387</v>
      </c>
      <c r="V23" s="31" t="s">
        <v>85</v>
      </c>
      <c r="W23" s="31" t="s">
        <v>73</v>
      </c>
      <c r="X23" s="31" t="s">
        <v>86</v>
      </c>
      <c r="Y23" s="31" t="s">
        <v>75</v>
      </c>
      <c r="Z23" s="32">
        <v>44946</v>
      </c>
      <c r="AA23" s="32">
        <v>44946</v>
      </c>
      <c r="AB23" s="31" t="s">
        <v>91</v>
      </c>
      <c r="AC23" s="31"/>
      <c r="AD23" s="31"/>
      <c r="AE23" s="31"/>
      <c r="AF23" s="31"/>
      <c r="AG23" s="31"/>
      <c r="AH23" s="31"/>
      <c r="AI23" s="31"/>
      <c r="AJ23" s="33">
        <f t="shared" si="0"/>
        <v>1993</v>
      </c>
      <c r="AK23" s="34">
        <v>6500000</v>
      </c>
      <c r="AL23" s="33">
        <f t="shared" si="1"/>
        <v>966</v>
      </c>
      <c r="AM23" s="34"/>
      <c r="AN23" s="34"/>
      <c r="AO23" s="34">
        <v>14967000000</v>
      </c>
      <c r="AP23" s="31" t="s">
        <v>388</v>
      </c>
      <c r="AQ23" s="31" t="s">
        <v>87</v>
      </c>
      <c r="AR23" s="31"/>
      <c r="AS23" s="31"/>
      <c r="AT23" s="31"/>
      <c r="AU23" s="31"/>
      <c r="AV23" s="33">
        <v>1080</v>
      </c>
      <c r="AW23" s="34">
        <v>6791088</v>
      </c>
      <c r="AX23" s="33">
        <v>900</v>
      </c>
      <c r="AY23" s="34"/>
      <c r="AZ23" s="34">
        <v>10000000000</v>
      </c>
      <c r="BA23" s="34">
        <f t="shared" si="2"/>
        <v>7334375040</v>
      </c>
      <c r="BB23" s="31" t="s">
        <v>389</v>
      </c>
      <c r="BC23" s="31" t="s">
        <v>82</v>
      </c>
      <c r="BD23" s="31" t="s">
        <v>390</v>
      </c>
      <c r="BE23" s="31" t="s">
        <v>101</v>
      </c>
      <c r="BF23" s="31"/>
      <c r="BG23" s="31"/>
      <c r="BH23" s="31"/>
      <c r="BI23" s="31"/>
      <c r="BJ23" s="35">
        <v>764</v>
      </c>
      <c r="BK23" s="34">
        <v>6830869</v>
      </c>
      <c r="BL23" s="35">
        <v>910</v>
      </c>
      <c r="BM23" s="34"/>
      <c r="BN23" s="34">
        <v>7500000000</v>
      </c>
      <c r="BO23" s="34">
        <f t="shared" si="3"/>
        <v>5218783916</v>
      </c>
      <c r="BP23" s="31" t="s">
        <v>391</v>
      </c>
      <c r="BQ23" s="31" t="s">
        <v>82</v>
      </c>
      <c r="BR23" s="31" t="s">
        <v>388</v>
      </c>
      <c r="BS23" s="31" t="s">
        <v>78</v>
      </c>
      <c r="BT23" s="31"/>
      <c r="BU23" s="31"/>
      <c r="BV23" s="31"/>
      <c r="BW23" s="31"/>
      <c r="BX23" s="35">
        <v>1600</v>
      </c>
      <c r="BY23" s="34">
        <v>6500000</v>
      </c>
      <c r="BZ23" s="35"/>
      <c r="CA23" s="34"/>
      <c r="CB23" s="34">
        <v>13000000000</v>
      </c>
      <c r="CC23" s="34">
        <f t="shared" si="4"/>
        <v>10400000000</v>
      </c>
      <c r="CD23" s="31" t="s">
        <v>112</v>
      </c>
      <c r="CE23" s="31" t="s">
        <v>82</v>
      </c>
      <c r="CF23" s="31" t="s">
        <v>383</v>
      </c>
      <c r="CG23" s="31"/>
      <c r="CH23" s="31"/>
    </row>
    <row r="24" spans="1:86" ht="165" x14ac:dyDescent="0.25">
      <c r="A24" s="30">
        <v>20</v>
      </c>
      <c r="B24" s="31" t="s">
        <v>392</v>
      </c>
      <c r="C24" s="31" t="s">
        <v>393</v>
      </c>
      <c r="D24" s="32">
        <v>44974</v>
      </c>
      <c r="E24" s="31" t="s">
        <v>97</v>
      </c>
      <c r="F24" s="31" t="s">
        <v>97</v>
      </c>
      <c r="G24" s="31"/>
      <c r="H24" s="31" t="s">
        <v>292</v>
      </c>
      <c r="I24" s="33">
        <v>1884</v>
      </c>
      <c r="J24" s="31" t="s">
        <v>70</v>
      </c>
      <c r="K24" s="33">
        <v>1939</v>
      </c>
      <c r="L24" s="33"/>
      <c r="M24" s="31"/>
      <c r="N24" s="31"/>
      <c r="O24" s="31"/>
      <c r="P24" s="31"/>
      <c r="Q24" s="31" t="s">
        <v>304</v>
      </c>
      <c r="R24" s="31" t="s">
        <v>394</v>
      </c>
      <c r="S24" s="31" t="s">
        <v>395</v>
      </c>
      <c r="T24" s="31" t="s">
        <v>307</v>
      </c>
      <c r="U24" s="31" t="s">
        <v>114</v>
      </c>
      <c r="V24" s="31" t="s">
        <v>396</v>
      </c>
      <c r="W24" s="31" t="s">
        <v>73</v>
      </c>
      <c r="X24" s="31" t="s">
        <v>86</v>
      </c>
      <c r="Y24" s="31" t="s">
        <v>75</v>
      </c>
      <c r="Z24" s="32">
        <v>44958</v>
      </c>
      <c r="AA24" s="32">
        <v>44958</v>
      </c>
      <c r="AB24" s="31" t="s">
        <v>91</v>
      </c>
      <c r="AC24" s="31"/>
      <c r="AD24" s="31"/>
      <c r="AE24" s="31"/>
      <c r="AF24" s="31"/>
      <c r="AG24" s="31"/>
      <c r="AH24" s="31"/>
      <c r="AI24" s="31"/>
      <c r="AJ24" s="33">
        <f t="shared" si="0"/>
        <v>1884</v>
      </c>
      <c r="AK24" s="34">
        <v>4500000</v>
      </c>
      <c r="AL24" s="33">
        <f t="shared" si="1"/>
        <v>1939</v>
      </c>
      <c r="AM24" s="34"/>
      <c r="AN24" s="34"/>
      <c r="AO24" s="34">
        <v>11773000000</v>
      </c>
      <c r="AP24" s="31" t="s">
        <v>397</v>
      </c>
      <c r="AQ24" s="31" t="s">
        <v>292</v>
      </c>
      <c r="AR24" s="31"/>
      <c r="AS24" s="31"/>
      <c r="AT24" s="31"/>
      <c r="AU24" s="31"/>
      <c r="AV24" s="33">
        <v>1300</v>
      </c>
      <c r="AW24" s="34">
        <v>4924922</v>
      </c>
      <c r="AX24" s="33">
        <v>599</v>
      </c>
      <c r="AY24" s="34"/>
      <c r="AZ24" s="34">
        <v>9000000000</v>
      </c>
      <c r="BA24" s="34">
        <f t="shared" si="2"/>
        <v>6402398600</v>
      </c>
      <c r="BB24" s="31" t="s">
        <v>398</v>
      </c>
      <c r="BC24" s="31" t="s">
        <v>82</v>
      </c>
      <c r="BD24" s="31" t="s">
        <v>399</v>
      </c>
      <c r="BE24" s="31" t="s">
        <v>292</v>
      </c>
      <c r="BF24" s="31"/>
      <c r="BG24" s="31"/>
      <c r="BH24" s="31"/>
      <c r="BI24" s="31"/>
      <c r="BJ24" s="35">
        <v>1900</v>
      </c>
      <c r="BK24" s="34">
        <v>4607079</v>
      </c>
      <c r="BL24" s="35">
        <v>2300</v>
      </c>
      <c r="BM24" s="34"/>
      <c r="BN24" s="34">
        <v>15000000000</v>
      </c>
      <c r="BO24" s="34">
        <f t="shared" si="3"/>
        <v>8753450100</v>
      </c>
      <c r="BP24" s="31" t="s">
        <v>96</v>
      </c>
      <c r="BQ24" s="31" t="s">
        <v>82</v>
      </c>
      <c r="BR24" s="64" t="s">
        <v>400</v>
      </c>
      <c r="BS24" s="31" t="s">
        <v>292</v>
      </c>
      <c r="BT24" s="31"/>
      <c r="BU24" s="31"/>
      <c r="BV24" s="31"/>
      <c r="BW24" s="31"/>
      <c r="BX24" s="35">
        <v>3800</v>
      </c>
      <c r="BY24" s="34">
        <v>3883355</v>
      </c>
      <c r="BZ24" s="35">
        <v>4500</v>
      </c>
      <c r="CA24" s="34"/>
      <c r="CB24" s="34">
        <v>25000000000</v>
      </c>
      <c r="CC24" s="34">
        <f t="shared" si="4"/>
        <v>14756749000</v>
      </c>
      <c r="CD24" s="31" t="s">
        <v>401</v>
      </c>
      <c r="CE24" s="31" t="s">
        <v>82</v>
      </c>
      <c r="CF24" s="31" t="s">
        <v>402</v>
      </c>
      <c r="CG24" s="31"/>
      <c r="CH24" s="31"/>
    </row>
    <row r="25" spans="1:86" ht="210" x14ac:dyDescent="0.25">
      <c r="A25" s="30">
        <v>21.1</v>
      </c>
      <c r="B25" s="31" t="s">
        <v>403</v>
      </c>
      <c r="C25" s="31" t="s">
        <v>404</v>
      </c>
      <c r="D25" s="32">
        <v>44987</v>
      </c>
      <c r="E25" s="31" t="s">
        <v>405</v>
      </c>
      <c r="F25" s="31" t="s">
        <v>405</v>
      </c>
      <c r="G25" s="31"/>
      <c r="H25" s="31" t="s">
        <v>132</v>
      </c>
      <c r="I25" s="33">
        <v>116</v>
      </c>
      <c r="J25" s="31" t="s">
        <v>70</v>
      </c>
      <c r="K25" s="33"/>
      <c r="L25" s="33"/>
      <c r="M25" s="31" t="s">
        <v>105</v>
      </c>
      <c r="N25" s="31"/>
      <c r="O25" s="31"/>
      <c r="P25" s="31"/>
      <c r="Q25" s="31" t="s">
        <v>406</v>
      </c>
      <c r="R25" s="31" t="s">
        <v>407</v>
      </c>
      <c r="S25" s="31" t="s">
        <v>408</v>
      </c>
      <c r="T25" s="31" t="s">
        <v>123</v>
      </c>
      <c r="U25" s="31" t="s">
        <v>108</v>
      </c>
      <c r="V25" s="31" t="s">
        <v>85</v>
      </c>
      <c r="W25" s="31" t="s">
        <v>73</v>
      </c>
      <c r="X25" s="31" t="s">
        <v>409</v>
      </c>
      <c r="Y25" s="31" t="s">
        <v>409</v>
      </c>
      <c r="Z25" s="32">
        <v>44980</v>
      </c>
      <c r="AA25" s="32">
        <v>44926</v>
      </c>
      <c r="AB25" s="31" t="s">
        <v>91</v>
      </c>
      <c r="AC25" s="31"/>
      <c r="AD25" s="31"/>
      <c r="AE25" s="31"/>
      <c r="AF25" s="31"/>
      <c r="AG25" s="31"/>
      <c r="AH25" s="31"/>
      <c r="AI25" s="31"/>
      <c r="AJ25" s="33">
        <f t="shared" si="0"/>
        <v>116</v>
      </c>
      <c r="AK25" s="37"/>
      <c r="AL25" s="33">
        <f t="shared" si="1"/>
        <v>0</v>
      </c>
      <c r="AM25" s="34">
        <v>2115000</v>
      </c>
      <c r="AN25" s="34"/>
      <c r="AO25" s="34">
        <v>245000000</v>
      </c>
      <c r="AP25" s="31" t="s">
        <v>410</v>
      </c>
      <c r="AQ25" s="31" t="s">
        <v>132</v>
      </c>
      <c r="AR25" s="31"/>
      <c r="AS25" s="31"/>
      <c r="AT25" s="31"/>
      <c r="AU25" s="31"/>
      <c r="AV25" s="33">
        <v>186</v>
      </c>
      <c r="AW25" s="34">
        <v>1935484</v>
      </c>
      <c r="AX25" s="33"/>
      <c r="AY25" s="34"/>
      <c r="AZ25" s="34">
        <v>380040000</v>
      </c>
      <c r="BA25" s="34">
        <f t="shared" si="2"/>
        <v>360000024</v>
      </c>
      <c r="BB25" s="31" t="s">
        <v>411</v>
      </c>
      <c r="BC25" s="31" t="s">
        <v>82</v>
      </c>
      <c r="BD25" s="31" t="s">
        <v>412</v>
      </c>
      <c r="BE25" s="31" t="s">
        <v>132</v>
      </c>
      <c r="BF25" s="31"/>
      <c r="BG25" s="31"/>
      <c r="BH25" s="31"/>
      <c r="BI25" s="31"/>
      <c r="BJ25" s="35"/>
      <c r="BK25" s="34"/>
      <c r="BL25" s="35">
        <v>200</v>
      </c>
      <c r="BM25" s="34"/>
      <c r="BN25" s="34">
        <v>432000000</v>
      </c>
      <c r="BO25" s="34">
        <f t="shared" si="3"/>
        <v>0</v>
      </c>
      <c r="BP25" s="31" t="s">
        <v>413</v>
      </c>
      <c r="BQ25" s="31" t="s">
        <v>82</v>
      </c>
      <c r="BR25" s="31" t="s">
        <v>414</v>
      </c>
      <c r="BS25" s="31" t="s">
        <v>132</v>
      </c>
      <c r="BT25" s="31"/>
      <c r="BU25" s="31"/>
      <c r="BV25" s="31"/>
      <c r="BW25" s="31"/>
      <c r="BX25" s="35"/>
      <c r="BY25" s="34"/>
      <c r="BZ25" s="35">
        <v>170</v>
      </c>
      <c r="CA25" s="34"/>
      <c r="CB25" s="34">
        <v>469200000</v>
      </c>
      <c r="CC25" s="34">
        <f t="shared" si="4"/>
        <v>0</v>
      </c>
      <c r="CD25" s="31" t="s">
        <v>415</v>
      </c>
      <c r="CE25" s="31" t="s">
        <v>82</v>
      </c>
      <c r="CF25" s="31" t="s">
        <v>416</v>
      </c>
      <c r="CG25" s="31"/>
      <c r="CH25" s="31"/>
    </row>
    <row r="26" spans="1:86" ht="150" x14ac:dyDescent="0.25">
      <c r="A26" s="30">
        <v>21.2</v>
      </c>
      <c r="B26" s="31" t="s">
        <v>403</v>
      </c>
      <c r="C26" s="31" t="s">
        <v>404</v>
      </c>
      <c r="D26" s="32">
        <v>44987</v>
      </c>
      <c r="E26" s="31" t="s">
        <v>405</v>
      </c>
      <c r="F26" s="31" t="s">
        <v>405</v>
      </c>
      <c r="G26" s="31"/>
      <c r="H26" s="31" t="s">
        <v>105</v>
      </c>
      <c r="I26" s="33">
        <v>8244</v>
      </c>
      <c r="J26" s="31" t="s">
        <v>70</v>
      </c>
      <c r="K26" s="33">
        <v>5289</v>
      </c>
      <c r="L26" s="33"/>
      <c r="M26" s="31"/>
      <c r="N26" s="31"/>
      <c r="O26" s="31"/>
      <c r="P26" s="31"/>
      <c r="Q26" s="31"/>
      <c r="R26" s="31" t="s">
        <v>417</v>
      </c>
      <c r="S26" s="31" t="s">
        <v>418</v>
      </c>
      <c r="T26" s="31" t="s">
        <v>419</v>
      </c>
      <c r="U26" s="31" t="s">
        <v>420</v>
      </c>
      <c r="V26" s="31" t="s">
        <v>421</v>
      </c>
      <c r="W26" s="31" t="s">
        <v>73</v>
      </c>
      <c r="X26" s="31" t="s">
        <v>409</v>
      </c>
      <c r="Y26" s="31" t="s">
        <v>422</v>
      </c>
      <c r="Z26" s="36">
        <v>44979</v>
      </c>
      <c r="AA26" s="32">
        <v>44926</v>
      </c>
      <c r="AB26" s="31" t="s">
        <v>91</v>
      </c>
      <c r="AC26" s="31"/>
      <c r="AD26" s="31"/>
      <c r="AE26" s="31"/>
      <c r="AF26" s="31"/>
      <c r="AG26" s="31"/>
      <c r="AH26" s="31"/>
      <c r="AI26" s="31"/>
      <c r="AJ26" s="33">
        <f t="shared" si="0"/>
        <v>8244</v>
      </c>
      <c r="AK26" s="34">
        <v>24406</v>
      </c>
      <c r="AL26" s="33">
        <f t="shared" si="1"/>
        <v>5289</v>
      </c>
      <c r="AM26" s="34"/>
      <c r="AN26" s="34"/>
      <c r="AO26" s="34">
        <v>1290516000</v>
      </c>
      <c r="AP26" s="31" t="s">
        <v>423</v>
      </c>
      <c r="AQ26" s="31" t="s">
        <v>105</v>
      </c>
      <c r="AR26" s="31"/>
      <c r="AS26" s="31"/>
      <c r="AT26" s="31"/>
      <c r="AU26" s="31"/>
      <c r="AV26" s="33">
        <v>3000</v>
      </c>
      <c r="AW26" s="34">
        <v>221429</v>
      </c>
      <c r="AX26" s="33">
        <v>1400</v>
      </c>
      <c r="AY26" s="34"/>
      <c r="AZ26" s="34">
        <v>350000000</v>
      </c>
      <c r="BA26" s="34">
        <f t="shared" si="2"/>
        <v>664287000</v>
      </c>
      <c r="BB26" s="31" t="s">
        <v>424</v>
      </c>
      <c r="BC26" s="31" t="s">
        <v>82</v>
      </c>
      <c r="BD26" s="31" t="s">
        <v>425</v>
      </c>
      <c r="BE26" s="31" t="s">
        <v>105</v>
      </c>
      <c r="BF26" s="31"/>
      <c r="BG26" s="31"/>
      <c r="BH26" s="31"/>
      <c r="BI26" s="31"/>
      <c r="BJ26" s="35">
        <v>552</v>
      </c>
      <c r="BK26" s="34">
        <v>334646</v>
      </c>
      <c r="BL26" s="35">
        <v>508</v>
      </c>
      <c r="BM26" s="34"/>
      <c r="BN26" s="34">
        <v>200000000</v>
      </c>
      <c r="BO26" s="34">
        <f t="shared" si="3"/>
        <v>184724592</v>
      </c>
      <c r="BP26" s="31" t="s">
        <v>426</v>
      </c>
      <c r="BQ26" s="31" t="s">
        <v>82</v>
      </c>
      <c r="BR26" s="31" t="s">
        <v>427</v>
      </c>
      <c r="BS26" s="31" t="s">
        <v>105</v>
      </c>
      <c r="BT26" s="31"/>
      <c r="BU26" s="31"/>
      <c r="BV26" s="31"/>
      <c r="BW26" s="31"/>
      <c r="BX26" s="35">
        <v>1800</v>
      </c>
      <c r="BY26" s="34">
        <v>275</v>
      </c>
      <c r="BZ26" s="35">
        <v>600</v>
      </c>
      <c r="CA26" s="34"/>
      <c r="CB26" s="34">
        <v>200000000</v>
      </c>
      <c r="CC26" s="34">
        <f t="shared" si="4"/>
        <v>495000</v>
      </c>
      <c r="CD26" s="31" t="s">
        <v>428</v>
      </c>
      <c r="CE26" s="31" t="s">
        <v>429</v>
      </c>
      <c r="CF26" s="31" t="s">
        <v>430</v>
      </c>
      <c r="CG26" s="31"/>
      <c r="CH26" s="31"/>
    </row>
    <row r="27" spans="1:86" ht="300" x14ac:dyDescent="0.25">
      <c r="A27" s="30">
        <v>21.3</v>
      </c>
      <c r="B27" s="45" t="s">
        <v>431</v>
      </c>
      <c r="C27" s="45" t="s">
        <v>432</v>
      </c>
      <c r="D27" s="47">
        <v>44991</v>
      </c>
      <c r="E27" s="45" t="s">
        <v>433</v>
      </c>
      <c r="F27" s="45" t="s">
        <v>434</v>
      </c>
      <c r="G27" s="45"/>
      <c r="H27" s="45" t="s">
        <v>144</v>
      </c>
      <c r="I27" s="46"/>
      <c r="J27" s="45"/>
      <c r="K27" s="46"/>
      <c r="L27" s="46"/>
      <c r="M27" s="45" t="s">
        <v>435</v>
      </c>
      <c r="N27" s="45"/>
      <c r="O27" s="45" t="s">
        <v>143</v>
      </c>
      <c r="P27" s="45" t="s">
        <v>145</v>
      </c>
      <c r="Q27" s="45" t="s">
        <v>436</v>
      </c>
      <c r="R27" s="45" t="s">
        <v>437</v>
      </c>
      <c r="S27" s="45" t="s">
        <v>438</v>
      </c>
      <c r="T27" s="45" t="s">
        <v>439</v>
      </c>
      <c r="U27" s="45" t="s">
        <v>141</v>
      </c>
      <c r="V27" s="45" t="s">
        <v>95</v>
      </c>
      <c r="W27" s="45" t="s">
        <v>73</v>
      </c>
      <c r="X27" s="45" t="s">
        <v>440</v>
      </c>
      <c r="Y27" s="45" t="s">
        <v>75</v>
      </c>
      <c r="Z27" s="47">
        <v>44978</v>
      </c>
      <c r="AA27" s="47">
        <v>44978</v>
      </c>
      <c r="AB27" s="45" t="s">
        <v>91</v>
      </c>
      <c r="AC27" s="45" t="s">
        <v>441</v>
      </c>
      <c r="AD27" s="45"/>
      <c r="AE27" s="45" t="s">
        <v>442</v>
      </c>
      <c r="AF27" s="45"/>
      <c r="AG27" s="45" t="s">
        <v>443</v>
      </c>
      <c r="AH27" s="45"/>
      <c r="AI27" s="45"/>
      <c r="AJ27" s="33">
        <f t="shared" si="0"/>
        <v>0</v>
      </c>
      <c r="AK27" s="48"/>
      <c r="AL27" s="33">
        <f t="shared" si="1"/>
        <v>0</v>
      </c>
      <c r="AM27" s="48"/>
      <c r="AN27" s="48"/>
      <c r="AO27" s="48">
        <v>110100000</v>
      </c>
      <c r="AP27" s="45" t="s">
        <v>444</v>
      </c>
      <c r="AQ27" s="45" t="s">
        <v>144</v>
      </c>
      <c r="AR27" s="45"/>
      <c r="AS27" s="45"/>
      <c r="AT27" s="45" t="s">
        <v>445</v>
      </c>
      <c r="AU27" s="45">
        <v>2010</v>
      </c>
      <c r="AV27" s="46"/>
      <c r="AW27" s="48"/>
      <c r="AX27" s="46"/>
      <c r="AY27" s="48"/>
      <c r="AZ27" s="48">
        <v>138000000</v>
      </c>
      <c r="BA27" s="34">
        <f t="shared" si="2"/>
        <v>0</v>
      </c>
      <c r="BB27" s="45" t="s">
        <v>446</v>
      </c>
      <c r="BC27" s="45" t="s">
        <v>82</v>
      </c>
      <c r="BD27" s="45" t="s">
        <v>447</v>
      </c>
      <c r="BE27" s="45" t="s">
        <v>144</v>
      </c>
      <c r="BF27" s="45"/>
      <c r="BG27" s="45"/>
      <c r="BH27" s="45" t="s">
        <v>448</v>
      </c>
      <c r="BI27" s="45">
        <v>2010</v>
      </c>
      <c r="BJ27" s="49"/>
      <c r="BK27" s="48"/>
      <c r="BL27" s="49"/>
      <c r="BM27" s="48"/>
      <c r="BN27" s="48">
        <v>137000000</v>
      </c>
      <c r="BO27" s="34">
        <f t="shared" si="3"/>
        <v>0</v>
      </c>
      <c r="BP27" s="45" t="s">
        <v>449</v>
      </c>
      <c r="BQ27" s="45" t="s">
        <v>82</v>
      </c>
      <c r="BR27" s="45" t="s">
        <v>450</v>
      </c>
      <c r="BS27" s="45" t="s">
        <v>144</v>
      </c>
      <c r="BT27" s="45"/>
      <c r="BU27" s="45"/>
      <c r="BV27" s="45" t="s">
        <v>448</v>
      </c>
      <c r="BW27" s="45">
        <v>2010</v>
      </c>
      <c r="BX27" s="49"/>
      <c r="BY27" s="48"/>
      <c r="BZ27" s="49"/>
      <c r="CA27" s="48"/>
      <c r="CB27" s="48">
        <v>140000000</v>
      </c>
      <c r="CC27" s="34">
        <f t="shared" si="4"/>
        <v>0</v>
      </c>
      <c r="CD27" s="45" t="s">
        <v>451</v>
      </c>
      <c r="CE27" s="45" t="s">
        <v>137</v>
      </c>
      <c r="CF27" s="45" t="s">
        <v>416</v>
      </c>
      <c r="CG27" s="45"/>
      <c r="CH27" s="45"/>
    </row>
    <row r="28" spans="1:86" ht="90" x14ac:dyDescent="0.25">
      <c r="A28" s="30">
        <v>21.4</v>
      </c>
      <c r="B28" s="31" t="s">
        <v>431</v>
      </c>
      <c r="C28" s="31" t="s">
        <v>432</v>
      </c>
      <c r="D28" s="32">
        <v>44991</v>
      </c>
      <c r="E28" s="31" t="s">
        <v>433</v>
      </c>
      <c r="F28" s="31" t="s">
        <v>434</v>
      </c>
      <c r="G28" s="31"/>
      <c r="H28" s="31" t="s">
        <v>144</v>
      </c>
      <c r="I28" s="33"/>
      <c r="J28" s="31"/>
      <c r="K28" s="33"/>
      <c r="L28" s="33"/>
      <c r="M28" s="31"/>
      <c r="N28" s="31"/>
      <c r="O28" s="31"/>
      <c r="P28" s="31"/>
      <c r="Q28" s="31" t="s">
        <v>436</v>
      </c>
      <c r="R28" s="31" t="s">
        <v>437</v>
      </c>
      <c r="S28" s="31" t="s">
        <v>438</v>
      </c>
      <c r="T28" s="31" t="s">
        <v>439</v>
      </c>
      <c r="U28" s="31" t="s">
        <v>452</v>
      </c>
      <c r="V28" s="31" t="s">
        <v>95</v>
      </c>
      <c r="W28" s="31" t="s">
        <v>73</v>
      </c>
      <c r="X28" s="31" t="s">
        <v>440</v>
      </c>
      <c r="Y28" s="31" t="s">
        <v>75</v>
      </c>
      <c r="Z28" s="32">
        <v>44978</v>
      </c>
      <c r="AA28" s="32">
        <v>44978</v>
      </c>
      <c r="AB28" s="31" t="s">
        <v>91</v>
      </c>
      <c r="AC28" s="31" t="s">
        <v>453</v>
      </c>
      <c r="AD28" s="31"/>
      <c r="AE28" s="31" t="s">
        <v>454</v>
      </c>
      <c r="AF28" s="31"/>
      <c r="AG28" s="31" t="s">
        <v>455</v>
      </c>
      <c r="AH28" s="31"/>
      <c r="AI28" s="31"/>
      <c r="AJ28" s="33">
        <f t="shared" si="0"/>
        <v>0</v>
      </c>
      <c r="AK28" s="34"/>
      <c r="AL28" s="33">
        <f t="shared" si="1"/>
        <v>0</v>
      </c>
      <c r="AM28" s="34"/>
      <c r="AN28" s="34"/>
      <c r="AO28" s="34">
        <v>122700000</v>
      </c>
      <c r="AP28" s="31" t="s">
        <v>456</v>
      </c>
      <c r="AQ28" s="31" t="s">
        <v>144</v>
      </c>
      <c r="AR28" s="31"/>
      <c r="AS28" s="31"/>
      <c r="AT28" s="31" t="s">
        <v>448</v>
      </c>
      <c r="AU28" s="31">
        <v>2012</v>
      </c>
      <c r="AV28" s="33"/>
      <c r="AW28" s="34"/>
      <c r="AX28" s="33"/>
      <c r="AY28" s="34"/>
      <c r="AZ28" s="34">
        <v>142000000</v>
      </c>
      <c r="BA28" s="34">
        <f t="shared" si="2"/>
        <v>0</v>
      </c>
      <c r="BB28" s="31" t="s">
        <v>457</v>
      </c>
      <c r="BC28" s="31" t="s">
        <v>82</v>
      </c>
      <c r="BD28" s="31" t="s">
        <v>458</v>
      </c>
      <c r="BE28" s="31" t="s">
        <v>144</v>
      </c>
      <c r="BF28" s="31"/>
      <c r="BG28" s="31"/>
      <c r="BH28" s="31" t="s">
        <v>448</v>
      </c>
      <c r="BI28" s="31">
        <v>2012</v>
      </c>
      <c r="BJ28" s="35"/>
      <c r="BK28" s="34"/>
      <c r="BL28" s="35"/>
      <c r="BM28" s="34"/>
      <c r="BN28" s="34">
        <v>144000000</v>
      </c>
      <c r="BO28" s="34">
        <f t="shared" si="3"/>
        <v>0</v>
      </c>
      <c r="BP28" s="31" t="s">
        <v>459</v>
      </c>
      <c r="BQ28" s="31" t="s">
        <v>82</v>
      </c>
      <c r="BR28" s="31" t="s">
        <v>450</v>
      </c>
      <c r="BS28" s="31" t="s">
        <v>144</v>
      </c>
      <c r="BT28" s="31"/>
      <c r="BU28" s="31"/>
      <c r="BV28" s="31" t="s">
        <v>448</v>
      </c>
      <c r="BW28" s="31">
        <v>2012</v>
      </c>
      <c r="BX28" s="35"/>
      <c r="BY28" s="34"/>
      <c r="BZ28" s="35"/>
      <c r="CA28" s="34"/>
      <c r="CB28" s="34">
        <v>149000000</v>
      </c>
      <c r="CC28" s="34">
        <f t="shared" si="4"/>
        <v>0</v>
      </c>
      <c r="CD28" s="31" t="s">
        <v>460</v>
      </c>
      <c r="CE28" s="31" t="s">
        <v>82</v>
      </c>
      <c r="CF28" s="31" t="s">
        <v>416</v>
      </c>
      <c r="CG28" s="31"/>
      <c r="CH28" s="31"/>
    </row>
    <row r="29" spans="1:86" ht="90" x14ac:dyDescent="0.25">
      <c r="A29" s="30">
        <v>21.5</v>
      </c>
      <c r="B29" s="31" t="s">
        <v>431</v>
      </c>
      <c r="C29" s="31" t="s">
        <v>432</v>
      </c>
      <c r="D29" s="32">
        <v>44991</v>
      </c>
      <c r="E29" s="31" t="s">
        <v>433</v>
      </c>
      <c r="F29" s="31" t="s">
        <v>434</v>
      </c>
      <c r="G29" s="31"/>
      <c r="H29" s="31" t="s">
        <v>144</v>
      </c>
      <c r="I29" s="33"/>
      <c r="J29" s="31"/>
      <c r="K29" s="33"/>
      <c r="L29" s="33"/>
      <c r="M29" s="31"/>
      <c r="N29" s="31"/>
      <c r="O29" s="31"/>
      <c r="P29" s="31"/>
      <c r="Q29" s="31" t="s">
        <v>436</v>
      </c>
      <c r="R29" s="31" t="s">
        <v>437</v>
      </c>
      <c r="S29" s="31" t="s">
        <v>438</v>
      </c>
      <c r="T29" s="31" t="s">
        <v>439</v>
      </c>
      <c r="U29" s="31" t="s">
        <v>452</v>
      </c>
      <c r="V29" s="31" t="s">
        <v>95</v>
      </c>
      <c r="W29" s="31" t="s">
        <v>73</v>
      </c>
      <c r="X29" s="31" t="s">
        <v>440</v>
      </c>
      <c r="Y29" s="31" t="s">
        <v>75</v>
      </c>
      <c r="Z29" s="32">
        <v>44978</v>
      </c>
      <c r="AA29" s="32">
        <v>44978</v>
      </c>
      <c r="AB29" s="31" t="s">
        <v>91</v>
      </c>
      <c r="AC29" s="31" t="s">
        <v>461</v>
      </c>
      <c r="AD29" s="31"/>
      <c r="AE29" s="31" t="s">
        <v>462</v>
      </c>
      <c r="AF29" s="31"/>
      <c r="AG29" s="31" t="s">
        <v>463</v>
      </c>
      <c r="AH29" s="31"/>
      <c r="AI29" s="31"/>
      <c r="AJ29" s="33">
        <f t="shared" si="0"/>
        <v>0</v>
      </c>
      <c r="AK29" s="34"/>
      <c r="AL29" s="33">
        <f t="shared" si="1"/>
        <v>0</v>
      </c>
      <c r="AM29" s="34"/>
      <c r="AN29" s="34"/>
      <c r="AO29" s="34">
        <v>77900000</v>
      </c>
      <c r="AP29" s="31" t="s">
        <v>464</v>
      </c>
      <c r="AQ29" s="31" t="s">
        <v>144</v>
      </c>
      <c r="AR29" s="31"/>
      <c r="AS29" s="31"/>
      <c r="AT29" s="31" t="s">
        <v>448</v>
      </c>
      <c r="AU29" s="31">
        <v>2011</v>
      </c>
      <c r="AV29" s="33"/>
      <c r="AW29" s="34"/>
      <c r="AX29" s="33"/>
      <c r="AY29" s="34"/>
      <c r="AZ29" s="34">
        <v>99000000</v>
      </c>
      <c r="BA29" s="34">
        <f t="shared" si="2"/>
        <v>0</v>
      </c>
      <c r="BB29" s="31" t="s">
        <v>465</v>
      </c>
      <c r="BC29" s="31" t="s">
        <v>82</v>
      </c>
      <c r="BD29" s="31" t="s">
        <v>466</v>
      </c>
      <c r="BE29" s="31" t="s">
        <v>144</v>
      </c>
      <c r="BF29" s="31"/>
      <c r="BG29" s="31"/>
      <c r="BH29" s="31" t="s">
        <v>448</v>
      </c>
      <c r="BI29" s="31">
        <v>2011</v>
      </c>
      <c r="BJ29" s="35"/>
      <c r="BK29" s="34"/>
      <c r="BL29" s="35"/>
      <c r="BM29" s="34"/>
      <c r="BN29" s="34">
        <v>95000000</v>
      </c>
      <c r="BO29" s="34">
        <f t="shared" si="3"/>
        <v>0</v>
      </c>
      <c r="BP29" s="31" t="s">
        <v>467</v>
      </c>
      <c r="BQ29" s="31" t="s">
        <v>82</v>
      </c>
      <c r="BR29" s="31" t="s">
        <v>468</v>
      </c>
      <c r="BS29" s="31" t="s">
        <v>144</v>
      </c>
      <c r="BT29" s="31"/>
      <c r="BU29" s="31"/>
      <c r="BV29" s="31" t="s">
        <v>448</v>
      </c>
      <c r="BW29" s="31">
        <v>2011</v>
      </c>
      <c r="BX29" s="35"/>
      <c r="BY29" s="34"/>
      <c r="BZ29" s="35"/>
      <c r="CA29" s="34"/>
      <c r="CB29" s="34">
        <v>95000000</v>
      </c>
      <c r="CC29" s="34">
        <f t="shared" si="4"/>
        <v>0</v>
      </c>
      <c r="CD29" s="31" t="s">
        <v>469</v>
      </c>
      <c r="CE29" s="31" t="s">
        <v>82</v>
      </c>
      <c r="CF29" s="31" t="s">
        <v>416</v>
      </c>
      <c r="CG29" s="31"/>
      <c r="CH29" s="31"/>
    </row>
    <row r="30" spans="1:86" ht="90" x14ac:dyDescent="0.25">
      <c r="A30" s="30">
        <v>21.6</v>
      </c>
      <c r="B30" s="31" t="s">
        <v>431</v>
      </c>
      <c r="C30" s="31" t="s">
        <v>432</v>
      </c>
      <c r="D30" s="32">
        <v>44991</v>
      </c>
      <c r="E30" s="31" t="s">
        <v>433</v>
      </c>
      <c r="F30" s="31" t="s">
        <v>434</v>
      </c>
      <c r="G30" s="31"/>
      <c r="H30" s="31" t="s">
        <v>144</v>
      </c>
      <c r="I30" s="33"/>
      <c r="J30" s="31"/>
      <c r="K30" s="33"/>
      <c r="L30" s="33"/>
      <c r="M30" s="31"/>
      <c r="N30" s="31"/>
      <c r="O30" s="31"/>
      <c r="P30" s="31"/>
      <c r="Q30" s="31" t="s">
        <v>436</v>
      </c>
      <c r="R30" s="31" t="s">
        <v>437</v>
      </c>
      <c r="S30" s="31" t="s">
        <v>438</v>
      </c>
      <c r="T30" s="31" t="s">
        <v>439</v>
      </c>
      <c r="U30" s="31" t="s">
        <v>452</v>
      </c>
      <c r="V30" s="31" t="s">
        <v>95</v>
      </c>
      <c r="W30" s="31" t="s">
        <v>73</v>
      </c>
      <c r="X30" s="31" t="s">
        <v>440</v>
      </c>
      <c r="Y30" s="31" t="s">
        <v>75</v>
      </c>
      <c r="Z30" s="32">
        <v>44978</v>
      </c>
      <c r="AA30" s="32">
        <v>44978</v>
      </c>
      <c r="AB30" s="31" t="s">
        <v>91</v>
      </c>
      <c r="AC30" s="31" t="s">
        <v>470</v>
      </c>
      <c r="AD30" s="31"/>
      <c r="AE30" s="31" t="s">
        <v>471</v>
      </c>
      <c r="AF30" s="31"/>
      <c r="AG30" s="31" t="s">
        <v>472</v>
      </c>
      <c r="AH30" s="31"/>
      <c r="AI30" s="31"/>
      <c r="AJ30" s="33">
        <f t="shared" si="0"/>
        <v>0</v>
      </c>
      <c r="AK30" s="34"/>
      <c r="AL30" s="33">
        <f t="shared" si="1"/>
        <v>0</v>
      </c>
      <c r="AM30" s="34"/>
      <c r="AN30" s="34"/>
      <c r="AO30" s="34">
        <v>115200000</v>
      </c>
      <c r="AP30" s="31" t="s">
        <v>473</v>
      </c>
      <c r="AQ30" s="31" t="s">
        <v>144</v>
      </c>
      <c r="AR30" s="31"/>
      <c r="AS30" s="31"/>
      <c r="AT30" s="31" t="s">
        <v>448</v>
      </c>
      <c r="AU30" s="31">
        <v>2012</v>
      </c>
      <c r="AV30" s="33"/>
      <c r="AW30" s="34"/>
      <c r="AX30" s="33"/>
      <c r="AY30" s="34"/>
      <c r="AZ30" s="34">
        <v>133500000</v>
      </c>
      <c r="BA30" s="34">
        <f t="shared" si="2"/>
        <v>0</v>
      </c>
      <c r="BB30" s="31" t="s">
        <v>474</v>
      </c>
      <c r="BC30" s="31" t="s">
        <v>82</v>
      </c>
      <c r="BD30" s="31" t="s">
        <v>475</v>
      </c>
      <c r="BE30" s="31" t="s">
        <v>144</v>
      </c>
      <c r="BF30" s="31"/>
      <c r="BG30" s="31"/>
      <c r="BH30" s="31" t="s">
        <v>448</v>
      </c>
      <c r="BI30" s="31">
        <v>2012</v>
      </c>
      <c r="BJ30" s="35"/>
      <c r="BK30" s="34"/>
      <c r="BL30" s="35"/>
      <c r="BM30" s="34"/>
      <c r="BN30" s="34">
        <v>135000000</v>
      </c>
      <c r="BO30" s="34">
        <f t="shared" si="3"/>
        <v>0</v>
      </c>
      <c r="BP30" s="31" t="s">
        <v>476</v>
      </c>
      <c r="BQ30" s="31" t="s">
        <v>82</v>
      </c>
      <c r="BR30" s="31" t="s">
        <v>477</v>
      </c>
      <c r="BS30" s="31" t="s">
        <v>144</v>
      </c>
      <c r="BT30" s="31"/>
      <c r="BU30" s="31"/>
      <c r="BV30" s="31" t="s">
        <v>448</v>
      </c>
      <c r="BW30" s="31">
        <v>2012</v>
      </c>
      <c r="BX30" s="35"/>
      <c r="BY30" s="34"/>
      <c r="BZ30" s="35"/>
      <c r="CA30" s="34"/>
      <c r="CB30" s="34">
        <v>129500000</v>
      </c>
      <c r="CC30" s="34">
        <f t="shared" si="4"/>
        <v>0</v>
      </c>
      <c r="CD30" s="31" t="s">
        <v>478</v>
      </c>
      <c r="CE30" s="31" t="s">
        <v>82</v>
      </c>
      <c r="CF30" s="31" t="s">
        <v>416</v>
      </c>
      <c r="CG30" s="31"/>
      <c r="CH30" s="31"/>
    </row>
    <row r="31" spans="1:86" ht="165" x14ac:dyDescent="0.25">
      <c r="A31" s="30">
        <v>21.7</v>
      </c>
      <c r="B31" s="31" t="s">
        <v>479</v>
      </c>
      <c r="C31" s="31" t="s">
        <v>480</v>
      </c>
      <c r="D31" s="32">
        <v>44992</v>
      </c>
      <c r="E31" s="31" t="s">
        <v>97</v>
      </c>
      <c r="F31" s="31" t="s">
        <v>97</v>
      </c>
      <c r="G31" s="31"/>
      <c r="H31" s="31" t="s">
        <v>87</v>
      </c>
      <c r="I31" s="33">
        <v>450</v>
      </c>
      <c r="J31" s="31" t="s">
        <v>70</v>
      </c>
      <c r="K31" s="33">
        <v>380</v>
      </c>
      <c r="L31" s="33"/>
      <c r="M31" s="31" t="s">
        <v>481</v>
      </c>
      <c r="N31" s="31"/>
      <c r="O31" s="31"/>
      <c r="P31" s="31"/>
      <c r="Q31" s="31" t="s">
        <v>482</v>
      </c>
      <c r="R31" s="31" t="s">
        <v>483</v>
      </c>
      <c r="S31" s="31" t="s">
        <v>484</v>
      </c>
      <c r="T31" s="31" t="s">
        <v>485</v>
      </c>
      <c r="U31" s="31" t="s">
        <v>486</v>
      </c>
      <c r="V31" s="31" t="s">
        <v>80</v>
      </c>
      <c r="W31" s="31" t="s">
        <v>73</v>
      </c>
      <c r="X31" s="31" t="s">
        <v>86</v>
      </c>
      <c r="Y31" s="31" t="s">
        <v>332</v>
      </c>
      <c r="Z31" s="32">
        <v>44980</v>
      </c>
      <c r="AA31" s="32">
        <v>44980</v>
      </c>
      <c r="AB31" s="31" t="s">
        <v>91</v>
      </c>
      <c r="AC31" s="31"/>
      <c r="AD31" s="31"/>
      <c r="AE31" s="31"/>
      <c r="AF31" s="31"/>
      <c r="AG31" s="31"/>
      <c r="AH31" s="31"/>
      <c r="AI31" s="31"/>
      <c r="AJ31" s="33">
        <f t="shared" si="0"/>
        <v>450</v>
      </c>
      <c r="AK31" s="34">
        <v>7000000</v>
      </c>
      <c r="AL31" s="33">
        <f t="shared" si="1"/>
        <v>380</v>
      </c>
      <c r="AM31" s="34"/>
      <c r="AN31" s="34"/>
      <c r="AO31" s="34">
        <v>3415000000</v>
      </c>
      <c r="AP31" s="31" t="s">
        <v>487</v>
      </c>
      <c r="AQ31" s="31" t="s">
        <v>87</v>
      </c>
      <c r="AR31" s="31"/>
      <c r="AS31" s="31"/>
      <c r="AT31" s="31"/>
      <c r="AU31" s="31"/>
      <c r="AV31" s="33">
        <v>633</v>
      </c>
      <c r="AW31" s="34">
        <v>6662540</v>
      </c>
      <c r="AX31" s="33">
        <v>578</v>
      </c>
      <c r="AY31" s="34"/>
      <c r="AZ31" s="34">
        <v>6300000000</v>
      </c>
      <c r="BA31" s="34">
        <f t="shared" si="2"/>
        <v>4217387820</v>
      </c>
      <c r="BB31" s="31" t="s">
        <v>488</v>
      </c>
      <c r="BC31" s="31" t="s">
        <v>82</v>
      </c>
      <c r="BD31" s="31" t="s">
        <v>489</v>
      </c>
      <c r="BE31" s="31" t="s">
        <v>87</v>
      </c>
      <c r="BF31" s="31"/>
      <c r="BG31" s="31"/>
      <c r="BH31" s="31"/>
      <c r="BI31" s="31"/>
      <c r="BJ31" s="35">
        <v>450</v>
      </c>
      <c r="BK31" s="34">
        <v>6916800</v>
      </c>
      <c r="BL31" s="35">
        <v>360</v>
      </c>
      <c r="BM31" s="34"/>
      <c r="BN31" s="34">
        <v>4300000000</v>
      </c>
      <c r="BO31" s="34">
        <f t="shared" si="3"/>
        <v>3112560000</v>
      </c>
      <c r="BP31" s="31" t="s">
        <v>490</v>
      </c>
      <c r="BQ31" s="31" t="s">
        <v>82</v>
      </c>
      <c r="BR31" s="31" t="s">
        <v>487</v>
      </c>
      <c r="BS31" s="31" t="s">
        <v>87</v>
      </c>
      <c r="BT31" s="31"/>
      <c r="BU31" s="31"/>
      <c r="BV31" s="31"/>
      <c r="BW31" s="31"/>
      <c r="BX31" s="35">
        <v>450</v>
      </c>
      <c r="BY31" s="34">
        <v>7069778</v>
      </c>
      <c r="BZ31" s="35">
        <v>900</v>
      </c>
      <c r="CA31" s="34"/>
      <c r="CB31" s="34">
        <v>5500000000</v>
      </c>
      <c r="CC31" s="34">
        <f t="shared" si="4"/>
        <v>3181400100</v>
      </c>
      <c r="CD31" s="31" t="s">
        <v>490</v>
      </c>
      <c r="CE31" s="31" t="s">
        <v>82</v>
      </c>
      <c r="CF31" s="31" t="s">
        <v>491</v>
      </c>
      <c r="CG31" s="31"/>
      <c r="CH31" s="31"/>
    </row>
    <row r="32" spans="1:86" ht="135" x14ac:dyDescent="0.25">
      <c r="A32" s="30" t="s">
        <v>113</v>
      </c>
      <c r="B32" s="31" t="s">
        <v>479</v>
      </c>
      <c r="C32" s="31" t="s">
        <v>480</v>
      </c>
      <c r="D32" s="32">
        <v>44992</v>
      </c>
      <c r="E32" s="31" t="s">
        <v>97</v>
      </c>
      <c r="F32" s="31" t="s">
        <v>97</v>
      </c>
      <c r="G32" s="31"/>
      <c r="H32" s="31" t="s">
        <v>107</v>
      </c>
      <c r="I32" s="33">
        <v>111</v>
      </c>
      <c r="J32" s="31" t="s">
        <v>70</v>
      </c>
      <c r="K32" s="33">
        <v>272</v>
      </c>
      <c r="L32" s="33"/>
      <c r="M32" s="31"/>
      <c r="N32" s="31"/>
      <c r="O32" s="31"/>
      <c r="P32" s="31"/>
      <c r="Q32" s="31" t="s">
        <v>492</v>
      </c>
      <c r="R32" s="31" t="s">
        <v>493</v>
      </c>
      <c r="S32" s="31" t="s">
        <v>494</v>
      </c>
      <c r="T32" s="31" t="s">
        <v>495</v>
      </c>
      <c r="U32" s="31" t="s">
        <v>104</v>
      </c>
      <c r="V32" s="31" t="s">
        <v>85</v>
      </c>
      <c r="W32" s="31" t="s">
        <v>73</v>
      </c>
      <c r="X32" s="31" t="s">
        <v>86</v>
      </c>
      <c r="Y32" s="31" t="s">
        <v>332</v>
      </c>
      <c r="Z32" s="32">
        <v>44980</v>
      </c>
      <c r="AA32" s="32">
        <v>44980</v>
      </c>
      <c r="AB32" s="31" t="s">
        <v>91</v>
      </c>
      <c r="AC32" s="31"/>
      <c r="AD32" s="31"/>
      <c r="AE32" s="31"/>
      <c r="AF32" s="31"/>
      <c r="AG32" s="31"/>
      <c r="AH32" s="31"/>
      <c r="AI32" s="31"/>
      <c r="AJ32" s="33">
        <f t="shared" si="0"/>
        <v>111</v>
      </c>
      <c r="AK32" s="34">
        <v>20308218</v>
      </c>
      <c r="AL32" s="33">
        <f t="shared" si="1"/>
        <v>272</v>
      </c>
      <c r="AM32" s="34">
        <v>2930120</v>
      </c>
      <c r="AN32" s="34"/>
      <c r="AO32" s="34">
        <v>2934000000</v>
      </c>
      <c r="AP32" s="31" t="s">
        <v>496</v>
      </c>
      <c r="AQ32" s="31" t="s">
        <v>107</v>
      </c>
      <c r="AR32" s="31"/>
      <c r="AS32" s="31"/>
      <c r="AT32" s="31"/>
      <c r="AU32" s="31"/>
      <c r="AV32" s="33">
        <v>120</v>
      </c>
      <c r="AW32" s="34">
        <v>29466680</v>
      </c>
      <c r="AX32" s="33">
        <v>392</v>
      </c>
      <c r="AY32" s="34"/>
      <c r="AZ32" s="34">
        <v>5500000000</v>
      </c>
      <c r="BA32" s="34">
        <f t="shared" si="2"/>
        <v>3536001600</v>
      </c>
      <c r="BB32" s="31" t="s">
        <v>497</v>
      </c>
      <c r="BC32" s="31" t="s">
        <v>82</v>
      </c>
      <c r="BD32" s="31" t="s">
        <v>496</v>
      </c>
      <c r="BE32" s="31" t="s">
        <v>107</v>
      </c>
      <c r="BF32" s="31"/>
      <c r="BG32" s="31"/>
      <c r="BH32" s="31"/>
      <c r="BI32" s="31"/>
      <c r="BJ32" s="35">
        <v>105</v>
      </c>
      <c r="BK32" s="34">
        <v>31610899</v>
      </c>
      <c r="BL32" s="35">
        <v>364</v>
      </c>
      <c r="BM32" s="34"/>
      <c r="BN32" s="34">
        <v>5000000000</v>
      </c>
      <c r="BO32" s="34">
        <f t="shared" si="3"/>
        <v>3319144395</v>
      </c>
      <c r="BP32" s="31" t="s">
        <v>498</v>
      </c>
      <c r="BQ32" s="31" t="s">
        <v>82</v>
      </c>
      <c r="BR32" s="31" t="s">
        <v>496</v>
      </c>
      <c r="BS32" s="31" t="s">
        <v>81</v>
      </c>
      <c r="BT32" s="31"/>
      <c r="BU32" s="31"/>
      <c r="BV32" s="31"/>
      <c r="BW32" s="31"/>
      <c r="BX32" s="35">
        <v>360</v>
      </c>
      <c r="BY32" s="34">
        <v>17784472</v>
      </c>
      <c r="BZ32" s="35">
        <v>750</v>
      </c>
      <c r="CA32" s="34"/>
      <c r="CB32" s="34">
        <v>10500000000</v>
      </c>
      <c r="CC32" s="34">
        <f t="shared" si="4"/>
        <v>6402409920</v>
      </c>
      <c r="CD32" s="31" t="s">
        <v>499</v>
      </c>
      <c r="CE32" s="31" t="s">
        <v>82</v>
      </c>
      <c r="CF32" s="31" t="s">
        <v>491</v>
      </c>
      <c r="CG32" s="31"/>
      <c r="CH32" s="31"/>
    </row>
    <row r="33" spans="1:86" ht="120" x14ac:dyDescent="0.25">
      <c r="A33" s="30">
        <v>21.9</v>
      </c>
      <c r="B33" s="31" t="s">
        <v>500</v>
      </c>
      <c r="C33" s="31" t="s">
        <v>501</v>
      </c>
      <c r="D33" s="32">
        <v>44992</v>
      </c>
      <c r="E33" s="31" t="s">
        <v>97</v>
      </c>
      <c r="F33" s="31" t="s">
        <v>97</v>
      </c>
      <c r="G33" s="31"/>
      <c r="H33" s="31" t="s">
        <v>84</v>
      </c>
      <c r="I33" s="33">
        <v>270</v>
      </c>
      <c r="J33" s="31" t="s">
        <v>70</v>
      </c>
      <c r="K33" s="33">
        <v>380</v>
      </c>
      <c r="L33" s="33"/>
      <c r="M33" s="31"/>
      <c r="N33" s="31"/>
      <c r="O33" s="31"/>
      <c r="P33" s="31"/>
      <c r="Q33" s="31"/>
      <c r="R33" s="31" t="s">
        <v>502</v>
      </c>
      <c r="S33" s="31" t="s">
        <v>503</v>
      </c>
      <c r="T33" s="31" t="s">
        <v>504</v>
      </c>
      <c r="U33" s="31" t="s">
        <v>108</v>
      </c>
      <c r="V33" s="31" t="s">
        <v>85</v>
      </c>
      <c r="W33" s="31" t="s">
        <v>73</v>
      </c>
      <c r="X33" s="31" t="s">
        <v>505</v>
      </c>
      <c r="Y33" s="31" t="s">
        <v>75</v>
      </c>
      <c r="Z33" s="32">
        <v>44973</v>
      </c>
      <c r="AA33" s="32">
        <v>44973</v>
      </c>
      <c r="AB33" s="31" t="s">
        <v>76</v>
      </c>
      <c r="AC33" s="31"/>
      <c r="AD33" s="31"/>
      <c r="AE33" s="31"/>
      <c r="AF33" s="31"/>
      <c r="AG33" s="31"/>
      <c r="AH33" s="31"/>
      <c r="AI33" s="31"/>
      <c r="AJ33" s="33">
        <f t="shared" si="0"/>
        <v>270</v>
      </c>
      <c r="AK33" s="34">
        <v>20000000</v>
      </c>
      <c r="AL33" s="33">
        <f t="shared" si="1"/>
        <v>380</v>
      </c>
      <c r="AM33" s="34"/>
      <c r="AN33" s="34"/>
      <c r="AO33" s="34">
        <v>5400000000</v>
      </c>
      <c r="AP33" s="31" t="s">
        <v>506</v>
      </c>
      <c r="AQ33" s="31" t="s">
        <v>78</v>
      </c>
      <c r="AR33" s="31"/>
      <c r="AS33" s="31"/>
      <c r="AT33" s="31"/>
      <c r="AU33" s="31"/>
      <c r="AV33" s="33">
        <v>415</v>
      </c>
      <c r="AW33" s="34">
        <v>19518072</v>
      </c>
      <c r="AX33" s="33"/>
      <c r="AY33" s="34"/>
      <c r="AZ33" s="34">
        <v>10000000000</v>
      </c>
      <c r="BA33" s="34">
        <f t="shared" si="2"/>
        <v>8099999880</v>
      </c>
      <c r="BB33" s="31" t="s">
        <v>507</v>
      </c>
      <c r="BC33" s="31" t="s">
        <v>82</v>
      </c>
      <c r="BD33" s="31" t="s">
        <v>508</v>
      </c>
      <c r="BE33" s="31" t="s">
        <v>84</v>
      </c>
      <c r="BF33" s="31"/>
      <c r="BG33" s="31"/>
      <c r="BH33" s="31"/>
      <c r="BI33" s="31"/>
      <c r="BJ33" s="35">
        <v>354</v>
      </c>
      <c r="BK33" s="34">
        <v>19432316</v>
      </c>
      <c r="BL33" s="35">
        <v>200</v>
      </c>
      <c r="BM33" s="34"/>
      <c r="BN33" s="34">
        <v>9000000000</v>
      </c>
      <c r="BO33" s="34">
        <f t="shared" si="3"/>
        <v>6879039864</v>
      </c>
      <c r="BP33" s="31" t="s">
        <v>509</v>
      </c>
      <c r="BQ33" s="31" t="s">
        <v>82</v>
      </c>
      <c r="BR33" s="31" t="s">
        <v>508</v>
      </c>
      <c r="BS33" s="31" t="s">
        <v>84</v>
      </c>
      <c r="BT33" s="31"/>
      <c r="BU33" s="31"/>
      <c r="BV33" s="31"/>
      <c r="BW33" s="31"/>
      <c r="BX33" s="35">
        <v>374</v>
      </c>
      <c r="BY33" s="34">
        <v>19342995</v>
      </c>
      <c r="BZ33" s="35">
        <v>200</v>
      </c>
      <c r="CA33" s="34"/>
      <c r="CB33" s="34">
        <v>9000000000</v>
      </c>
      <c r="CC33" s="34">
        <f t="shared" si="4"/>
        <v>7234280130</v>
      </c>
      <c r="CD33" s="31" t="s">
        <v>510</v>
      </c>
      <c r="CE33" s="31" t="s">
        <v>82</v>
      </c>
      <c r="CF33" s="31" t="s">
        <v>416</v>
      </c>
      <c r="CG33" s="31"/>
      <c r="CH33" s="31"/>
    </row>
    <row r="34" spans="1:86" ht="150" x14ac:dyDescent="0.25">
      <c r="A34" s="30">
        <v>21.1</v>
      </c>
      <c r="B34" s="31" t="s">
        <v>500</v>
      </c>
      <c r="C34" s="31" t="s">
        <v>511</v>
      </c>
      <c r="D34" s="32">
        <v>44992</v>
      </c>
      <c r="E34" s="31" t="s">
        <v>97</v>
      </c>
      <c r="F34" s="31" t="s">
        <v>97</v>
      </c>
      <c r="G34" s="31"/>
      <c r="H34" s="31" t="s">
        <v>78</v>
      </c>
      <c r="I34" s="33">
        <v>1137</v>
      </c>
      <c r="J34" s="31" t="s">
        <v>70</v>
      </c>
      <c r="K34" s="33"/>
      <c r="L34" s="33"/>
      <c r="M34" s="31"/>
      <c r="N34" s="31"/>
      <c r="O34" s="31"/>
      <c r="P34" s="31"/>
      <c r="Q34" s="31"/>
      <c r="R34" s="31" t="s">
        <v>512</v>
      </c>
      <c r="S34" s="31" t="s">
        <v>513</v>
      </c>
      <c r="T34" s="31" t="s">
        <v>514</v>
      </c>
      <c r="U34" s="31" t="s">
        <v>387</v>
      </c>
      <c r="V34" s="31" t="s">
        <v>85</v>
      </c>
      <c r="W34" s="31" t="s">
        <v>73</v>
      </c>
      <c r="X34" s="31" t="s">
        <v>86</v>
      </c>
      <c r="Y34" s="31" t="s">
        <v>75</v>
      </c>
      <c r="Z34" s="32">
        <v>44972</v>
      </c>
      <c r="AA34" s="32">
        <v>44972</v>
      </c>
      <c r="AB34" s="31" t="s">
        <v>76</v>
      </c>
      <c r="AC34" s="31"/>
      <c r="AD34" s="31"/>
      <c r="AE34" s="31"/>
      <c r="AF34" s="31"/>
      <c r="AG34" s="31"/>
      <c r="AH34" s="31"/>
      <c r="AI34" s="31"/>
      <c r="AJ34" s="33">
        <f t="shared" si="0"/>
        <v>1137</v>
      </c>
      <c r="AK34" s="34">
        <v>14000000</v>
      </c>
      <c r="AL34" s="33">
        <f t="shared" si="1"/>
        <v>0</v>
      </c>
      <c r="AM34" s="34"/>
      <c r="AN34" s="34"/>
      <c r="AO34" s="34">
        <v>15918000000</v>
      </c>
      <c r="AP34" s="31" t="s">
        <v>515</v>
      </c>
      <c r="AQ34" s="31" t="s">
        <v>101</v>
      </c>
      <c r="AR34" s="31"/>
      <c r="AS34" s="31"/>
      <c r="AT34" s="31"/>
      <c r="AU34" s="31"/>
      <c r="AV34" s="33">
        <v>584</v>
      </c>
      <c r="AW34" s="34">
        <v>14378067</v>
      </c>
      <c r="AX34" s="33">
        <v>199</v>
      </c>
      <c r="AY34" s="34"/>
      <c r="AZ34" s="34">
        <v>11500000000</v>
      </c>
      <c r="BA34" s="34">
        <f t="shared" si="2"/>
        <v>8396791128</v>
      </c>
      <c r="BB34" s="31" t="s">
        <v>516</v>
      </c>
      <c r="BC34" s="31" t="s">
        <v>82</v>
      </c>
      <c r="BD34" s="31" t="s">
        <v>517</v>
      </c>
      <c r="BE34" s="31" t="s">
        <v>78</v>
      </c>
      <c r="BF34" s="31"/>
      <c r="BG34" s="31"/>
      <c r="BH34" s="31"/>
      <c r="BI34" s="31"/>
      <c r="BJ34" s="35">
        <v>890</v>
      </c>
      <c r="BK34" s="34">
        <v>14044944</v>
      </c>
      <c r="BL34" s="35"/>
      <c r="BM34" s="34"/>
      <c r="BN34" s="34">
        <v>16910000000</v>
      </c>
      <c r="BO34" s="34">
        <f t="shared" si="3"/>
        <v>12500000160</v>
      </c>
      <c r="BP34" s="31" t="s">
        <v>518</v>
      </c>
      <c r="BQ34" s="31" t="s">
        <v>82</v>
      </c>
      <c r="BR34" s="31" t="s">
        <v>519</v>
      </c>
      <c r="BS34" s="31" t="s">
        <v>101</v>
      </c>
      <c r="BT34" s="31"/>
      <c r="BU34" s="31"/>
      <c r="BV34" s="31"/>
      <c r="BW34" s="31"/>
      <c r="BX34" s="35">
        <v>590</v>
      </c>
      <c r="BY34" s="34">
        <v>14226712</v>
      </c>
      <c r="BZ34" s="35">
        <v>200</v>
      </c>
      <c r="CA34" s="34"/>
      <c r="CB34" s="34">
        <v>12300000000</v>
      </c>
      <c r="CC34" s="34">
        <f t="shared" si="4"/>
        <v>8393760080</v>
      </c>
      <c r="CD34" s="31" t="s">
        <v>520</v>
      </c>
      <c r="CE34" s="31" t="s">
        <v>82</v>
      </c>
      <c r="CF34" s="31" t="s">
        <v>521</v>
      </c>
      <c r="CG34" s="31"/>
      <c r="CH34" s="31"/>
    </row>
    <row r="35" spans="1:86" ht="135" x14ac:dyDescent="0.25">
      <c r="A35" s="30">
        <v>21.11</v>
      </c>
      <c r="B35" s="31" t="s">
        <v>500</v>
      </c>
      <c r="C35" s="31" t="s">
        <v>522</v>
      </c>
      <c r="D35" s="32">
        <v>44992</v>
      </c>
      <c r="E35" s="31" t="s">
        <v>97</v>
      </c>
      <c r="F35" s="31" t="s">
        <v>97</v>
      </c>
      <c r="G35" s="31"/>
      <c r="H35" s="31" t="s">
        <v>84</v>
      </c>
      <c r="I35" s="33">
        <v>528</v>
      </c>
      <c r="J35" s="31" t="s">
        <v>70</v>
      </c>
      <c r="K35" s="33">
        <v>282</v>
      </c>
      <c r="L35" s="33"/>
      <c r="M35" s="31"/>
      <c r="N35" s="31"/>
      <c r="O35" s="31"/>
      <c r="P35" s="31"/>
      <c r="Q35" s="31" t="s">
        <v>523</v>
      </c>
      <c r="R35" s="31" t="s">
        <v>524</v>
      </c>
      <c r="S35" s="31" t="s">
        <v>525</v>
      </c>
      <c r="T35" s="31" t="s">
        <v>526</v>
      </c>
      <c r="U35" s="31" t="s">
        <v>387</v>
      </c>
      <c r="V35" s="31" t="s">
        <v>85</v>
      </c>
      <c r="W35" s="31" t="s">
        <v>73</v>
      </c>
      <c r="X35" s="31" t="s">
        <v>86</v>
      </c>
      <c r="Y35" s="31" t="s">
        <v>75</v>
      </c>
      <c r="Z35" s="32">
        <v>44974</v>
      </c>
      <c r="AA35" s="32">
        <v>44974</v>
      </c>
      <c r="AB35" s="31" t="s">
        <v>76</v>
      </c>
      <c r="AC35" s="31"/>
      <c r="AD35" s="31"/>
      <c r="AE35" s="31"/>
      <c r="AF35" s="31"/>
      <c r="AG35" s="31"/>
      <c r="AH35" s="31"/>
      <c r="AI35" s="31"/>
      <c r="AJ35" s="33">
        <f t="shared" si="0"/>
        <v>528</v>
      </c>
      <c r="AK35" s="34">
        <v>11700000</v>
      </c>
      <c r="AL35" s="33">
        <f t="shared" si="1"/>
        <v>282</v>
      </c>
      <c r="AM35" s="34"/>
      <c r="AN35" s="34"/>
      <c r="AO35" s="34">
        <v>6177600000</v>
      </c>
      <c r="AP35" s="31" t="s">
        <v>527</v>
      </c>
      <c r="AQ35" s="31" t="s">
        <v>84</v>
      </c>
      <c r="AR35" s="31"/>
      <c r="AS35" s="31"/>
      <c r="AT35" s="31"/>
      <c r="AU35" s="31"/>
      <c r="AV35" s="33">
        <v>400</v>
      </c>
      <c r="AW35" s="34">
        <v>12704500</v>
      </c>
      <c r="AX35" s="33">
        <v>500</v>
      </c>
      <c r="AY35" s="34"/>
      <c r="AZ35" s="34">
        <v>7800000000</v>
      </c>
      <c r="BA35" s="34">
        <f t="shared" si="2"/>
        <v>5081800000</v>
      </c>
      <c r="BB35" s="31" t="s">
        <v>528</v>
      </c>
      <c r="BC35" s="31" t="s">
        <v>82</v>
      </c>
      <c r="BD35" s="31" t="s">
        <v>529</v>
      </c>
      <c r="BE35" s="31" t="s">
        <v>84</v>
      </c>
      <c r="BF35" s="31"/>
      <c r="BG35" s="31"/>
      <c r="BH35" s="31"/>
      <c r="BI35" s="31"/>
      <c r="BJ35" s="35">
        <v>403</v>
      </c>
      <c r="BK35" s="34">
        <v>12666983</v>
      </c>
      <c r="BL35" s="35">
        <v>250</v>
      </c>
      <c r="BM35" s="34"/>
      <c r="BN35" s="34">
        <v>6700000000</v>
      </c>
      <c r="BO35" s="34">
        <f t="shared" si="3"/>
        <v>5104794149</v>
      </c>
      <c r="BP35" s="31" t="s">
        <v>530</v>
      </c>
      <c r="BQ35" s="31" t="s">
        <v>82</v>
      </c>
      <c r="BR35" s="31" t="s">
        <v>531</v>
      </c>
      <c r="BS35" s="31" t="s">
        <v>78</v>
      </c>
      <c r="BT35" s="31"/>
      <c r="BU35" s="31"/>
      <c r="BV35" s="31"/>
      <c r="BW35" s="31"/>
      <c r="BX35" s="35">
        <v>491</v>
      </c>
      <c r="BY35" s="34">
        <v>11608961</v>
      </c>
      <c r="BZ35" s="35"/>
      <c r="CA35" s="34"/>
      <c r="CB35" s="34">
        <v>6383000000</v>
      </c>
      <c r="CC35" s="34">
        <f t="shared" si="4"/>
        <v>5699999851</v>
      </c>
      <c r="CD35" s="31" t="s">
        <v>532</v>
      </c>
      <c r="CE35" s="31" t="s">
        <v>82</v>
      </c>
      <c r="CF35" s="31" t="s">
        <v>521</v>
      </c>
      <c r="CG35" s="31"/>
      <c r="CH35" s="31"/>
    </row>
    <row r="36" spans="1:86" ht="135" x14ac:dyDescent="0.25">
      <c r="A36" s="30">
        <v>21.12</v>
      </c>
      <c r="B36" s="31" t="s">
        <v>533</v>
      </c>
      <c r="C36" s="31" t="s">
        <v>534</v>
      </c>
      <c r="D36" s="32">
        <v>45001</v>
      </c>
      <c r="E36" s="31" t="s">
        <v>535</v>
      </c>
      <c r="F36" s="31" t="s">
        <v>536</v>
      </c>
      <c r="G36" s="31"/>
      <c r="H36" s="31" t="s">
        <v>78</v>
      </c>
      <c r="I36" s="33">
        <v>15209</v>
      </c>
      <c r="J36" s="31" t="s">
        <v>70</v>
      </c>
      <c r="K36" s="33"/>
      <c r="L36" s="33"/>
      <c r="M36" s="31"/>
      <c r="N36" s="31"/>
      <c r="O36" s="31"/>
      <c r="P36" s="31"/>
      <c r="Q36" s="31" t="s">
        <v>537</v>
      </c>
      <c r="R36" s="31"/>
      <c r="S36" s="31" t="s">
        <v>538</v>
      </c>
      <c r="T36" s="31" t="s">
        <v>539</v>
      </c>
      <c r="U36" s="31" t="s">
        <v>540</v>
      </c>
      <c r="V36" s="31" t="s">
        <v>80</v>
      </c>
      <c r="W36" s="31" t="s">
        <v>73</v>
      </c>
      <c r="X36" s="31" t="s">
        <v>86</v>
      </c>
      <c r="Y36" s="31" t="s">
        <v>75</v>
      </c>
      <c r="Z36" s="32">
        <v>44986</v>
      </c>
      <c r="AA36" s="32">
        <v>44986</v>
      </c>
      <c r="AB36" s="31" t="s">
        <v>91</v>
      </c>
      <c r="AC36" s="31"/>
      <c r="AD36" s="31"/>
      <c r="AE36" s="31"/>
      <c r="AF36" s="31"/>
      <c r="AG36" s="31"/>
      <c r="AH36" s="31"/>
      <c r="AI36" s="31"/>
      <c r="AJ36" s="33">
        <f t="shared" si="0"/>
        <v>15209</v>
      </c>
      <c r="AK36" s="34">
        <v>3200000</v>
      </c>
      <c r="AL36" s="33">
        <f t="shared" si="1"/>
        <v>0</v>
      </c>
      <c r="AM36" s="34"/>
      <c r="AN36" s="34"/>
      <c r="AO36" s="34">
        <v>11616000000</v>
      </c>
      <c r="AP36" s="31" t="s">
        <v>541</v>
      </c>
      <c r="AQ36" s="31" t="s">
        <v>78</v>
      </c>
      <c r="AR36" s="31"/>
      <c r="AS36" s="31"/>
      <c r="AT36" s="31"/>
      <c r="AU36" s="31"/>
      <c r="AV36" s="33">
        <v>100</v>
      </c>
      <c r="AW36" s="34">
        <v>3200000</v>
      </c>
      <c r="AX36" s="33"/>
      <c r="AY36" s="34"/>
      <c r="AZ36" s="34">
        <v>350000000</v>
      </c>
      <c r="BA36" s="34">
        <f t="shared" si="2"/>
        <v>320000000</v>
      </c>
      <c r="BB36" s="31" t="s">
        <v>542</v>
      </c>
      <c r="BC36" s="31" t="s">
        <v>82</v>
      </c>
      <c r="BD36" s="31" t="s">
        <v>543</v>
      </c>
      <c r="BE36" s="31" t="s">
        <v>84</v>
      </c>
      <c r="BF36" s="31"/>
      <c r="BG36" s="31"/>
      <c r="BH36" s="31"/>
      <c r="BI36" s="31"/>
      <c r="BJ36" s="35">
        <v>100</v>
      </c>
      <c r="BK36" s="34">
        <v>3230000</v>
      </c>
      <c r="BL36" s="35">
        <v>50</v>
      </c>
      <c r="BM36" s="34"/>
      <c r="BN36" s="34">
        <v>420000000</v>
      </c>
      <c r="BO36" s="34">
        <f t="shared" si="3"/>
        <v>323000000</v>
      </c>
      <c r="BP36" s="31" t="s">
        <v>544</v>
      </c>
      <c r="BQ36" s="31" t="s">
        <v>82</v>
      </c>
      <c r="BR36" s="31" t="s">
        <v>543</v>
      </c>
      <c r="BS36" s="31" t="s">
        <v>84</v>
      </c>
      <c r="BT36" s="31"/>
      <c r="BU36" s="31"/>
      <c r="BV36" s="31"/>
      <c r="BW36" s="31"/>
      <c r="BX36" s="35">
        <v>150</v>
      </c>
      <c r="BY36" s="34">
        <v>3264667</v>
      </c>
      <c r="BZ36" s="35">
        <v>45</v>
      </c>
      <c r="CA36" s="34"/>
      <c r="CB36" s="34">
        <v>600000000</v>
      </c>
      <c r="CC36" s="34">
        <f t="shared" si="4"/>
        <v>489700050</v>
      </c>
      <c r="CD36" s="31" t="s">
        <v>545</v>
      </c>
      <c r="CE36" s="31" t="s">
        <v>82</v>
      </c>
      <c r="CF36" s="31" t="s">
        <v>546</v>
      </c>
      <c r="CG36" s="31"/>
      <c r="CH36" s="31"/>
    </row>
    <row r="37" spans="1:86" ht="315" x14ac:dyDescent="0.25">
      <c r="A37" s="30">
        <v>21.13</v>
      </c>
      <c r="B37" s="31" t="s">
        <v>547</v>
      </c>
      <c r="C37" s="31" t="s">
        <v>548</v>
      </c>
      <c r="D37" s="32">
        <v>45005</v>
      </c>
      <c r="E37" s="31" t="s">
        <v>97</v>
      </c>
      <c r="F37" s="31" t="s">
        <v>97</v>
      </c>
      <c r="G37" s="31"/>
      <c r="H37" s="31" t="s">
        <v>140</v>
      </c>
      <c r="I37" s="33" t="s">
        <v>549</v>
      </c>
      <c r="J37" s="31" t="s">
        <v>70</v>
      </c>
      <c r="K37" s="33"/>
      <c r="L37" s="33"/>
      <c r="M37" s="31"/>
      <c r="N37" s="31"/>
      <c r="O37" s="31"/>
      <c r="P37" s="31"/>
      <c r="Q37" s="31" t="s">
        <v>550</v>
      </c>
      <c r="R37" s="31" t="s">
        <v>551</v>
      </c>
      <c r="S37" s="31" t="s">
        <v>552</v>
      </c>
      <c r="T37" s="31" t="s">
        <v>553</v>
      </c>
      <c r="U37" s="31" t="s">
        <v>110</v>
      </c>
      <c r="V37" s="31" t="s">
        <v>85</v>
      </c>
      <c r="W37" s="31" t="s">
        <v>73</v>
      </c>
      <c r="X37" s="31" t="s">
        <v>86</v>
      </c>
      <c r="Y37" s="31" t="s">
        <v>75</v>
      </c>
      <c r="Z37" s="32">
        <v>45000</v>
      </c>
      <c r="AA37" s="32">
        <v>45000</v>
      </c>
      <c r="AB37" s="31" t="s">
        <v>76</v>
      </c>
      <c r="AC37" s="31"/>
      <c r="AD37" s="31"/>
      <c r="AE37" s="31"/>
      <c r="AF37" s="31"/>
      <c r="AG37" s="31"/>
      <c r="AH37" s="31"/>
      <c r="AI37" s="31"/>
      <c r="AJ37" s="33" t="str">
        <f t="shared" si="0"/>
        <v>39,11</v>
      </c>
      <c r="AK37" s="34"/>
      <c r="AL37" s="33">
        <f t="shared" si="1"/>
        <v>0</v>
      </c>
      <c r="AM37" s="34">
        <v>20358391</v>
      </c>
      <c r="AN37" s="34"/>
      <c r="AO37" s="34">
        <v>796000000</v>
      </c>
      <c r="AP37" s="31" t="s">
        <v>554</v>
      </c>
      <c r="AQ37" s="31" t="s">
        <v>140</v>
      </c>
      <c r="AR37" s="31"/>
      <c r="AS37" s="31"/>
      <c r="AT37" s="31"/>
      <c r="AU37" s="31"/>
      <c r="AV37" s="33"/>
      <c r="AW37" s="34"/>
      <c r="AX37" s="33">
        <v>52</v>
      </c>
      <c r="AY37" s="34"/>
      <c r="AZ37" s="34">
        <v>1025000000</v>
      </c>
      <c r="BA37" s="34">
        <f t="shared" si="2"/>
        <v>0</v>
      </c>
      <c r="BB37" s="31" t="s">
        <v>555</v>
      </c>
      <c r="BC37" s="31" t="s">
        <v>82</v>
      </c>
      <c r="BD37" s="31" t="s">
        <v>554</v>
      </c>
      <c r="BE37" s="31" t="s">
        <v>140</v>
      </c>
      <c r="BF37" s="31"/>
      <c r="BG37" s="31"/>
      <c r="BH37" s="31"/>
      <c r="BI37" s="31"/>
      <c r="BJ37" s="35"/>
      <c r="BK37" s="34"/>
      <c r="BL37" s="35">
        <v>52</v>
      </c>
      <c r="BM37" s="34"/>
      <c r="BN37" s="34">
        <v>1050000000</v>
      </c>
      <c r="BO37" s="34">
        <f t="shared" si="3"/>
        <v>0</v>
      </c>
      <c r="BP37" s="31" t="s">
        <v>556</v>
      </c>
      <c r="BQ37" s="31" t="s">
        <v>82</v>
      </c>
      <c r="BR37" s="31" t="s">
        <v>554</v>
      </c>
      <c r="BS37" s="31" t="s">
        <v>140</v>
      </c>
      <c r="BT37" s="31"/>
      <c r="BU37" s="31"/>
      <c r="BV37" s="31"/>
      <c r="BW37" s="31"/>
      <c r="BX37" s="35"/>
      <c r="BY37" s="34"/>
      <c r="BZ37" s="35">
        <v>49</v>
      </c>
      <c r="CA37" s="34"/>
      <c r="CB37" s="34">
        <v>1000000000</v>
      </c>
      <c r="CC37" s="34">
        <f t="shared" si="4"/>
        <v>0</v>
      </c>
      <c r="CD37" s="31" t="s">
        <v>557</v>
      </c>
      <c r="CE37" s="31" t="s">
        <v>82</v>
      </c>
      <c r="CF37" s="31" t="s">
        <v>325</v>
      </c>
      <c r="CG37" s="31"/>
      <c r="CH37" s="31"/>
    </row>
    <row r="38" spans="1:86" ht="150" x14ac:dyDescent="0.25">
      <c r="A38" s="30">
        <v>21.14</v>
      </c>
      <c r="B38" s="30" t="s">
        <v>558</v>
      </c>
      <c r="C38" s="30" t="s">
        <v>559</v>
      </c>
      <c r="D38" s="36">
        <v>45009</v>
      </c>
      <c r="E38" s="30" t="s">
        <v>92</v>
      </c>
      <c r="F38" s="30" t="s">
        <v>560</v>
      </c>
      <c r="G38" s="30"/>
      <c r="H38" s="30" t="s">
        <v>84</v>
      </c>
      <c r="I38" s="38">
        <v>477</v>
      </c>
      <c r="J38" s="30" t="s">
        <v>70</v>
      </c>
      <c r="K38" s="38">
        <v>404</v>
      </c>
      <c r="L38" s="38"/>
      <c r="M38" s="30"/>
      <c r="N38" s="30"/>
      <c r="O38" s="30"/>
      <c r="P38" s="30"/>
      <c r="Q38" s="30" t="s">
        <v>561</v>
      </c>
      <c r="R38" s="30" t="s">
        <v>562</v>
      </c>
      <c r="S38" s="30" t="s">
        <v>563</v>
      </c>
      <c r="T38" s="30" t="s">
        <v>564</v>
      </c>
      <c r="U38" s="30" t="s">
        <v>135</v>
      </c>
      <c r="V38" s="30" t="s">
        <v>95</v>
      </c>
      <c r="W38" s="30" t="s">
        <v>73</v>
      </c>
      <c r="X38" s="30" t="s">
        <v>86</v>
      </c>
      <c r="Y38" s="30" t="s">
        <v>75</v>
      </c>
      <c r="Z38" s="36">
        <v>45006</v>
      </c>
      <c r="AA38" s="36">
        <v>45006</v>
      </c>
      <c r="AB38" s="30" t="s">
        <v>76</v>
      </c>
      <c r="AC38" s="30"/>
      <c r="AD38" s="30"/>
      <c r="AE38" s="30"/>
      <c r="AF38" s="30"/>
      <c r="AG38" s="30"/>
      <c r="AH38" s="30"/>
      <c r="AI38" s="30"/>
      <c r="AJ38" s="33">
        <f t="shared" si="0"/>
        <v>477</v>
      </c>
      <c r="AK38" s="37">
        <v>11000000</v>
      </c>
      <c r="AL38" s="33">
        <f t="shared" si="1"/>
        <v>404</v>
      </c>
      <c r="AM38" s="37">
        <v>5135000</v>
      </c>
      <c r="AN38" s="37"/>
      <c r="AO38" s="37">
        <v>6886900000</v>
      </c>
      <c r="AP38" s="30" t="s">
        <v>565</v>
      </c>
      <c r="AQ38" s="30" t="s">
        <v>84</v>
      </c>
      <c r="AR38" s="30"/>
      <c r="AS38" s="30"/>
      <c r="AT38" s="30"/>
      <c r="AU38" s="30"/>
      <c r="AV38" s="38">
        <v>375</v>
      </c>
      <c r="AW38" s="37">
        <v>11006173</v>
      </c>
      <c r="AX38" s="38">
        <v>262</v>
      </c>
      <c r="AY38" s="37"/>
      <c r="AZ38" s="37">
        <v>5500000000</v>
      </c>
      <c r="BA38" s="34">
        <f t="shared" si="2"/>
        <v>4127314875</v>
      </c>
      <c r="BB38" s="30" t="s">
        <v>566</v>
      </c>
      <c r="BC38" s="30" t="s">
        <v>82</v>
      </c>
      <c r="BD38" s="30" t="s">
        <v>567</v>
      </c>
      <c r="BE38" s="30" t="s">
        <v>84</v>
      </c>
      <c r="BF38" s="30"/>
      <c r="BG38" s="30"/>
      <c r="BH38" s="30"/>
      <c r="BI38" s="30"/>
      <c r="BJ38" s="39">
        <v>480</v>
      </c>
      <c r="BK38" s="37">
        <v>11079662</v>
      </c>
      <c r="BL38" s="39">
        <v>399</v>
      </c>
      <c r="BM38" s="37"/>
      <c r="BN38" s="37">
        <v>7500000000</v>
      </c>
      <c r="BO38" s="34">
        <f t="shared" si="3"/>
        <v>5318237760</v>
      </c>
      <c r="BP38" s="30" t="s">
        <v>568</v>
      </c>
      <c r="BQ38" s="30" t="s">
        <v>82</v>
      </c>
      <c r="BR38" s="30" t="s">
        <v>569</v>
      </c>
      <c r="BS38" s="30" t="s">
        <v>84</v>
      </c>
      <c r="BT38" s="30"/>
      <c r="BU38" s="30"/>
      <c r="BV38" s="30"/>
      <c r="BW38" s="30"/>
      <c r="BX38" s="39">
        <v>390</v>
      </c>
      <c r="BY38" s="37">
        <v>11036090</v>
      </c>
      <c r="BZ38" s="39">
        <v>310</v>
      </c>
      <c r="CA38" s="37"/>
      <c r="CB38" s="37">
        <v>5800000000</v>
      </c>
      <c r="CC38" s="34">
        <f t="shared" si="4"/>
        <v>4304075100</v>
      </c>
      <c r="CD38" s="30" t="s">
        <v>570</v>
      </c>
      <c r="CE38" s="30" t="s">
        <v>82</v>
      </c>
      <c r="CF38" s="30" t="s">
        <v>416</v>
      </c>
      <c r="CG38" s="30"/>
      <c r="CH38" s="30"/>
    </row>
    <row r="39" spans="1:86" ht="165" x14ac:dyDescent="0.25">
      <c r="A39" s="30">
        <v>21.15</v>
      </c>
      <c r="B39" s="30" t="s">
        <v>571</v>
      </c>
      <c r="C39" s="30" t="s">
        <v>572</v>
      </c>
      <c r="D39" s="36">
        <v>45009</v>
      </c>
      <c r="E39" s="30" t="s">
        <v>97</v>
      </c>
      <c r="F39" s="30" t="s">
        <v>97</v>
      </c>
      <c r="G39" s="30"/>
      <c r="H39" s="30" t="s">
        <v>84</v>
      </c>
      <c r="I39" s="38">
        <v>120</v>
      </c>
      <c r="J39" s="30" t="s">
        <v>70</v>
      </c>
      <c r="K39" s="38">
        <v>90</v>
      </c>
      <c r="L39" s="38"/>
      <c r="M39" s="30"/>
      <c r="N39" s="30"/>
      <c r="O39" s="30"/>
      <c r="P39" s="30"/>
      <c r="Q39" s="30" t="s">
        <v>573</v>
      </c>
      <c r="R39" s="30" t="s">
        <v>574</v>
      </c>
      <c r="S39" s="30" t="s">
        <v>575</v>
      </c>
      <c r="T39" s="30" t="s">
        <v>576</v>
      </c>
      <c r="U39" s="30" t="s">
        <v>135</v>
      </c>
      <c r="V39" s="30" t="s">
        <v>95</v>
      </c>
      <c r="W39" s="30" t="s">
        <v>73</v>
      </c>
      <c r="X39" s="30" t="s">
        <v>86</v>
      </c>
      <c r="Y39" s="30" t="s">
        <v>75</v>
      </c>
      <c r="Z39" s="36">
        <v>45002</v>
      </c>
      <c r="AA39" s="36">
        <v>45002</v>
      </c>
      <c r="AB39" s="30" t="s">
        <v>76</v>
      </c>
      <c r="AC39" s="30"/>
      <c r="AD39" s="30"/>
      <c r="AE39" s="30"/>
      <c r="AF39" s="30"/>
      <c r="AG39" s="30"/>
      <c r="AH39" s="30"/>
      <c r="AI39" s="30"/>
      <c r="AJ39" s="33">
        <f t="shared" si="0"/>
        <v>120</v>
      </c>
      <c r="AK39" s="37">
        <v>6500000</v>
      </c>
      <c r="AL39" s="33">
        <f t="shared" si="1"/>
        <v>90</v>
      </c>
      <c r="AM39" s="37">
        <v>1250000</v>
      </c>
      <c r="AN39" s="37"/>
      <c r="AO39" s="37">
        <v>893000000</v>
      </c>
      <c r="AP39" s="30" t="s">
        <v>577</v>
      </c>
      <c r="AQ39" s="30" t="s">
        <v>84</v>
      </c>
      <c r="AR39" s="30"/>
      <c r="AS39" s="30"/>
      <c r="AT39" s="30"/>
      <c r="AU39" s="30"/>
      <c r="AV39" s="38">
        <v>120</v>
      </c>
      <c r="AW39" s="37">
        <v>6493500</v>
      </c>
      <c r="AX39" s="38">
        <v>240</v>
      </c>
      <c r="AY39" s="37"/>
      <c r="AZ39" s="37">
        <v>2500000000</v>
      </c>
      <c r="BA39" s="34">
        <f t="shared" si="2"/>
        <v>779220000</v>
      </c>
      <c r="BB39" s="30" t="s">
        <v>578</v>
      </c>
      <c r="BC39" s="30" t="s">
        <v>82</v>
      </c>
      <c r="BD39" s="30" t="s">
        <v>579</v>
      </c>
      <c r="BE39" s="30" t="s">
        <v>84</v>
      </c>
      <c r="BF39" s="30"/>
      <c r="BG39" s="30"/>
      <c r="BH39" s="30"/>
      <c r="BI39" s="30"/>
      <c r="BJ39" s="39">
        <v>89</v>
      </c>
      <c r="BK39" s="37">
        <v>6563423</v>
      </c>
      <c r="BL39" s="39">
        <v>160</v>
      </c>
      <c r="BM39" s="37"/>
      <c r="BN39" s="37">
        <v>1000000000</v>
      </c>
      <c r="BO39" s="34">
        <f t="shared" si="3"/>
        <v>584144647</v>
      </c>
      <c r="BP39" s="30" t="s">
        <v>580</v>
      </c>
      <c r="BQ39" s="30" t="s">
        <v>82</v>
      </c>
      <c r="BR39" s="30" t="s">
        <v>579</v>
      </c>
      <c r="BS39" s="30" t="s">
        <v>84</v>
      </c>
      <c r="BT39" s="30"/>
      <c r="BU39" s="30"/>
      <c r="BV39" s="30"/>
      <c r="BW39" s="30"/>
      <c r="BX39" s="39">
        <v>90</v>
      </c>
      <c r="BY39" s="37">
        <v>6603733</v>
      </c>
      <c r="BZ39" s="39">
        <v>110</v>
      </c>
      <c r="CA39" s="37"/>
      <c r="CB39" s="37">
        <v>850000000</v>
      </c>
      <c r="CC39" s="34">
        <f t="shared" si="4"/>
        <v>594335970</v>
      </c>
      <c r="CD39" s="30" t="s">
        <v>581</v>
      </c>
      <c r="CE39" s="30" t="s">
        <v>82</v>
      </c>
      <c r="CF39" s="30" t="s">
        <v>416</v>
      </c>
      <c r="CG39" s="30"/>
      <c r="CH39" s="30"/>
    </row>
    <row r="40" spans="1:86" ht="165" x14ac:dyDescent="0.25">
      <c r="A40" s="30">
        <v>21.16</v>
      </c>
      <c r="B40" s="30" t="s">
        <v>582</v>
      </c>
      <c r="C40" s="30" t="s">
        <v>583</v>
      </c>
      <c r="D40" s="36">
        <v>45015</v>
      </c>
      <c r="E40" s="30" t="s">
        <v>584</v>
      </c>
      <c r="F40" s="30" t="s">
        <v>585</v>
      </c>
      <c r="G40" s="30"/>
      <c r="H40" s="30" t="s">
        <v>84</v>
      </c>
      <c r="I40" s="38">
        <v>90</v>
      </c>
      <c r="J40" s="30" t="s">
        <v>70</v>
      </c>
      <c r="K40" s="38">
        <v>135</v>
      </c>
      <c r="L40" s="38"/>
      <c r="M40" s="30"/>
      <c r="N40" s="30"/>
      <c r="O40" s="30"/>
      <c r="P40" s="30"/>
      <c r="Q40" s="30" t="s">
        <v>586</v>
      </c>
      <c r="R40" s="30" t="s">
        <v>587</v>
      </c>
      <c r="S40" s="30" t="s">
        <v>588</v>
      </c>
      <c r="T40" s="30" t="s">
        <v>589</v>
      </c>
      <c r="U40" s="30" t="s">
        <v>590</v>
      </c>
      <c r="V40" s="30" t="s">
        <v>95</v>
      </c>
      <c r="W40" s="30" t="s">
        <v>73</v>
      </c>
      <c r="X40" s="30" t="s">
        <v>86</v>
      </c>
      <c r="Y40" s="30" t="s">
        <v>75</v>
      </c>
      <c r="Z40" s="36">
        <v>45013</v>
      </c>
      <c r="AA40" s="36">
        <v>45013</v>
      </c>
      <c r="AB40" s="30" t="s">
        <v>76</v>
      </c>
      <c r="AC40" s="30"/>
      <c r="AD40" s="30"/>
      <c r="AE40" s="30"/>
      <c r="AF40" s="30"/>
      <c r="AG40" s="30"/>
      <c r="AH40" s="30"/>
      <c r="AI40" s="30"/>
      <c r="AJ40" s="33">
        <f t="shared" si="0"/>
        <v>90</v>
      </c>
      <c r="AK40" s="37">
        <v>6400000</v>
      </c>
      <c r="AL40" s="33">
        <f t="shared" si="1"/>
        <v>135</v>
      </c>
      <c r="AM40" s="37">
        <v>3346667</v>
      </c>
      <c r="AN40" s="37"/>
      <c r="AO40" s="37">
        <v>1028000000</v>
      </c>
      <c r="AP40" s="30" t="s">
        <v>591</v>
      </c>
      <c r="AQ40" s="30" t="s">
        <v>84</v>
      </c>
      <c r="AR40" s="30"/>
      <c r="AS40" s="30"/>
      <c r="AT40" s="30"/>
      <c r="AU40" s="30"/>
      <c r="AV40" s="38">
        <v>148</v>
      </c>
      <c r="AW40" s="37">
        <v>6607667</v>
      </c>
      <c r="AX40" s="38">
        <v>36</v>
      </c>
      <c r="AY40" s="37"/>
      <c r="AZ40" s="37">
        <v>1300000000</v>
      </c>
      <c r="BA40" s="34">
        <f t="shared" si="2"/>
        <v>977934716</v>
      </c>
      <c r="BB40" s="30" t="s">
        <v>592</v>
      </c>
      <c r="BC40" s="30" t="s">
        <v>82</v>
      </c>
      <c r="BD40" s="30" t="s">
        <v>593</v>
      </c>
      <c r="BE40" s="30" t="s">
        <v>84</v>
      </c>
      <c r="BF40" s="30"/>
      <c r="BG40" s="30"/>
      <c r="BH40" s="30"/>
      <c r="BI40" s="30"/>
      <c r="BJ40" s="39">
        <v>200</v>
      </c>
      <c r="BK40" s="37">
        <v>6353588</v>
      </c>
      <c r="BL40" s="39">
        <v>350</v>
      </c>
      <c r="BM40" s="37"/>
      <c r="BN40" s="37">
        <v>3200000000</v>
      </c>
      <c r="BO40" s="34">
        <f t="shared" si="3"/>
        <v>1270717600</v>
      </c>
      <c r="BP40" s="30" t="s">
        <v>594</v>
      </c>
      <c r="BQ40" s="30" t="s">
        <v>82</v>
      </c>
      <c r="BR40" s="30" t="s">
        <v>595</v>
      </c>
      <c r="BS40" s="30" t="s">
        <v>84</v>
      </c>
      <c r="BT40" s="30"/>
      <c r="BU40" s="30"/>
      <c r="BV40" s="30"/>
      <c r="BW40" s="30"/>
      <c r="BX40" s="39">
        <v>150</v>
      </c>
      <c r="BY40" s="37">
        <v>6316033</v>
      </c>
      <c r="BZ40" s="39">
        <v>70</v>
      </c>
      <c r="CA40" s="37"/>
      <c r="CB40" s="37">
        <v>1300000000</v>
      </c>
      <c r="CC40" s="34">
        <f t="shared" si="4"/>
        <v>947404950</v>
      </c>
      <c r="CD40" s="30" t="s">
        <v>596</v>
      </c>
      <c r="CE40" s="30"/>
      <c r="CF40" s="30" t="s">
        <v>597</v>
      </c>
      <c r="CG40" s="30"/>
      <c r="CH40" s="30"/>
    </row>
    <row r="41" spans="1:86" ht="120" x14ac:dyDescent="0.25">
      <c r="A41" s="30">
        <v>21.17</v>
      </c>
      <c r="B41" s="30" t="s">
        <v>598</v>
      </c>
      <c r="C41" s="30" t="s">
        <v>599</v>
      </c>
      <c r="D41" s="36">
        <v>45019</v>
      </c>
      <c r="E41" s="30" t="s">
        <v>600</v>
      </c>
      <c r="F41" s="30" t="s">
        <v>600</v>
      </c>
      <c r="G41" s="30"/>
      <c r="H41" s="30" t="s">
        <v>78</v>
      </c>
      <c r="I41" s="38">
        <v>89181</v>
      </c>
      <c r="J41" s="30" t="s">
        <v>70</v>
      </c>
      <c r="K41" s="38"/>
      <c r="L41" s="38"/>
      <c r="M41" s="30"/>
      <c r="N41" s="30"/>
      <c r="O41" s="30"/>
      <c r="P41" s="30"/>
      <c r="Q41" s="30"/>
      <c r="R41" s="30" t="s">
        <v>601</v>
      </c>
      <c r="S41" s="30" t="s">
        <v>602</v>
      </c>
      <c r="T41" s="30" t="s">
        <v>603</v>
      </c>
      <c r="U41" s="30" t="s">
        <v>604</v>
      </c>
      <c r="V41" s="30" t="s">
        <v>605</v>
      </c>
      <c r="W41" s="30" t="s">
        <v>73</v>
      </c>
      <c r="X41" s="30" t="s">
        <v>146</v>
      </c>
      <c r="Y41" s="30" t="s">
        <v>75</v>
      </c>
      <c r="Z41" s="36">
        <v>45008</v>
      </c>
      <c r="AA41" s="36">
        <v>45009</v>
      </c>
      <c r="AB41" s="30" t="s">
        <v>91</v>
      </c>
      <c r="AC41" s="30"/>
      <c r="AD41" s="30"/>
      <c r="AE41" s="30"/>
      <c r="AF41" s="30"/>
      <c r="AG41" s="30"/>
      <c r="AH41" s="30"/>
      <c r="AI41" s="30"/>
      <c r="AJ41" s="33">
        <f t="shared" si="0"/>
        <v>89181</v>
      </c>
      <c r="AK41" s="37"/>
      <c r="AL41" s="33">
        <f t="shared" si="1"/>
        <v>0</v>
      </c>
      <c r="AM41" s="37"/>
      <c r="AN41" s="37"/>
      <c r="AO41" s="37">
        <v>8420000000</v>
      </c>
      <c r="AP41" s="30"/>
      <c r="AQ41" s="30"/>
      <c r="AR41" s="30"/>
      <c r="AS41" s="30"/>
      <c r="AT41" s="30"/>
      <c r="AU41" s="30"/>
      <c r="AV41" s="38"/>
      <c r="AW41" s="37"/>
      <c r="AX41" s="38"/>
      <c r="AY41" s="37"/>
      <c r="AZ41" s="37"/>
      <c r="BA41" s="34">
        <f t="shared" si="2"/>
        <v>0</v>
      </c>
      <c r="BB41" s="30"/>
      <c r="BC41" s="30"/>
      <c r="BD41" s="30"/>
      <c r="BE41" s="30"/>
      <c r="BF41" s="30"/>
      <c r="BG41" s="30"/>
      <c r="BH41" s="30"/>
      <c r="BI41" s="30"/>
      <c r="BJ41" s="39"/>
      <c r="BK41" s="37"/>
      <c r="BL41" s="39"/>
      <c r="BM41" s="37"/>
      <c r="BN41" s="37"/>
      <c r="BO41" s="34">
        <f t="shared" si="3"/>
        <v>0</v>
      </c>
      <c r="BP41" s="30"/>
      <c r="BQ41" s="30"/>
      <c r="BR41" s="30"/>
      <c r="BS41" s="30"/>
      <c r="BT41" s="30"/>
      <c r="BU41" s="30"/>
      <c r="BV41" s="30"/>
      <c r="BW41" s="30"/>
      <c r="BX41" s="39"/>
      <c r="BY41" s="37"/>
      <c r="BZ41" s="39"/>
      <c r="CA41" s="37"/>
      <c r="CB41" s="37"/>
      <c r="CC41" s="34">
        <f t="shared" si="4"/>
        <v>0</v>
      </c>
      <c r="CD41" s="30"/>
      <c r="CE41" s="30"/>
      <c r="CF41" s="30" t="s">
        <v>606</v>
      </c>
      <c r="CG41" s="30"/>
      <c r="CH41" s="30"/>
    </row>
    <row r="42" spans="1:86" ht="120" x14ac:dyDescent="0.25">
      <c r="A42" s="30">
        <v>21.18</v>
      </c>
      <c r="B42" s="30" t="s">
        <v>607</v>
      </c>
      <c r="C42" s="30" t="s">
        <v>608</v>
      </c>
      <c r="D42" s="36">
        <v>45022</v>
      </c>
      <c r="E42" s="30" t="s">
        <v>97</v>
      </c>
      <c r="F42" s="30" t="s">
        <v>97</v>
      </c>
      <c r="G42" s="30"/>
      <c r="H42" s="30" t="s">
        <v>107</v>
      </c>
      <c r="I42" s="38">
        <v>177</v>
      </c>
      <c r="J42" s="30" t="s">
        <v>70</v>
      </c>
      <c r="K42" s="38">
        <v>307</v>
      </c>
      <c r="L42" s="38"/>
      <c r="M42" s="30"/>
      <c r="N42" s="30"/>
      <c r="O42" s="30"/>
      <c r="P42" s="30"/>
      <c r="Q42" s="30"/>
      <c r="R42" s="30" t="s">
        <v>609</v>
      </c>
      <c r="S42" s="30" t="s">
        <v>610</v>
      </c>
      <c r="T42" s="30" t="s">
        <v>611</v>
      </c>
      <c r="U42" s="30" t="s">
        <v>135</v>
      </c>
      <c r="V42" s="30" t="s">
        <v>95</v>
      </c>
      <c r="W42" s="30" t="s">
        <v>73</v>
      </c>
      <c r="X42" s="30" t="s">
        <v>86</v>
      </c>
      <c r="Y42" s="30" t="s">
        <v>75</v>
      </c>
      <c r="Z42" s="36">
        <v>45014</v>
      </c>
      <c r="AA42" s="36">
        <v>45014</v>
      </c>
      <c r="AB42" s="30" t="s">
        <v>76</v>
      </c>
      <c r="AC42" s="30"/>
      <c r="AD42" s="30"/>
      <c r="AE42" s="30"/>
      <c r="AF42" s="30"/>
      <c r="AG42" s="30"/>
      <c r="AH42" s="30"/>
      <c r="AI42" s="30"/>
      <c r="AJ42" s="33">
        <f t="shared" si="0"/>
        <v>177</v>
      </c>
      <c r="AK42" s="37"/>
      <c r="AL42" s="33">
        <f t="shared" si="1"/>
        <v>307</v>
      </c>
      <c r="AM42" s="37">
        <v>9502381</v>
      </c>
      <c r="AN42" s="37"/>
      <c r="AO42" s="37">
        <v>2917000000</v>
      </c>
      <c r="AP42" s="30" t="s">
        <v>612</v>
      </c>
      <c r="AQ42" s="30" t="s">
        <v>107</v>
      </c>
      <c r="AR42" s="30"/>
      <c r="AS42" s="30"/>
      <c r="AT42" s="30"/>
      <c r="AU42" s="30"/>
      <c r="AV42" s="38">
        <v>85</v>
      </c>
      <c r="AW42" s="37">
        <v>10071942</v>
      </c>
      <c r="AX42" s="38">
        <v>209</v>
      </c>
      <c r="AY42" s="37"/>
      <c r="AZ42" s="37">
        <v>2400000000</v>
      </c>
      <c r="BA42" s="34">
        <f t="shared" si="2"/>
        <v>856115070</v>
      </c>
      <c r="BB42" s="30" t="s">
        <v>613</v>
      </c>
      <c r="BC42" s="30" t="s">
        <v>82</v>
      </c>
      <c r="BD42" s="30" t="s">
        <v>612</v>
      </c>
      <c r="BE42" s="30" t="s">
        <v>107</v>
      </c>
      <c r="BF42" s="30"/>
      <c r="BG42" s="30"/>
      <c r="BH42" s="30"/>
      <c r="BI42" s="30"/>
      <c r="BJ42" s="39" t="s">
        <v>614</v>
      </c>
      <c r="BK42" s="37">
        <v>10893246</v>
      </c>
      <c r="BL42" s="39" t="s">
        <v>615</v>
      </c>
      <c r="BM42" s="37"/>
      <c r="BN42" s="37">
        <v>3000000000</v>
      </c>
      <c r="BO42" s="34" t="e">
        <f t="shared" si="3"/>
        <v>#VALUE!</v>
      </c>
      <c r="BP42" s="30" t="s">
        <v>616</v>
      </c>
      <c r="BQ42" s="30" t="s">
        <v>82</v>
      </c>
      <c r="BR42" s="30" t="s">
        <v>612</v>
      </c>
      <c r="BS42" s="30" t="s">
        <v>107</v>
      </c>
      <c r="BT42" s="30"/>
      <c r="BU42" s="30"/>
      <c r="BV42" s="30"/>
      <c r="BW42" s="30"/>
      <c r="BX42" s="39">
        <v>300</v>
      </c>
      <c r="BY42" s="37">
        <v>10000000</v>
      </c>
      <c r="BZ42" s="39">
        <v>340</v>
      </c>
      <c r="CA42" s="37"/>
      <c r="CB42" s="37">
        <v>4100000000</v>
      </c>
      <c r="CC42" s="34">
        <f t="shared" si="4"/>
        <v>3000000000</v>
      </c>
      <c r="CD42" s="30" t="s">
        <v>617</v>
      </c>
      <c r="CE42" s="30" t="s">
        <v>82</v>
      </c>
      <c r="CF42" s="30" t="s">
        <v>606</v>
      </c>
      <c r="CG42" s="30"/>
      <c r="CH42" s="30"/>
    </row>
    <row r="43" spans="1:86" ht="120" x14ac:dyDescent="0.25">
      <c r="A43" s="30">
        <v>21.19</v>
      </c>
      <c r="B43" s="30" t="s">
        <v>607</v>
      </c>
      <c r="C43" s="30" t="s">
        <v>618</v>
      </c>
      <c r="D43" s="36">
        <v>45022</v>
      </c>
      <c r="E43" s="30" t="s">
        <v>97</v>
      </c>
      <c r="F43" s="30" t="s">
        <v>97</v>
      </c>
      <c r="G43" s="30"/>
      <c r="H43" s="30" t="s">
        <v>107</v>
      </c>
      <c r="I43" s="38">
        <v>177</v>
      </c>
      <c r="J43" s="30" t="s">
        <v>70</v>
      </c>
      <c r="K43" s="38">
        <v>313</v>
      </c>
      <c r="L43" s="38"/>
      <c r="M43" s="30"/>
      <c r="N43" s="30"/>
      <c r="O43" s="30"/>
      <c r="P43" s="30"/>
      <c r="Q43" s="30"/>
      <c r="R43" s="30" t="s">
        <v>619</v>
      </c>
      <c r="S43" s="30" t="s">
        <v>610</v>
      </c>
      <c r="T43" s="30" t="s">
        <v>611</v>
      </c>
      <c r="U43" s="30" t="s">
        <v>135</v>
      </c>
      <c r="V43" s="30" t="s">
        <v>95</v>
      </c>
      <c r="W43" s="30" t="s">
        <v>73</v>
      </c>
      <c r="X43" s="30" t="s">
        <v>86</v>
      </c>
      <c r="Y43" s="30" t="s">
        <v>75</v>
      </c>
      <c r="Z43" s="36">
        <v>45014</v>
      </c>
      <c r="AA43" s="36">
        <v>45014</v>
      </c>
      <c r="AB43" s="30" t="s">
        <v>76</v>
      </c>
      <c r="AC43" s="30"/>
      <c r="AD43" s="30"/>
      <c r="AE43" s="30"/>
      <c r="AF43" s="30"/>
      <c r="AG43" s="30"/>
      <c r="AH43" s="30"/>
      <c r="AI43" s="30"/>
      <c r="AJ43" s="33">
        <f t="shared" si="0"/>
        <v>177</v>
      </c>
      <c r="AK43" s="37"/>
      <c r="AL43" s="33">
        <f t="shared" si="1"/>
        <v>313</v>
      </c>
      <c r="AM43" s="37">
        <v>9530628</v>
      </c>
      <c r="AN43" s="37"/>
      <c r="AO43" s="37">
        <v>2917000000</v>
      </c>
      <c r="AP43" s="30" t="s">
        <v>612</v>
      </c>
      <c r="AQ43" s="30" t="s">
        <v>107</v>
      </c>
      <c r="AR43" s="30"/>
      <c r="AS43" s="30"/>
      <c r="AT43" s="30"/>
      <c r="AU43" s="30"/>
      <c r="AV43" s="38">
        <v>85</v>
      </c>
      <c r="AW43" s="37">
        <v>10071942</v>
      </c>
      <c r="AX43" s="38">
        <v>209</v>
      </c>
      <c r="AY43" s="37"/>
      <c r="AZ43" s="37">
        <v>2400000000</v>
      </c>
      <c r="BA43" s="34">
        <f t="shared" si="2"/>
        <v>856115070</v>
      </c>
      <c r="BB43" s="30" t="s">
        <v>613</v>
      </c>
      <c r="BC43" s="30" t="s">
        <v>82</v>
      </c>
      <c r="BD43" s="30" t="s">
        <v>612</v>
      </c>
      <c r="BE43" s="30" t="s">
        <v>107</v>
      </c>
      <c r="BF43" s="30"/>
      <c r="BG43" s="30"/>
      <c r="BH43" s="30"/>
      <c r="BI43" s="30"/>
      <c r="BJ43" s="39" t="s">
        <v>614</v>
      </c>
      <c r="BK43" s="37">
        <v>10893246</v>
      </c>
      <c r="BL43" s="39">
        <v>230</v>
      </c>
      <c r="BM43" s="37"/>
      <c r="BN43" s="37">
        <v>3000000000</v>
      </c>
      <c r="BO43" s="34" t="e">
        <f t="shared" si="3"/>
        <v>#VALUE!</v>
      </c>
      <c r="BP43" s="30" t="s">
        <v>616</v>
      </c>
      <c r="BQ43" s="30" t="s">
        <v>82</v>
      </c>
      <c r="BR43" s="30" t="s">
        <v>612</v>
      </c>
      <c r="BS43" s="30" t="s">
        <v>107</v>
      </c>
      <c r="BT43" s="30"/>
      <c r="BU43" s="30"/>
      <c r="BV43" s="30"/>
      <c r="BW43" s="30"/>
      <c r="BX43" s="39">
        <v>300</v>
      </c>
      <c r="BY43" s="37">
        <v>10000000</v>
      </c>
      <c r="BZ43" s="39">
        <v>340</v>
      </c>
      <c r="CA43" s="37"/>
      <c r="CB43" s="37">
        <v>4100000000</v>
      </c>
      <c r="CC43" s="34">
        <f t="shared" si="4"/>
        <v>3000000000</v>
      </c>
      <c r="CD43" s="30" t="s">
        <v>617</v>
      </c>
      <c r="CE43" s="30" t="s">
        <v>82</v>
      </c>
      <c r="CF43" s="30" t="s">
        <v>606</v>
      </c>
      <c r="CG43" s="30"/>
      <c r="CH43" s="30"/>
    </row>
    <row r="44" spans="1:86" ht="150" x14ac:dyDescent="0.25">
      <c r="A44" s="30">
        <v>21.2</v>
      </c>
      <c r="B44" s="30" t="s">
        <v>620</v>
      </c>
      <c r="C44" s="30" t="s">
        <v>621</v>
      </c>
      <c r="D44" s="36">
        <v>45029</v>
      </c>
      <c r="E44" s="30" t="s">
        <v>97</v>
      </c>
      <c r="F44" s="30" t="s">
        <v>97</v>
      </c>
      <c r="G44" s="30"/>
      <c r="H44" s="30" t="s">
        <v>107</v>
      </c>
      <c r="I44" s="38">
        <v>54</v>
      </c>
      <c r="J44" s="30" t="s">
        <v>70</v>
      </c>
      <c r="K44" s="38">
        <v>130</v>
      </c>
      <c r="L44" s="38"/>
      <c r="M44" s="30"/>
      <c r="N44" s="30"/>
      <c r="O44" s="30"/>
      <c r="P44" s="30"/>
      <c r="Q44" s="30" t="s">
        <v>622</v>
      </c>
      <c r="R44" s="30" t="s">
        <v>623</v>
      </c>
      <c r="S44" s="30" t="s">
        <v>624</v>
      </c>
      <c r="T44" s="30" t="s">
        <v>625</v>
      </c>
      <c r="U44" s="30" t="s">
        <v>135</v>
      </c>
      <c r="V44" s="30" t="s">
        <v>95</v>
      </c>
      <c r="W44" s="30" t="s">
        <v>73</v>
      </c>
      <c r="X44" s="30" t="s">
        <v>86</v>
      </c>
      <c r="Y44" s="30" t="s">
        <v>332</v>
      </c>
      <c r="Z44" s="36">
        <v>45026</v>
      </c>
      <c r="AA44" s="36">
        <v>45026</v>
      </c>
      <c r="AB44" s="30" t="s">
        <v>76</v>
      </c>
      <c r="AC44" s="30"/>
      <c r="AD44" s="30"/>
      <c r="AE44" s="30"/>
      <c r="AF44" s="30"/>
      <c r="AG44" s="30"/>
      <c r="AH44" s="30"/>
      <c r="AI44" s="30"/>
      <c r="AJ44" s="33">
        <f t="shared" si="0"/>
        <v>54</v>
      </c>
      <c r="AK44" s="37"/>
      <c r="AL44" s="33">
        <f t="shared" si="1"/>
        <v>130</v>
      </c>
      <c r="AM44" s="37">
        <v>10375119</v>
      </c>
      <c r="AN44" s="37"/>
      <c r="AO44" s="37">
        <v>1349000000</v>
      </c>
      <c r="AP44" s="30" t="s">
        <v>626</v>
      </c>
      <c r="AQ44" s="30" t="s">
        <v>107</v>
      </c>
      <c r="AR44" s="30"/>
      <c r="AS44" s="30"/>
      <c r="AT44" s="30"/>
      <c r="AU44" s="30"/>
      <c r="AV44" s="38">
        <v>54</v>
      </c>
      <c r="AW44" s="37">
        <v>10384615</v>
      </c>
      <c r="AX44" s="38">
        <v>130</v>
      </c>
      <c r="AY44" s="37"/>
      <c r="AZ44" s="37">
        <v>1650000000</v>
      </c>
      <c r="BA44" s="34">
        <f t="shared" si="2"/>
        <v>560769210</v>
      </c>
      <c r="BB44" s="30" t="s">
        <v>627</v>
      </c>
      <c r="BC44" s="30" t="s">
        <v>82</v>
      </c>
      <c r="BD44" s="30" t="s">
        <v>628</v>
      </c>
      <c r="BE44" s="30" t="s">
        <v>107</v>
      </c>
      <c r="BF44" s="30"/>
      <c r="BG44" s="30"/>
      <c r="BH44" s="30"/>
      <c r="BI44" s="30"/>
      <c r="BJ44" s="39">
        <v>54</v>
      </c>
      <c r="BK44" s="37">
        <v>10370370</v>
      </c>
      <c r="BL44" s="39">
        <v>135</v>
      </c>
      <c r="BM44" s="37"/>
      <c r="BN44" s="37">
        <v>1700000000</v>
      </c>
      <c r="BO44" s="34">
        <f t="shared" si="3"/>
        <v>559999980</v>
      </c>
      <c r="BP44" s="30" t="s">
        <v>629</v>
      </c>
      <c r="BQ44" s="30" t="s">
        <v>82</v>
      </c>
      <c r="BR44" s="30" t="s">
        <v>630</v>
      </c>
      <c r="BS44" s="30" t="s">
        <v>107</v>
      </c>
      <c r="BT44" s="30"/>
      <c r="BU44" s="30"/>
      <c r="BV44" s="30"/>
      <c r="BW44" s="30"/>
      <c r="BX44" s="39">
        <v>54</v>
      </c>
      <c r="BY44" s="37">
        <v>10370370</v>
      </c>
      <c r="BZ44" s="39">
        <v>135</v>
      </c>
      <c r="CA44" s="37"/>
      <c r="CB44" s="37">
        <v>1700000000</v>
      </c>
      <c r="CC44" s="34">
        <f t="shared" si="4"/>
        <v>559999980</v>
      </c>
      <c r="CD44" s="30" t="s">
        <v>631</v>
      </c>
      <c r="CE44" s="30" t="s">
        <v>82</v>
      </c>
      <c r="CF44" s="30" t="s">
        <v>521</v>
      </c>
      <c r="CG44" s="30"/>
      <c r="CH44" s="30"/>
    </row>
    <row r="45" spans="1:86" ht="150" x14ac:dyDescent="0.25">
      <c r="A45" s="30">
        <v>21.21</v>
      </c>
      <c r="B45" s="30" t="s">
        <v>632</v>
      </c>
      <c r="C45" s="30" t="s">
        <v>633</v>
      </c>
      <c r="D45" s="36">
        <v>45033</v>
      </c>
      <c r="E45" s="30" t="s">
        <v>92</v>
      </c>
      <c r="F45" s="30" t="s">
        <v>560</v>
      </c>
      <c r="G45" s="30"/>
      <c r="H45" s="30" t="s">
        <v>107</v>
      </c>
      <c r="I45" s="38">
        <v>104</v>
      </c>
      <c r="J45" s="30" t="s">
        <v>70</v>
      </c>
      <c r="K45" s="38">
        <v>96</v>
      </c>
      <c r="L45" s="38"/>
      <c r="M45" s="30"/>
      <c r="N45" s="30"/>
      <c r="O45" s="30"/>
      <c r="P45" s="30"/>
      <c r="Q45" s="30"/>
      <c r="R45" s="30" t="s">
        <v>634</v>
      </c>
      <c r="S45" s="30" t="s">
        <v>635</v>
      </c>
      <c r="T45" s="30" t="s">
        <v>636</v>
      </c>
      <c r="U45" s="30" t="s">
        <v>637</v>
      </c>
      <c r="V45" s="30" t="s">
        <v>85</v>
      </c>
      <c r="W45" s="30" t="s">
        <v>73</v>
      </c>
      <c r="X45" s="30" t="s">
        <v>638</v>
      </c>
      <c r="Y45" s="30" t="s">
        <v>75</v>
      </c>
      <c r="Z45" s="36">
        <v>45027</v>
      </c>
      <c r="AA45" s="36">
        <v>45027</v>
      </c>
      <c r="AB45" s="30" t="s">
        <v>91</v>
      </c>
      <c r="AC45" s="30"/>
      <c r="AD45" s="30"/>
      <c r="AE45" s="30"/>
      <c r="AF45" s="30"/>
      <c r="AG45" s="30"/>
      <c r="AH45" s="30"/>
      <c r="AI45" s="30"/>
      <c r="AJ45" s="33">
        <f t="shared" si="0"/>
        <v>104</v>
      </c>
      <c r="AK45" s="37">
        <v>13927172</v>
      </c>
      <c r="AL45" s="33">
        <f t="shared" si="1"/>
        <v>96</v>
      </c>
      <c r="AM45" s="37">
        <v>1724730</v>
      </c>
      <c r="AN45" s="37"/>
      <c r="AO45" s="37">
        <v>1614000000</v>
      </c>
      <c r="AP45" s="30" t="s">
        <v>639</v>
      </c>
      <c r="AQ45" s="30" t="s">
        <v>107</v>
      </c>
      <c r="AR45" s="30"/>
      <c r="AS45" s="30"/>
      <c r="AT45" s="30"/>
      <c r="AU45" s="30"/>
      <c r="AV45" s="38">
        <v>85</v>
      </c>
      <c r="AW45" s="37">
        <v>14745858</v>
      </c>
      <c r="AX45" s="38">
        <v>170</v>
      </c>
      <c r="AY45" s="37"/>
      <c r="AZ45" s="37">
        <v>3300000000</v>
      </c>
      <c r="BA45" s="34">
        <f t="shared" si="2"/>
        <v>1253397930</v>
      </c>
      <c r="BB45" s="30" t="s">
        <v>640</v>
      </c>
      <c r="BC45" s="30" t="s">
        <v>82</v>
      </c>
      <c r="BD45" s="30" t="s">
        <v>641</v>
      </c>
      <c r="BE45" s="30" t="s">
        <v>107</v>
      </c>
      <c r="BF45" s="30"/>
      <c r="BG45" s="30"/>
      <c r="BH45" s="30"/>
      <c r="BI45" s="30"/>
      <c r="BJ45" s="39">
        <v>68</v>
      </c>
      <c r="BK45" s="37">
        <v>37910397</v>
      </c>
      <c r="BL45" s="39">
        <v>169</v>
      </c>
      <c r="BM45" s="37"/>
      <c r="BN45" s="37">
        <v>3500000000</v>
      </c>
      <c r="BO45" s="34">
        <f t="shared" si="3"/>
        <v>2577906996</v>
      </c>
      <c r="BP45" s="30" t="s">
        <v>415</v>
      </c>
      <c r="BQ45" s="30" t="s">
        <v>82</v>
      </c>
      <c r="BR45" s="30" t="s">
        <v>642</v>
      </c>
      <c r="BS45" s="30" t="s">
        <v>107</v>
      </c>
      <c r="BT45" s="30"/>
      <c r="BU45" s="30"/>
      <c r="BV45" s="30"/>
      <c r="BW45" s="30"/>
      <c r="BX45" s="39">
        <v>112</v>
      </c>
      <c r="BY45" s="37">
        <v>28693397</v>
      </c>
      <c r="BZ45" s="39">
        <v>224</v>
      </c>
      <c r="CA45" s="37"/>
      <c r="CB45" s="37">
        <v>4200000000</v>
      </c>
      <c r="CC45" s="34">
        <f t="shared" si="4"/>
        <v>3213660464</v>
      </c>
      <c r="CD45" s="30" t="s">
        <v>643</v>
      </c>
      <c r="CE45" s="30" t="s">
        <v>82</v>
      </c>
      <c r="CF45" s="30" t="s">
        <v>644</v>
      </c>
      <c r="CG45" s="30"/>
      <c r="CH45" s="30"/>
    </row>
    <row r="46" spans="1:86" ht="150" x14ac:dyDescent="0.25">
      <c r="A46" s="30">
        <v>21.22</v>
      </c>
      <c r="B46" s="30" t="s">
        <v>632</v>
      </c>
      <c r="C46" s="30" t="s">
        <v>645</v>
      </c>
      <c r="D46" s="36">
        <v>45033</v>
      </c>
      <c r="E46" s="30" t="s">
        <v>92</v>
      </c>
      <c r="F46" s="30" t="s">
        <v>560</v>
      </c>
      <c r="G46" s="30"/>
      <c r="H46" s="30" t="s">
        <v>107</v>
      </c>
      <c r="I46" s="38">
        <v>125</v>
      </c>
      <c r="J46" s="30" t="s">
        <v>70</v>
      </c>
      <c r="K46" s="38">
        <v>120</v>
      </c>
      <c r="L46" s="38"/>
      <c r="M46" s="30"/>
      <c r="N46" s="30"/>
      <c r="O46" s="30"/>
      <c r="P46" s="30"/>
      <c r="Q46" s="30"/>
      <c r="R46" s="30" t="s">
        <v>634</v>
      </c>
      <c r="S46" s="30" t="s">
        <v>635</v>
      </c>
      <c r="T46" s="30" t="s">
        <v>636</v>
      </c>
      <c r="U46" s="30" t="s">
        <v>637</v>
      </c>
      <c r="V46" s="30" t="s">
        <v>85</v>
      </c>
      <c r="W46" s="30" t="s">
        <v>73</v>
      </c>
      <c r="X46" s="30" t="s">
        <v>638</v>
      </c>
      <c r="Y46" s="30" t="s">
        <v>75</v>
      </c>
      <c r="Z46" s="36">
        <v>45027</v>
      </c>
      <c r="AA46" s="36">
        <v>45027</v>
      </c>
      <c r="AB46" s="30" t="s">
        <v>91</v>
      </c>
      <c r="AC46" s="30"/>
      <c r="AD46" s="30"/>
      <c r="AE46" s="30"/>
      <c r="AF46" s="30"/>
      <c r="AG46" s="30"/>
      <c r="AH46" s="30"/>
      <c r="AI46" s="30"/>
      <c r="AJ46" s="33">
        <f t="shared" si="0"/>
        <v>125</v>
      </c>
      <c r="AK46" s="37">
        <v>14480259</v>
      </c>
      <c r="AL46" s="33">
        <f t="shared" si="1"/>
        <v>120</v>
      </c>
      <c r="AM46" s="37">
        <v>1724730</v>
      </c>
      <c r="AN46" s="37"/>
      <c r="AO46" s="37">
        <v>2017000000</v>
      </c>
      <c r="AP46" s="30" t="s">
        <v>639</v>
      </c>
      <c r="AQ46" s="30" t="s">
        <v>107</v>
      </c>
      <c r="AR46" s="30"/>
      <c r="AS46" s="30"/>
      <c r="AT46" s="30"/>
      <c r="AU46" s="30"/>
      <c r="AV46" s="38">
        <v>85</v>
      </c>
      <c r="AW46" s="37">
        <v>14745858</v>
      </c>
      <c r="AX46" s="38">
        <v>170</v>
      </c>
      <c r="AY46" s="37"/>
      <c r="AZ46" s="37">
        <v>3300000000</v>
      </c>
      <c r="BA46" s="34">
        <f t="shared" si="2"/>
        <v>1253397930</v>
      </c>
      <c r="BB46" s="30" t="s">
        <v>640</v>
      </c>
      <c r="BC46" s="30" t="s">
        <v>82</v>
      </c>
      <c r="BD46" s="30" t="s">
        <v>641</v>
      </c>
      <c r="BE46" s="30" t="s">
        <v>107</v>
      </c>
      <c r="BF46" s="30"/>
      <c r="BG46" s="30"/>
      <c r="BH46" s="30"/>
      <c r="BI46" s="30"/>
      <c r="BJ46" s="39">
        <v>68</v>
      </c>
      <c r="BK46" s="37">
        <v>37910397</v>
      </c>
      <c r="BL46" s="39">
        <v>169</v>
      </c>
      <c r="BM46" s="37"/>
      <c r="BN46" s="37">
        <v>3500000000</v>
      </c>
      <c r="BO46" s="34">
        <f t="shared" si="3"/>
        <v>2577906996</v>
      </c>
      <c r="BP46" s="30" t="s">
        <v>415</v>
      </c>
      <c r="BQ46" s="30" t="s">
        <v>82</v>
      </c>
      <c r="BR46" s="30" t="s">
        <v>642</v>
      </c>
      <c r="BS46" s="30" t="s">
        <v>107</v>
      </c>
      <c r="BT46" s="30"/>
      <c r="BU46" s="30"/>
      <c r="BV46" s="30"/>
      <c r="BW46" s="30"/>
      <c r="BX46" s="39">
        <v>112</v>
      </c>
      <c r="BY46" s="37">
        <v>28693397</v>
      </c>
      <c r="BZ46" s="39">
        <v>224</v>
      </c>
      <c r="CA46" s="37"/>
      <c r="CB46" s="37">
        <v>4200000000</v>
      </c>
      <c r="CC46" s="34">
        <f t="shared" si="4"/>
        <v>3213660464</v>
      </c>
      <c r="CD46" s="30" t="s">
        <v>643</v>
      </c>
      <c r="CE46" s="30" t="s">
        <v>82</v>
      </c>
      <c r="CF46" s="30" t="s">
        <v>644</v>
      </c>
      <c r="CG46" s="30"/>
      <c r="CH46" s="30"/>
    </row>
    <row r="47" spans="1:86" ht="135" x14ac:dyDescent="0.25">
      <c r="A47" s="30">
        <v>21.23</v>
      </c>
      <c r="B47" s="30" t="s">
        <v>632</v>
      </c>
      <c r="C47" s="30" t="s">
        <v>646</v>
      </c>
      <c r="D47" s="36">
        <v>45033</v>
      </c>
      <c r="E47" s="30" t="s">
        <v>92</v>
      </c>
      <c r="F47" s="30" t="s">
        <v>560</v>
      </c>
      <c r="G47" s="30"/>
      <c r="H47" s="30" t="s">
        <v>84</v>
      </c>
      <c r="I47" s="38">
        <v>745</v>
      </c>
      <c r="J47" s="30" t="s">
        <v>70</v>
      </c>
      <c r="K47" s="38" t="s">
        <v>647</v>
      </c>
      <c r="L47" s="38"/>
      <c r="M47" s="30"/>
      <c r="N47" s="30"/>
      <c r="O47" s="30"/>
      <c r="P47" s="30"/>
      <c r="Q47" s="30"/>
      <c r="R47" s="30" t="s">
        <v>648</v>
      </c>
      <c r="S47" s="30" t="s">
        <v>649</v>
      </c>
      <c r="T47" s="30" t="s">
        <v>636</v>
      </c>
      <c r="U47" s="30" t="s">
        <v>637</v>
      </c>
      <c r="V47" s="30" t="s">
        <v>85</v>
      </c>
      <c r="W47" s="30" t="s">
        <v>73</v>
      </c>
      <c r="X47" s="30" t="s">
        <v>638</v>
      </c>
      <c r="Y47" s="30" t="s">
        <v>75</v>
      </c>
      <c r="Z47" s="36">
        <v>45027</v>
      </c>
      <c r="AA47" s="36">
        <v>45027</v>
      </c>
      <c r="AB47" s="30" t="s">
        <v>91</v>
      </c>
      <c r="AC47" s="30"/>
      <c r="AD47" s="30"/>
      <c r="AE47" s="30"/>
      <c r="AF47" s="30"/>
      <c r="AG47" s="30"/>
      <c r="AH47" s="30"/>
      <c r="AI47" s="30"/>
      <c r="AJ47" s="33">
        <f t="shared" si="0"/>
        <v>745</v>
      </c>
      <c r="AK47" s="37">
        <v>12800000</v>
      </c>
      <c r="AL47" s="33" t="str">
        <f t="shared" si="1"/>
        <v>602,5</v>
      </c>
      <c r="AM47" s="37"/>
      <c r="AN47" s="37"/>
      <c r="AO47" s="37">
        <v>10495000000</v>
      </c>
      <c r="AP47" s="30" t="s">
        <v>650</v>
      </c>
      <c r="AQ47" s="30" t="s">
        <v>84</v>
      </c>
      <c r="AR47" s="30"/>
      <c r="AS47" s="30"/>
      <c r="AT47" s="30"/>
      <c r="AU47" s="30"/>
      <c r="AV47" s="38">
        <v>472</v>
      </c>
      <c r="AW47" s="37">
        <v>13853983</v>
      </c>
      <c r="AX47" s="38">
        <v>300</v>
      </c>
      <c r="AY47" s="37"/>
      <c r="AZ47" s="37">
        <v>9000000000</v>
      </c>
      <c r="BA47" s="34">
        <f t="shared" si="2"/>
        <v>6539079976</v>
      </c>
      <c r="BB47" s="30" t="s">
        <v>651</v>
      </c>
      <c r="BC47" s="30" t="s">
        <v>82</v>
      </c>
      <c r="BD47" s="30" t="s">
        <v>650</v>
      </c>
      <c r="BE47" s="30" t="s">
        <v>84</v>
      </c>
      <c r="BF47" s="30"/>
      <c r="BG47" s="30"/>
      <c r="BH47" s="30"/>
      <c r="BI47" s="30"/>
      <c r="BJ47" s="39">
        <v>700</v>
      </c>
      <c r="BK47" s="37">
        <v>13491429</v>
      </c>
      <c r="BL47" s="39">
        <v>400</v>
      </c>
      <c r="BM47" s="37"/>
      <c r="BN47" s="37">
        <v>14000000000</v>
      </c>
      <c r="BO47" s="34">
        <f t="shared" si="3"/>
        <v>9444000300</v>
      </c>
      <c r="BP47" s="30" t="s">
        <v>652</v>
      </c>
      <c r="BQ47" s="30" t="s">
        <v>82</v>
      </c>
      <c r="BR47" s="30" t="s">
        <v>650</v>
      </c>
      <c r="BS47" s="30" t="s">
        <v>78</v>
      </c>
      <c r="BT47" s="30"/>
      <c r="BU47" s="30"/>
      <c r="BV47" s="30"/>
      <c r="BW47" s="30"/>
      <c r="BX47" s="39">
        <v>750</v>
      </c>
      <c r="BY47" s="37">
        <v>13200000</v>
      </c>
      <c r="BZ47" s="39"/>
      <c r="CA47" s="37"/>
      <c r="CB47" s="37">
        <v>11250000000</v>
      </c>
      <c r="CC47" s="34">
        <f t="shared" si="4"/>
        <v>9900000000</v>
      </c>
      <c r="CD47" s="30" t="s">
        <v>653</v>
      </c>
      <c r="CE47" s="30" t="s">
        <v>137</v>
      </c>
      <c r="CF47" s="30" t="s">
        <v>644</v>
      </c>
      <c r="CG47" s="30"/>
      <c r="CH47" s="30"/>
    </row>
    <row r="48" spans="1:86" ht="135" x14ac:dyDescent="0.25">
      <c r="A48" s="30">
        <v>21.24</v>
      </c>
      <c r="B48" s="30" t="s">
        <v>654</v>
      </c>
      <c r="C48" s="30" t="s">
        <v>655</v>
      </c>
      <c r="D48" s="36">
        <v>45042</v>
      </c>
      <c r="E48" s="30" t="s">
        <v>97</v>
      </c>
      <c r="F48" s="30" t="s">
        <v>97</v>
      </c>
      <c r="G48" s="30"/>
      <c r="H48" s="30" t="s">
        <v>101</v>
      </c>
      <c r="I48" s="38">
        <v>2002</v>
      </c>
      <c r="J48" s="30" t="s">
        <v>70</v>
      </c>
      <c r="K48" s="38">
        <v>2382</v>
      </c>
      <c r="L48" s="38"/>
      <c r="M48" s="30"/>
      <c r="N48" s="30"/>
      <c r="O48" s="30"/>
      <c r="P48" s="30"/>
      <c r="Q48" s="30"/>
      <c r="R48" s="30" t="s">
        <v>656</v>
      </c>
      <c r="S48" s="30" t="s">
        <v>657</v>
      </c>
      <c r="T48" s="30" t="s">
        <v>658</v>
      </c>
      <c r="U48" s="30" t="s">
        <v>135</v>
      </c>
      <c r="V48" s="30" t="s">
        <v>95</v>
      </c>
      <c r="W48" s="30" t="s">
        <v>73</v>
      </c>
      <c r="X48" s="30" t="s">
        <v>86</v>
      </c>
      <c r="Y48" s="30" t="s">
        <v>75</v>
      </c>
      <c r="Z48" s="36">
        <v>45030</v>
      </c>
      <c r="AA48" s="36">
        <v>45030</v>
      </c>
      <c r="AB48" s="30" t="s">
        <v>76</v>
      </c>
      <c r="AC48" s="30"/>
      <c r="AD48" s="30"/>
      <c r="AE48" s="30"/>
      <c r="AF48" s="30"/>
      <c r="AG48" s="30"/>
      <c r="AH48" s="30"/>
      <c r="AI48" s="30"/>
      <c r="AJ48" s="33">
        <f t="shared" si="0"/>
        <v>2002</v>
      </c>
      <c r="AK48" s="37">
        <v>4500000</v>
      </c>
      <c r="AL48" s="33">
        <f t="shared" si="1"/>
        <v>2382</v>
      </c>
      <c r="AM48" s="37">
        <v>1560168</v>
      </c>
      <c r="AN48" s="37"/>
      <c r="AO48" s="37">
        <v>12695000000</v>
      </c>
      <c r="AP48" s="30" t="s">
        <v>659</v>
      </c>
      <c r="AQ48" s="30" t="s">
        <v>78</v>
      </c>
      <c r="AR48" s="30"/>
      <c r="AS48" s="30"/>
      <c r="AT48" s="30"/>
      <c r="AU48" s="30"/>
      <c r="AV48" s="38">
        <v>2010</v>
      </c>
      <c r="AW48" s="37">
        <v>4500000</v>
      </c>
      <c r="AX48" s="38"/>
      <c r="AY48" s="37"/>
      <c r="AZ48" s="37">
        <v>12060000000</v>
      </c>
      <c r="BA48" s="34">
        <f t="shared" si="2"/>
        <v>9045000000</v>
      </c>
      <c r="BB48" s="30" t="s">
        <v>660</v>
      </c>
      <c r="BC48" s="30" t="s">
        <v>82</v>
      </c>
      <c r="BD48" s="30" t="s">
        <v>661</v>
      </c>
      <c r="BE48" s="30" t="s">
        <v>101</v>
      </c>
      <c r="BF48" s="30"/>
      <c r="BG48" s="30"/>
      <c r="BH48" s="30"/>
      <c r="BI48" s="30"/>
      <c r="BJ48" s="39">
        <v>451</v>
      </c>
      <c r="BK48" s="37">
        <v>4800000</v>
      </c>
      <c r="BL48" s="39">
        <v>300</v>
      </c>
      <c r="BM48" s="37"/>
      <c r="BN48" s="37">
        <v>3500000000</v>
      </c>
      <c r="BO48" s="34">
        <f t="shared" si="3"/>
        <v>2164800000</v>
      </c>
      <c r="BP48" s="30" t="s">
        <v>662</v>
      </c>
      <c r="BQ48" s="30" t="s">
        <v>82</v>
      </c>
      <c r="BR48" s="30" t="s">
        <v>663</v>
      </c>
      <c r="BS48" s="30" t="s">
        <v>78</v>
      </c>
      <c r="BT48" s="30"/>
      <c r="BU48" s="30"/>
      <c r="BV48" s="30"/>
      <c r="BW48" s="30"/>
      <c r="BX48" s="39">
        <v>340</v>
      </c>
      <c r="BY48" s="37">
        <v>4850000</v>
      </c>
      <c r="BZ48" s="39"/>
      <c r="CA48" s="37"/>
      <c r="CB48" s="37">
        <v>1870000000</v>
      </c>
      <c r="CC48" s="34">
        <f t="shared" si="4"/>
        <v>1649000000</v>
      </c>
      <c r="CD48" s="30" t="s">
        <v>664</v>
      </c>
      <c r="CE48" s="30" t="s">
        <v>82</v>
      </c>
      <c r="CF48" s="30" t="s">
        <v>665</v>
      </c>
      <c r="CG48" s="30"/>
      <c r="CH48" s="30"/>
    </row>
    <row r="49" spans="1:86" ht="135" x14ac:dyDescent="0.25">
      <c r="A49" s="30">
        <v>21.25</v>
      </c>
      <c r="B49" s="30" t="s">
        <v>666</v>
      </c>
      <c r="C49" s="30" t="s">
        <v>667</v>
      </c>
      <c r="D49" s="36">
        <v>45042</v>
      </c>
      <c r="E49" s="30" t="s">
        <v>92</v>
      </c>
      <c r="F49" s="30" t="s">
        <v>560</v>
      </c>
      <c r="G49" s="30"/>
      <c r="H49" s="30" t="s">
        <v>78</v>
      </c>
      <c r="I49" s="38">
        <v>300</v>
      </c>
      <c r="J49" s="30" t="s">
        <v>70</v>
      </c>
      <c r="K49" s="38"/>
      <c r="L49" s="38"/>
      <c r="M49" s="30"/>
      <c r="N49" s="30"/>
      <c r="O49" s="30"/>
      <c r="P49" s="30"/>
      <c r="Q49" s="30"/>
      <c r="R49" s="30" t="s">
        <v>668</v>
      </c>
      <c r="S49" s="30" t="s">
        <v>669</v>
      </c>
      <c r="T49" s="30" t="s">
        <v>670</v>
      </c>
      <c r="U49" s="30" t="s">
        <v>135</v>
      </c>
      <c r="V49" s="30" t="s">
        <v>95</v>
      </c>
      <c r="W49" s="30" t="s">
        <v>73</v>
      </c>
      <c r="X49" s="30" t="s">
        <v>86</v>
      </c>
      <c r="Y49" s="30" t="s">
        <v>75</v>
      </c>
      <c r="Z49" s="36">
        <v>45033</v>
      </c>
      <c r="AA49" s="36">
        <v>45033</v>
      </c>
      <c r="AB49" s="30" t="s">
        <v>76</v>
      </c>
      <c r="AC49" s="30"/>
      <c r="AD49" s="30"/>
      <c r="AE49" s="30"/>
      <c r="AF49" s="30"/>
      <c r="AG49" s="30"/>
      <c r="AH49" s="30"/>
      <c r="AI49" s="30"/>
      <c r="AJ49" s="33">
        <f t="shared" si="0"/>
        <v>300</v>
      </c>
      <c r="AK49" s="37">
        <v>2600000</v>
      </c>
      <c r="AL49" s="33">
        <f t="shared" si="1"/>
        <v>0</v>
      </c>
      <c r="AM49" s="37"/>
      <c r="AN49" s="37"/>
      <c r="AO49" s="37">
        <v>780000000</v>
      </c>
      <c r="AP49" s="30" t="s">
        <v>671</v>
      </c>
      <c r="AQ49" s="30" t="s">
        <v>87</v>
      </c>
      <c r="AR49" s="30"/>
      <c r="AS49" s="30"/>
      <c r="AT49" s="30"/>
      <c r="AU49" s="30"/>
      <c r="AV49" s="38">
        <v>450</v>
      </c>
      <c r="AW49" s="37">
        <v>2838867</v>
      </c>
      <c r="AX49" s="38">
        <v>450</v>
      </c>
      <c r="AY49" s="37"/>
      <c r="AZ49" s="37">
        <v>2800000000</v>
      </c>
      <c r="BA49" s="34">
        <f t="shared" si="2"/>
        <v>1277490150</v>
      </c>
      <c r="BB49" s="30" t="s">
        <v>672</v>
      </c>
      <c r="BC49" s="30" t="s">
        <v>82</v>
      </c>
      <c r="BD49" s="30" t="s">
        <v>673</v>
      </c>
      <c r="BE49" s="30" t="s">
        <v>87</v>
      </c>
      <c r="BF49" s="30"/>
      <c r="BG49" s="30"/>
      <c r="BH49" s="30"/>
      <c r="BI49" s="30"/>
      <c r="BJ49" s="39">
        <v>1000</v>
      </c>
      <c r="BK49" s="65">
        <v>2794083</v>
      </c>
      <c r="BL49" s="39">
        <v>700</v>
      </c>
      <c r="BM49" s="37"/>
      <c r="BN49" s="37">
        <v>6000000000</v>
      </c>
      <c r="BO49" s="34">
        <f t="shared" si="3"/>
        <v>2794083000</v>
      </c>
      <c r="BP49" s="30" t="s">
        <v>674</v>
      </c>
      <c r="BQ49" s="30" t="s">
        <v>82</v>
      </c>
      <c r="BR49" s="30" t="s">
        <v>675</v>
      </c>
      <c r="BS49" s="30" t="s">
        <v>87</v>
      </c>
      <c r="BT49" s="30"/>
      <c r="BU49" s="30"/>
      <c r="BV49" s="30"/>
      <c r="BW49" s="30"/>
      <c r="BX49" s="39">
        <v>3400</v>
      </c>
      <c r="BY49" s="37">
        <v>2594471</v>
      </c>
      <c r="BZ49" s="39">
        <v>800</v>
      </c>
      <c r="CA49" s="37"/>
      <c r="CB49" s="37">
        <v>13000000000</v>
      </c>
      <c r="CC49" s="34">
        <f t="shared" si="4"/>
        <v>8821201400</v>
      </c>
      <c r="CD49" s="30" t="s">
        <v>676</v>
      </c>
      <c r="CE49" s="30" t="s">
        <v>82</v>
      </c>
      <c r="CF49" s="30" t="s">
        <v>521</v>
      </c>
      <c r="CG49" s="30"/>
      <c r="CH49" s="30"/>
    </row>
    <row r="50" spans="1:86" ht="135" x14ac:dyDescent="0.25">
      <c r="A50" s="30">
        <v>21.26</v>
      </c>
      <c r="B50" s="30" t="s">
        <v>677</v>
      </c>
      <c r="C50" s="30" t="s">
        <v>678</v>
      </c>
      <c r="D50" s="36">
        <v>45043</v>
      </c>
      <c r="E50" s="30" t="s">
        <v>679</v>
      </c>
      <c r="F50" s="30" t="s">
        <v>680</v>
      </c>
      <c r="G50" s="30"/>
      <c r="H50" s="30" t="s">
        <v>101</v>
      </c>
      <c r="I50" s="38">
        <v>6450</v>
      </c>
      <c r="J50" s="30" t="s">
        <v>70</v>
      </c>
      <c r="K50" s="38">
        <v>2682</v>
      </c>
      <c r="L50" s="38"/>
      <c r="M50" s="30"/>
      <c r="N50" s="30"/>
      <c r="O50" s="30"/>
      <c r="P50" s="30"/>
      <c r="Q50" s="30"/>
      <c r="R50" s="30" t="s">
        <v>681</v>
      </c>
      <c r="S50" s="30" t="s">
        <v>682</v>
      </c>
      <c r="T50" s="30" t="s">
        <v>683</v>
      </c>
      <c r="U50" s="30" t="s">
        <v>114</v>
      </c>
      <c r="V50" s="30" t="s">
        <v>95</v>
      </c>
      <c r="W50" s="30" t="s">
        <v>73</v>
      </c>
      <c r="X50" s="30" t="s">
        <v>86</v>
      </c>
      <c r="Y50" s="30" t="s">
        <v>75</v>
      </c>
      <c r="Z50" s="36">
        <v>45034</v>
      </c>
      <c r="AA50" s="36">
        <v>45034</v>
      </c>
      <c r="AB50" s="30" t="s">
        <v>91</v>
      </c>
      <c r="AC50" s="30"/>
      <c r="AD50" s="30"/>
      <c r="AE50" s="30"/>
      <c r="AF50" s="30"/>
      <c r="AG50" s="30"/>
      <c r="AH50" s="30"/>
      <c r="AI50" s="30"/>
      <c r="AJ50" s="33">
        <f t="shared" si="0"/>
        <v>6450</v>
      </c>
      <c r="AK50" s="37">
        <v>4400000</v>
      </c>
      <c r="AL50" s="33">
        <f t="shared" si="1"/>
        <v>2682</v>
      </c>
      <c r="AM50" s="37"/>
      <c r="AN50" s="37"/>
      <c r="AO50" s="37">
        <v>38894000000</v>
      </c>
      <c r="AP50" s="30" t="s">
        <v>684</v>
      </c>
      <c r="AQ50" s="30" t="s">
        <v>685</v>
      </c>
      <c r="AR50" s="30"/>
      <c r="AS50" s="30"/>
      <c r="AT50" s="30"/>
      <c r="AU50" s="30"/>
      <c r="AV50" s="38">
        <v>2000</v>
      </c>
      <c r="AW50" s="37">
        <v>4964300</v>
      </c>
      <c r="AX50" s="38">
        <v>1500</v>
      </c>
      <c r="AY50" s="37"/>
      <c r="AZ50" s="37">
        <v>13000000000</v>
      </c>
      <c r="BA50" s="34">
        <f t="shared" si="2"/>
        <v>9928600000</v>
      </c>
      <c r="BB50" s="30" t="s">
        <v>686</v>
      </c>
      <c r="BC50" s="30" t="s">
        <v>82</v>
      </c>
      <c r="BD50" s="30" t="s">
        <v>687</v>
      </c>
      <c r="BE50" s="30" t="s">
        <v>87</v>
      </c>
      <c r="BF50" s="30"/>
      <c r="BG50" s="30"/>
      <c r="BH50" s="30"/>
      <c r="BI50" s="30"/>
      <c r="BJ50" s="39">
        <v>6691</v>
      </c>
      <c r="BK50" s="37">
        <v>4493312</v>
      </c>
      <c r="BL50" s="39">
        <v>2889</v>
      </c>
      <c r="BM50" s="37"/>
      <c r="BN50" s="37">
        <v>40000000000</v>
      </c>
      <c r="BO50" s="34">
        <f t="shared" si="3"/>
        <v>30064750592</v>
      </c>
      <c r="BP50" s="30" t="s">
        <v>688</v>
      </c>
      <c r="BQ50" s="30" t="s">
        <v>82</v>
      </c>
      <c r="BR50" s="30" t="s">
        <v>689</v>
      </c>
      <c r="BS50" s="30" t="s">
        <v>101</v>
      </c>
      <c r="BT50" s="30"/>
      <c r="BU50" s="30"/>
      <c r="BV50" s="30"/>
      <c r="BW50" s="30"/>
      <c r="BX50" s="39">
        <v>3735</v>
      </c>
      <c r="BY50" s="37">
        <v>4642918</v>
      </c>
      <c r="BZ50" s="39">
        <v>1000</v>
      </c>
      <c r="CA50" s="37"/>
      <c r="CB50" s="37">
        <v>22000000000</v>
      </c>
      <c r="CC50" s="34">
        <f t="shared" si="4"/>
        <v>17341298730</v>
      </c>
      <c r="CD50" s="30" t="s">
        <v>690</v>
      </c>
      <c r="CE50" s="30" t="s">
        <v>82</v>
      </c>
      <c r="CF50" s="30" t="s">
        <v>416</v>
      </c>
      <c r="CG50" s="30"/>
      <c r="CH50" s="30"/>
    </row>
    <row r="51" spans="1:86" ht="150" x14ac:dyDescent="0.25">
      <c r="A51" s="40">
        <v>21.27</v>
      </c>
      <c r="B51" s="30" t="s">
        <v>691</v>
      </c>
      <c r="C51" s="30" t="s">
        <v>692</v>
      </c>
      <c r="D51" s="36">
        <v>45051</v>
      </c>
      <c r="E51" s="30" t="s">
        <v>693</v>
      </c>
      <c r="F51" s="30" t="s">
        <v>694</v>
      </c>
      <c r="G51" s="30"/>
      <c r="H51" s="30" t="s">
        <v>103</v>
      </c>
      <c r="I51" s="38">
        <v>727</v>
      </c>
      <c r="J51" s="30" t="s">
        <v>70</v>
      </c>
      <c r="K51" s="38">
        <v>1551</v>
      </c>
      <c r="L51" s="38"/>
      <c r="M51" s="30"/>
      <c r="N51" s="30"/>
      <c r="O51" s="30"/>
      <c r="P51" s="30"/>
      <c r="Q51" s="30"/>
      <c r="R51" s="30" t="s">
        <v>695</v>
      </c>
      <c r="S51" s="30" t="s">
        <v>136</v>
      </c>
      <c r="T51" s="30" t="s">
        <v>696</v>
      </c>
      <c r="U51" s="30" t="s">
        <v>108</v>
      </c>
      <c r="V51" s="30" t="s">
        <v>85</v>
      </c>
      <c r="W51" s="30" t="s">
        <v>73</v>
      </c>
      <c r="X51" s="30" t="s">
        <v>86</v>
      </c>
      <c r="Y51" s="30" t="s">
        <v>75</v>
      </c>
      <c r="Z51" s="36">
        <v>45044</v>
      </c>
      <c r="AA51" s="36">
        <v>45044</v>
      </c>
      <c r="AB51" s="30" t="s">
        <v>91</v>
      </c>
      <c r="AC51" s="30"/>
      <c r="AD51" s="30"/>
      <c r="AE51" s="30"/>
      <c r="AF51" s="30"/>
      <c r="AG51" s="30"/>
      <c r="AH51" s="30"/>
      <c r="AI51" s="30"/>
      <c r="AJ51" s="33">
        <f t="shared" si="0"/>
        <v>727</v>
      </c>
      <c r="AK51" s="37">
        <v>76000000</v>
      </c>
      <c r="AL51" s="33">
        <f t="shared" si="1"/>
        <v>1551</v>
      </c>
      <c r="AM51" s="37"/>
      <c r="AN51" s="37"/>
      <c r="AO51" s="37">
        <v>58494000000</v>
      </c>
      <c r="AP51" s="30" t="s">
        <v>697</v>
      </c>
      <c r="AQ51" s="30" t="s">
        <v>78</v>
      </c>
      <c r="AR51" s="30"/>
      <c r="AS51" s="30"/>
      <c r="AT51" s="30"/>
      <c r="AU51" s="30"/>
      <c r="AV51" s="38">
        <v>425</v>
      </c>
      <c r="AW51" s="37">
        <v>81500000</v>
      </c>
      <c r="AX51" s="38"/>
      <c r="AY51" s="37"/>
      <c r="AZ51" s="37">
        <v>42000000000</v>
      </c>
      <c r="BA51" s="34">
        <f t="shared" si="2"/>
        <v>34637500000</v>
      </c>
      <c r="BB51" s="30" t="s">
        <v>698</v>
      </c>
      <c r="BC51" s="30" t="s">
        <v>82</v>
      </c>
      <c r="BD51" s="30" t="s">
        <v>699</v>
      </c>
      <c r="BE51" s="30" t="s">
        <v>101</v>
      </c>
      <c r="BF51" s="30"/>
      <c r="BG51" s="30"/>
      <c r="BH51" s="30"/>
      <c r="BI51" s="30"/>
      <c r="BJ51" s="39">
        <v>514</v>
      </c>
      <c r="BK51" s="37">
        <v>79442262</v>
      </c>
      <c r="BL51" s="39">
        <v>359</v>
      </c>
      <c r="BM51" s="37"/>
      <c r="BN51" s="37">
        <v>60000000000</v>
      </c>
      <c r="BO51" s="34">
        <f t="shared" si="3"/>
        <v>40833322668</v>
      </c>
      <c r="BP51" s="30" t="s">
        <v>700</v>
      </c>
      <c r="BQ51" s="30" t="s">
        <v>82</v>
      </c>
      <c r="BR51" s="30" t="s">
        <v>701</v>
      </c>
      <c r="BS51" s="30" t="s">
        <v>103</v>
      </c>
      <c r="BT51" s="30"/>
      <c r="BU51" s="30"/>
      <c r="BV51" s="30"/>
      <c r="BW51" s="30"/>
      <c r="BX51" s="39">
        <v>427</v>
      </c>
      <c r="BY51" s="37">
        <v>80822116</v>
      </c>
      <c r="BZ51" s="39">
        <v>1600</v>
      </c>
      <c r="CA51" s="37"/>
      <c r="CB51" s="37">
        <v>54000000000</v>
      </c>
      <c r="CC51" s="34">
        <f t="shared" si="4"/>
        <v>34511043532</v>
      </c>
      <c r="CD51" s="30" t="s">
        <v>702</v>
      </c>
      <c r="CE51" s="30" t="s">
        <v>82</v>
      </c>
      <c r="CF51" s="30" t="s">
        <v>703</v>
      </c>
      <c r="CG51" s="30"/>
      <c r="CH51" s="30"/>
    </row>
    <row r="52" spans="1:86" ht="120" x14ac:dyDescent="0.25">
      <c r="A52" s="30">
        <v>21.28</v>
      </c>
      <c r="B52" s="30" t="s">
        <v>704</v>
      </c>
      <c r="C52" s="30" t="s">
        <v>705</v>
      </c>
      <c r="D52" s="36">
        <v>45055</v>
      </c>
      <c r="E52" s="30" t="s">
        <v>97</v>
      </c>
      <c r="F52" s="30" t="s">
        <v>97</v>
      </c>
      <c r="G52" s="30"/>
      <c r="H52" s="30" t="s">
        <v>84</v>
      </c>
      <c r="I52" s="38">
        <v>105</v>
      </c>
      <c r="J52" s="30" t="s">
        <v>70</v>
      </c>
      <c r="K52" s="38">
        <v>60</v>
      </c>
      <c r="L52" s="38"/>
      <c r="M52" s="30"/>
      <c r="N52" s="30"/>
      <c r="O52" s="30"/>
      <c r="P52" s="30"/>
      <c r="Q52" s="30" t="s">
        <v>706</v>
      </c>
      <c r="R52" s="30" t="s">
        <v>707</v>
      </c>
      <c r="S52" s="30" t="s">
        <v>708</v>
      </c>
      <c r="T52" s="30" t="s">
        <v>709</v>
      </c>
      <c r="U52" s="30" t="s">
        <v>590</v>
      </c>
      <c r="V52" s="30" t="s">
        <v>95</v>
      </c>
      <c r="W52" s="30" t="s">
        <v>73</v>
      </c>
      <c r="X52" s="30" t="s">
        <v>86</v>
      </c>
      <c r="Y52" s="30" t="s">
        <v>75</v>
      </c>
      <c r="Z52" s="36">
        <v>45051</v>
      </c>
      <c r="AA52" s="36">
        <v>45051</v>
      </c>
      <c r="AB52" s="30" t="s">
        <v>76</v>
      </c>
      <c r="AC52" s="30"/>
      <c r="AD52" s="30"/>
      <c r="AE52" s="30"/>
      <c r="AF52" s="30"/>
      <c r="AG52" s="30"/>
      <c r="AH52" s="30"/>
      <c r="AI52" s="30"/>
      <c r="AJ52" s="33">
        <f t="shared" si="0"/>
        <v>105</v>
      </c>
      <c r="AK52" s="37">
        <v>6500000</v>
      </c>
      <c r="AL52" s="33">
        <f t="shared" si="1"/>
        <v>60</v>
      </c>
      <c r="AM52" s="37">
        <v>2185000</v>
      </c>
      <c r="AN52" s="37"/>
      <c r="AO52" s="37">
        <v>780000000</v>
      </c>
      <c r="AP52" s="30" t="s">
        <v>710</v>
      </c>
      <c r="AQ52" s="30" t="s">
        <v>84</v>
      </c>
      <c r="AR52" s="30"/>
      <c r="AS52" s="30"/>
      <c r="AT52" s="30"/>
      <c r="AU52" s="30"/>
      <c r="AV52" s="38">
        <v>145</v>
      </c>
      <c r="AW52" s="37">
        <v>6510709</v>
      </c>
      <c r="AX52" s="38">
        <v>65</v>
      </c>
      <c r="AY52" s="37"/>
      <c r="AZ52" s="37">
        <v>1300000000</v>
      </c>
      <c r="BA52" s="34">
        <f t="shared" si="2"/>
        <v>944052805</v>
      </c>
      <c r="BB52" s="30" t="s">
        <v>711</v>
      </c>
      <c r="BC52" s="30" t="s">
        <v>82</v>
      </c>
      <c r="BD52" s="30" t="s">
        <v>712</v>
      </c>
      <c r="BE52" s="30" t="s">
        <v>84</v>
      </c>
      <c r="BF52" s="30"/>
      <c r="BG52" s="30"/>
      <c r="BH52" s="30"/>
      <c r="BI52" s="30"/>
      <c r="BJ52" s="39">
        <v>96</v>
      </c>
      <c r="BK52" s="37">
        <v>606193</v>
      </c>
      <c r="BL52" s="39">
        <v>192</v>
      </c>
      <c r="BM52" s="37"/>
      <c r="BN52" s="37">
        <v>1300000000</v>
      </c>
      <c r="BO52" s="34">
        <f t="shared" si="3"/>
        <v>58194528</v>
      </c>
      <c r="BP52" s="30" t="s">
        <v>713</v>
      </c>
      <c r="BQ52" s="30" t="s">
        <v>82</v>
      </c>
      <c r="BR52" s="30" t="s">
        <v>714</v>
      </c>
      <c r="BS52" s="30" t="s">
        <v>84</v>
      </c>
      <c r="BT52" s="30"/>
      <c r="BU52" s="30"/>
      <c r="BV52" s="30"/>
      <c r="BW52" s="30"/>
      <c r="BX52" s="39">
        <v>87</v>
      </c>
      <c r="BY52" s="37">
        <v>6517830</v>
      </c>
      <c r="BZ52" s="39">
        <v>98</v>
      </c>
      <c r="CA52" s="37"/>
      <c r="CB52" s="37">
        <v>1170000000</v>
      </c>
      <c r="CC52" s="34">
        <f t="shared" si="4"/>
        <v>567051210</v>
      </c>
      <c r="CD52" s="30" t="s">
        <v>715</v>
      </c>
      <c r="CE52" s="30" t="s">
        <v>82</v>
      </c>
      <c r="CF52" s="30" t="s">
        <v>644</v>
      </c>
      <c r="CG52" s="30"/>
      <c r="CH52" s="30"/>
    </row>
    <row r="53" spans="1:86" ht="135" x14ac:dyDescent="0.25">
      <c r="A53" s="30">
        <v>21.29</v>
      </c>
      <c r="B53" s="30" t="s">
        <v>716</v>
      </c>
      <c r="C53" s="30" t="s">
        <v>717</v>
      </c>
      <c r="D53" s="36">
        <v>45058</v>
      </c>
      <c r="E53" s="30" t="s">
        <v>92</v>
      </c>
      <c r="F53" s="30" t="s">
        <v>560</v>
      </c>
      <c r="G53" s="30"/>
      <c r="H53" s="30" t="s">
        <v>718</v>
      </c>
      <c r="I53" s="38">
        <v>284</v>
      </c>
      <c r="J53" s="30" t="s">
        <v>70</v>
      </c>
      <c r="K53" s="38">
        <v>1332</v>
      </c>
      <c r="L53" s="38"/>
      <c r="M53" s="30"/>
      <c r="N53" s="30"/>
      <c r="O53" s="30"/>
      <c r="P53" s="30"/>
      <c r="Q53" s="30"/>
      <c r="R53" s="30" t="s">
        <v>719</v>
      </c>
      <c r="S53" s="30" t="s">
        <v>720</v>
      </c>
      <c r="T53" s="30" t="s">
        <v>721</v>
      </c>
      <c r="U53" s="30" t="s">
        <v>110</v>
      </c>
      <c r="V53" s="30" t="s">
        <v>85</v>
      </c>
      <c r="W53" s="30" t="s">
        <v>73</v>
      </c>
      <c r="X53" s="30" t="s">
        <v>86</v>
      </c>
      <c r="Y53" s="30" t="s">
        <v>75</v>
      </c>
      <c r="Z53" s="36">
        <v>45055</v>
      </c>
      <c r="AA53" s="36">
        <v>45055</v>
      </c>
      <c r="AB53" s="30" t="s">
        <v>76</v>
      </c>
      <c r="AC53" s="30"/>
      <c r="AD53" s="30"/>
      <c r="AE53" s="30"/>
      <c r="AF53" s="30"/>
      <c r="AG53" s="30"/>
      <c r="AH53" s="30"/>
      <c r="AI53" s="30"/>
      <c r="AJ53" s="33">
        <f t="shared" si="0"/>
        <v>284</v>
      </c>
      <c r="AK53" s="37">
        <v>86328134</v>
      </c>
      <c r="AL53" s="33">
        <f t="shared" si="1"/>
        <v>1332</v>
      </c>
      <c r="AM53" s="37">
        <v>2255113</v>
      </c>
      <c r="AN53" s="37"/>
      <c r="AO53" s="37">
        <v>27521000000</v>
      </c>
      <c r="AP53" s="30" t="s">
        <v>722</v>
      </c>
      <c r="AQ53" s="30" t="s">
        <v>124</v>
      </c>
      <c r="AR53" s="30"/>
      <c r="AS53" s="30"/>
      <c r="AT53" s="30"/>
      <c r="AU53" s="30"/>
      <c r="AV53" s="38">
        <v>75</v>
      </c>
      <c r="AW53" s="37"/>
      <c r="AX53" s="38">
        <v>225</v>
      </c>
      <c r="AY53" s="37"/>
      <c r="AZ53" s="37">
        <v>6500000000</v>
      </c>
      <c r="BA53" s="34">
        <f t="shared" si="2"/>
        <v>0</v>
      </c>
      <c r="BB53" s="30" t="s">
        <v>723</v>
      </c>
      <c r="BC53" s="30" t="s">
        <v>82</v>
      </c>
      <c r="BD53" s="30" t="s">
        <v>724</v>
      </c>
      <c r="BE53" s="30" t="s">
        <v>718</v>
      </c>
      <c r="BF53" s="30"/>
      <c r="BG53" s="30"/>
      <c r="BH53" s="30"/>
      <c r="BI53" s="30"/>
      <c r="BJ53" s="39" t="s">
        <v>109</v>
      </c>
      <c r="BK53" s="37"/>
      <c r="BL53" s="39" t="s">
        <v>725</v>
      </c>
      <c r="BM53" s="37"/>
      <c r="BN53" s="37">
        <v>23000000000</v>
      </c>
      <c r="BO53" s="34" t="e">
        <f t="shared" si="3"/>
        <v>#VALUE!</v>
      </c>
      <c r="BP53" s="30" t="s">
        <v>726</v>
      </c>
      <c r="BQ53" s="30" t="s">
        <v>82</v>
      </c>
      <c r="BR53" s="30" t="s">
        <v>727</v>
      </c>
      <c r="BS53" s="30" t="s">
        <v>124</v>
      </c>
      <c r="BT53" s="30"/>
      <c r="BU53" s="30"/>
      <c r="BV53" s="30"/>
      <c r="BW53" s="30"/>
      <c r="BX53" s="39">
        <v>75</v>
      </c>
      <c r="BY53" s="37"/>
      <c r="BZ53" s="39">
        <v>225</v>
      </c>
      <c r="CA53" s="37"/>
      <c r="CB53" s="37">
        <v>7500000000</v>
      </c>
      <c r="CC53" s="34">
        <f t="shared" si="4"/>
        <v>0</v>
      </c>
      <c r="CD53" s="30" t="s">
        <v>728</v>
      </c>
      <c r="CE53" s="30" t="s">
        <v>82</v>
      </c>
      <c r="CF53" s="30" t="s">
        <v>644</v>
      </c>
      <c r="CG53" s="30"/>
      <c r="CH53" s="30"/>
    </row>
    <row r="54" spans="1:86" ht="120" x14ac:dyDescent="0.25">
      <c r="A54" s="30">
        <v>21.3</v>
      </c>
      <c r="B54" s="30" t="s">
        <v>729</v>
      </c>
      <c r="C54" s="30" t="s">
        <v>730</v>
      </c>
      <c r="D54" s="36">
        <v>45068</v>
      </c>
      <c r="E54" s="30" t="s">
        <v>731</v>
      </c>
      <c r="F54" s="30" t="s">
        <v>680</v>
      </c>
      <c r="G54" s="30"/>
      <c r="H54" s="30" t="s">
        <v>93</v>
      </c>
      <c r="I54" s="38">
        <v>29935</v>
      </c>
      <c r="J54" s="30" t="s">
        <v>70</v>
      </c>
      <c r="K54" s="38">
        <v>11659</v>
      </c>
      <c r="L54" s="38"/>
      <c r="M54" s="30"/>
      <c r="N54" s="30"/>
      <c r="O54" s="30"/>
      <c r="P54" s="30"/>
      <c r="Q54" s="30"/>
      <c r="R54" s="30" t="s">
        <v>732</v>
      </c>
      <c r="S54" s="30" t="s">
        <v>733</v>
      </c>
      <c r="T54" s="30" t="s">
        <v>734</v>
      </c>
      <c r="U54" s="30" t="s">
        <v>135</v>
      </c>
      <c r="V54" s="30" t="s">
        <v>95</v>
      </c>
      <c r="W54" s="30" t="s">
        <v>73</v>
      </c>
      <c r="X54" s="30" t="s">
        <v>86</v>
      </c>
      <c r="Y54" s="30" t="s">
        <v>75</v>
      </c>
      <c r="Z54" s="36">
        <v>45055</v>
      </c>
      <c r="AA54" s="36">
        <v>45055</v>
      </c>
      <c r="AB54" s="30" t="s">
        <v>91</v>
      </c>
      <c r="AC54" s="30"/>
      <c r="AD54" s="30"/>
      <c r="AE54" s="30"/>
      <c r="AF54" s="30"/>
      <c r="AG54" s="30"/>
      <c r="AH54" s="30"/>
      <c r="AI54" s="30"/>
      <c r="AJ54" s="33">
        <f t="shared" si="0"/>
        <v>29935</v>
      </c>
      <c r="AK54" s="37">
        <v>3400000</v>
      </c>
      <c r="AL54" s="33">
        <f t="shared" si="1"/>
        <v>11659</v>
      </c>
      <c r="AM54" s="37"/>
      <c r="AN54" s="37"/>
      <c r="AO54" s="37">
        <v>120747000000</v>
      </c>
      <c r="AP54" s="30" t="s">
        <v>735</v>
      </c>
      <c r="AQ54" s="30" t="s">
        <v>87</v>
      </c>
      <c r="AR54" s="30"/>
      <c r="AS54" s="30"/>
      <c r="AT54" s="30"/>
      <c r="AU54" s="30"/>
      <c r="AV54" s="38">
        <v>30541</v>
      </c>
      <c r="AW54" s="37">
        <v>3757778</v>
      </c>
      <c r="AX54" s="38">
        <v>17125</v>
      </c>
      <c r="AY54" s="37"/>
      <c r="AZ54" s="37">
        <v>165000000000</v>
      </c>
      <c r="BA54" s="34">
        <f t="shared" si="2"/>
        <v>114766297898</v>
      </c>
      <c r="BB54" s="30" t="s">
        <v>736</v>
      </c>
      <c r="BC54" s="30" t="s">
        <v>82</v>
      </c>
      <c r="BD54" s="30" t="s">
        <v>735</v>
      </c>
      <c r="BE54" s="30" t="s">
        <v>87</v>
      </c>
      <c r="BF54" s="30"/>
      <c r="BG54" s="30"/>
      <c r="BH54" s="30"/>
      <c r="BI54" s="30"/>
      <c r="BJ54" s="39">
        <v>17000</v>
      </c>
      <c r="BK54" s="37">
        <v>3809706</v>
      </c>
      <c r="BL54" s="39">
        <v>10000</v>
      </c>
      <c r="BM54" s="37"/>
      <c r="BN54" s="37">
        <v>93500000000</v>
      </c>
      <c r="BO54" s="34">
        <f t="shared" si="3"/>
        <v>64765002000</v>
      </c>
      <c r="BP54" s="30" t="s">
        <v>737</v>
      </c>
      <c r="BQ54" s="30" t="s">
        <v>82</v>
      </c>
      <c r="BR54" s="30" t="s">
        <v>738</v>
      </c>
      <c r="BS54" s="30" t="s">
        <v>78</v>
      </c>
      <c r="BT54" s="30"/>
      <c r="BU54" s="30"/>
      <c r="BV54" s="30"/>
      <c r="BW54" s="30"/>
      <c r="BX54" s="39">
        <v>43288</v>
      </c>
      <c r="BY54" s="37">
        <v>3580669</v>
      </c>
      <c r="BZ54" s="39"/>
      <c r="CA54" s="37"/>
      <c r="CB54" s="37">
        <v>216440000000</v>
      </c>
      <c r="CC54" s="34">
        <f t="shared" si="4"/>
        <v>154999999672</v>
      </c>
      <c r="CD54" s="30" t="s">
        <v>739</v>
      </c>
      <c r="CE54" s="30" t="s">
        <v>82</v>
      </c>
      <c r="CF54" s="30" t="s">
        <v>740</v>
      </c>
      <c r="CG54" s="30"/>
      <c r="CH54" s="30"/>
    </row>
    <row r="55" spans="1:86" ht="225" x14ac:dyDescent="0.25">
      <c r="A55" s="30">
        <v>21.31</v>
      </c>
      <c r="B55" s="50" t="s">
        <v>741</v>
      </c>
      <c r="C55" s="50" t="s">
        <v>742</v>
      </c>
      <c r="D55" s="52">
        <v>45076</v>
      </c>
      <c r="E55" s="50" t="s">
        <v>743</v>
      </c>
      <c r="F55" s="50" t="s">
        <v>743</v>
      </c>
      <c r="G55" s="50"/>
      <c r="H55" s="50" t="s">
        <v>84</v>
      </c>
      <c r="I55" s="51">
        <v>150</v>
      </c>
      <c r="J55" s="50" t="s">
        <v>70</v>
      </c>
      <c r="K55" s="51">
        <v>193</v>
      </c>
      <c r="L55" s="51"/>
      <c r="M55" s="50"/>
      <c r="N55" s="50"/>
      <c r="O55" s="50"/>
      <c r="P55" s="50"/>
      <c r="Q55" s="50" t="s">
        <v>744</v>
      </c>
      <c r="R55" s="50" t="s">
        <v>745</v>
      </c>
      <c r="S55" s="50" t="s">
        <v>746</v>
      </c>
      <c r="T55" s="50" t="s">
        <v>747</v>
      </c>
      <c r="U55" s="50" t="s">
        <v>135</v>
      </c>
      <c r="V55" s="50" t="s">
        <v>95</v>
      </c>
      <c r="W55" s="50" t="s">
        <v>73</v>
      </c>
      <c r="X55" s="50" t="s">
        <v>86</v>
      </c>
      <c r="Y55" s="50" t="s">
        <v>75</v>
      </c>
      <c r="Z55" s="52">
        <v>45070</v>
      </c>
      <c r="AA55" s="52">
        <v>45070</v>
      </c>
      <c r="AB55" s="50" t="s">
        <v>91</v>
      </c>
      <c r="AC55" s="50"/>
      <c r="AD55" s="50"/>
      <c r="AE55" s="50"/>
      <c r="AF55" s="50"/>
      <c r="AG55" s="50"/>
      <c r="AH55" s="50"/>
      <c r="AI55" s="50"/>
      <c r="AJ55" s="33">
        <f t="shared" si="0"/>
        <v>150</v>
      </c>
      <c r="AK55" s="53">
        <v>5300000</v>
      </c>
      <c r="AL55" s="33">
        <f t="shared" si="1"/>
        <v>193</v>
      </c>
      <c r="AM55" s="53"/>
      <c r="AN55" s="53" t="s">
        <v>748</v>
      </c>
      <c r="AO55" s="53">
        <v>1115500000</v>
      </c>
      <c r="AP55" s="50" t="s">
        <v>749</v>
      </c>
      <c r="AQ55" s="50" t="s">
        <v>84</v>
      </c>
      <c r="AR55" s="50"/>
      <c r="AS55" s="50"/>
      <c r="AT55" s="50"/>
      <c r="AU55" s="50"/>
      <c r="AV55" s="51">
        <v>153</v>
      </c>
      <c r="AW55" s="53">
        <v>5193039</v>
      </c>
      <c r="AX55" s="51">
        <v>100</v>
      </c>
      <c r="AY55" s="53"/>
      <c r="AZ55" s="53">
        <v>1350000000</v>
      </c>
      <c r="BA55" s="34">
        <f t="shared" si="2"/>
        <v>794534967</v>
      </c>
      <c r="BB55" s="50" t="s">
        <v>750</v>
      </c>
      <c r="BC55" s="50" t="s">
        <v>82</v>
      </c>
      <c r="BD55" s="50" t="s">
        <v>751</v>
      </c>
      <c r="BE55" s="50" t="s">
        <v>84</v>
      </c>
      <c r="BF55" s="50"/>
      <c r="BG55" s="50"/>
      <c r="BH55" s="50"/>
      <c r="BI55" s="50"/>
      <c r="BJ55" s="54">
        <v>230</v>
      </c>
      <c r="BK55" s="53">
        <v>4621196</v>
      </c>
      <c r="BL55" s="54">
        <v>50</v>
      </c>
      <c r="BM55" s="53"/>
      <c r="BN55" s="53">
        <v>1400000000</v>
      </c>
      <c r="BO55" s="34">
        <f t="shared" si="3"/>
        <v>1062875080</v>
      </c>
      <c r="BP55" s="50" t="s">
        <v>752</v>
      </c>
      <c r="BQ55" s="50" t="s">
        <v>82</v>
      </c>
      <c r="BR55" s="50" t="s">
        <v>753</v>
      </c>
      <c r="BS55" s="50" t="s">
        <v>84</v>
      </c>
      <c r="BT55" s="50"/>
      <c r="BU55" s="50"/>
      <c r="BV55" s="50"/>
      <c r="BW55" s="50"/>
      <c r="BX55" s="54">
        <v>96</v>
      </c>
      <c r="BY55" s="53">
        <v>5682100</v>
      </c>
      <c r="BZ55" s="54">
        <v>136</v>
      </c>
      <c r="CA55" s="53"/>
      <c r="CB55" s="53">
        <v>1200000000</v>
      </c>
      <c r="CC55" s="34">
        <f t="shared" si="4"/>
        <v>545481600</v>
      </c>
      <c r="CD55" s="50" t="s">
        <v>754</v>
      </c>
      <c r="CE55" s="50" t="s">
        <v>82</v>
      </c>
      <c r="CF55" s="50" t="s">
        <v>644</v>
      </c>
      <c r="CG55" s="50"/>
      <c r="CH55" s="50"/>
    </row>
    <row r="56" spans="1:86" ht="225" x14ac:dyDescent="0.25">
      <c r="A56" s="30">
        <v>21.32</v>
      </c>
      <c r="B56" s="30" t="s">
        <v>741</v>
      </c>
      <c r="C56" s="30" t="s">
        <v>742</v>
      </c>
      <c r="D56" s="36">
        <v>45076</v>
      </c>
      <c r="E56" s="30" t="s">
        <v>743</v>
      </c>
      <c r="F56" s="30" t="s">
        <v>743</v>
      </c>
      <c r="G56" s="30"/>
      <c r="H56" s="30" t="s">
        <v>84</v>
      </c>
      <c r="I56" s="38">
        <v>1291</v>
      </c>
      <c r="J56" s="30" t="s">
        <v>70</v>
      </c>
      <c r="K56" s="38">
        <v>620</v>
      </c>
      <c r="L56" s="38"/>
      <c r="M56" s="30"/>
      <c r="N56" s="30"/>
      <c r="O56" s="30"/>
      <c r="P56" s="30"/>
      <c r="Q56" s="30"/>
      <c r="R56" s="30" t="s">
        <v>755</v>
      </c>
      <c r="S56" s="30" t="s">
        <v>746</v>
      </c>
      <c r="T56" s="30" t="s">
        <v>747</v>
      </c>
      <c r="U56" s="30" t="s">
        <v>135</v>
      </c>
      <c r="V56" s="30" t="s">
        <v>95</v>
      </c>
      <c r="W56" s="30" t="s">
        <v>73</v>
      </c>
      <c r="X56" s="30" t="s">
        <v>86</v>
      </c>
      <c r="Y56" s="30" t="s">
        <v>75</v>
      </c>
      <c r="Z56" s="36">
        <v>45070</v>
      </c>
      <c r="AA56" s="36">
        <v>45070</v>
      </c>
      <c r="AB56" s="30" t="s">
        <v>91</v>
      </c>
      <c r="AC56" s="30"/>
      <c r="AD56" s="30"/>
      <c r="AE56" s="30"/>
      <c r="AF56" s="30"/>
      <c r="AG56" s="30"/>
      <c r="AH56" s="30"/>
      <c r="AI56" s="30"/>
      <c r="AJ56" s="33">
        <f t="shared" si="0"/>
        <v>1291</v>
      </c>
      <c r="AK56" s="37">
        <v>3800000</v>
      </c>
      <c r="AL56" s="33">
        <f t="shared" si="1"/>
        <v>620</v>
      </c>
      <c r="AM56" s="37"/>
      <c r="AN56" s="37"/>
      <c r="AO56" s="37">
        <v>5949585000</v>
      </c>
      <c r="AP56" s="30" t="s">
        <v>749</v>
      </c>
      <c r="AQ56" s="30" t="s">
        <v>84</v>
      </c>
      <c r="AR56" s="30"/>
      <c r="AS56" s="30"/>
      <c r="AT56" s="30"/>
      <c r="AU56" s="30"/>
      <c r="AV56" s="38">
        <v>153</v>
      </c>
      <c r="AW56" s="37">
        <v>5193039</v>
      </c>
      <c r="AX56" s="38">
        <v>100</v>
      </c>
      <c r="AY56" s="37"/>
      <c r="AZ56" s="37">
        <v>1350000000</v>
      </c>
      <c r="BA56" s="34">
        <f t="shared" si="2"/>
        <v>794534967</v>
      </c>
      <c r="BB56" s="30" t="s">
        <v>750</v>
      </c>
      <c r="BC56" s="30" t="s">
        <v>82</v>
      </c>
      <c r="BD56" s="30" t="s">
        <v>751</v>
      </c>
      <c r="BE56" s="30" t="s">
        <v>84</v>
      </c>
      <c r="BF56" s="30"/>
      <c r="BG56" s="30"/>
      <c r="BH56" s="30"/>
      <c r="BI56" s="30"/>
      <c r="BJ56" s="39">
        <v>230</v>
      </c>
      <c r="BK56" s="37">
        <v>4621196</v>
      </c>
      <c r="BL56" s="39">
        <v>50</v>
      </c>
      <c r="BM56" s="37"/>
      <c r="BN56" s="37">
        <v>1400000000</v>
      </c>
      <c r="BO56" s="34">
        <f t="shared" si="3"/>
        <v>1062875080</v>
      </c>
      <c r="BP56" s="30" t="s">
        <v>752</v>
      </c>
      <c r="BQ56" s="30" t="s">
        <v>82</v>
      </c>
      <c r="BR56" s="30" t="s">
        <v>753</v>
      </c>
      <c r="BS56" s="30" t="s">
        <v>84</v>
      </c>
      <c r="BT56" s="30"/>
      <c r="BU56" s="30"/>
      <c r="BV56" s="30"/>
      <c r="BW56" s="30"/>
      <c r="BX56" s="39">
        <v>96</v>
      </c>
      <c r="BY56" s="37">
        <v>5682100</v>
      </c>
      <c r="BZ56" s="39">
        <v>136</v>
      </c>
      <c r="CA56" s="37"/>
      <c r="CB56" s="37">
        <v>1200000000</v>
      </c>
      <c r="CC56" s="34">
        <f t="shared" si="4"/>
        <v>545481600</v>
      </c>
      <c r="CD56" s="30" t="s">
        <v>754</v>
      </c>
      <c r="CE56" s="30" t="s">
        <v>82</v>
      </c>
      <c r="CF56" s="30" t="s">
        <v>644</v>
      </c>
      <c r="CG56" s="30"/>
      <c r="CH56" s="30"/>
    </row>
    <row r="57" spans="1:86" ht="180" x14ac:dyDescent="0.25">
      <c r="A57" s="30">
        <v>22</v>
      </c>
      <c r="B57" s="30" t="s">
        <v>741</v>
      </c>
      <c r="C57" s="30" t="s">
        <v>742</v>
      </c>
      <c r="D57" s="36">
        <v>45076</v>
      </c>
      <c r="E57" s="30" t="s">
        <v>743</v>
      </c>
      <c r="F57" s="30" t="s">
        <v>743</v>
      </c>
      <c r="G57" s="30"/>
      <c r="H57" s="30" t="s">
        <v>84</v>
      </c>
      <c r="I57" s="38">
        <v>135</v>
      </c>
      <c r="J57" s="30" t="s">
        <v>70</v>
      </c>
      <c r="K57" s="38">
        <v>207</v>
      </c>
      <c r="L57" s="38"/>
      <c r="M57" s="30"/>
      <c r="N57" s="30"/>
      <c r="O57" s="30"/>
      <c r="P57" s="30"/>
      <c r="Q57" s="30" t="s">
        <v>756</v>
      </c>
      <c r="R57" s="30" t="s">
        <v>757</v>
      </c>
      <c r="S57" s="30" t="s">
        <v>746</v>
      </c>
      <c r="T57" s="30" t="s">
        <v>747</v>
      </c>
      <c r="U57" s="30" t="s">
        <v>135</v>
      </c>
      <c r="V57" s="30" t="s">
        <v>95</v>
      </c>
      <c r="W57" s="30" t="s">
        <v>73</v>
      </c>
      <c r="X57" s="30" t="s">
        <v>86</v>
      </c>
      <c r="Y57" s="30" t="s">
        <v>75</v>
      </c>
      <c r="Z57" s="36">
        <v>45070</v>
      </c>
      <c r="AA57" s="36">
        <v>45070</v>
      </c>
      <c r="AB57" s="30" t="s">
        <v>91</v>
      </c>
      <c r="AC57" s="30"/>
      <c r="AD57" s="30"/>
      <c r="AE57" s="30"/>
      <c r="AF57" s="30"/>
      <c r="AG57" s="30"/>
      <c r="AH57" s="30"/>
      <c r="AI57" s="30"/>
      <c r="AJ57" s="33">
        <f t="shared" si="0"/>
        <v>135</v>
      </c>
      <c r="AK57" s="37">
        <v>6000000</v>
      </c>
      <c r="AL57" s="33">
        <f t="shared" si="1"/>
        <v>207</v>
      </c>
      <c r="AM57" s="37"/>
      <c r="AN57" s="37"/>
      <c r="AO57" s="37">
        <v>1520000000</v>
      </c>
      <c r="AP57" s="30" t="s">
        <v>758</v>
      </c>
      <c r="AQ57" s="30" t="s">
        <v>84</v>
      </c>
      <c r="AR57" s="30"/>
      <c r="AS57" s="30"/>
      <c r="AT57" s="30"/>
      <c r="AU57" s="30"/>
      <c r="AV57" s="38">
        <v>270</v>
      </c>
      <c r="AW57" s="37">
        <v>5539848</v>
      </c>
      <c r="AX57" s="38">
        <v>316</v>
      </c>
      <c r="AY57" s="37"/>
      <c r="AZ57" s="37">
        <v>3200000000</v>
      </c>
      <c r="BA57" s="34">
        <f t="shared" si="2"/>
        <v>1495758960</v>
      </c>
      <c r="BB57" s="30" t="s">
        <v>759</v>
      </c>
      <c r="BC57" s="30" t="s">
        <v>82</v>
      </c>
      <c r="BD57" s="30" t="s">
        <v>760</v>
      </c>
      <c r="BE57" s="30" t="s">
        <v>84</v>
      </c>
      <c r="BF57" s="30"/>
      <c r="BG57" s="30"/>
      <c r="BH57" s="30"/>
      <c r="BI57" s="30"/>
      <c r="BJ57" s="39">
        <v>135</v>
      </c>
      <c r="BK57" s="37">
        <v>6047970</v>
      </c>
      <c r="BL57" s="39">
        <v>182</v>
      </c>
      <c r="BM57" s="37"/>
      <c r="BN57" s="37">
        <v>1500000000</v>
      </c>
      <c r="BO57" s="34">
        <f t="shared" si="3"/>
        <v>816475950</v>
      </c>
      <c r="BP57" s="30" t="s">
        <v>761</v>
      </c>
      <c r="BQ57" s="30" t="s">
        <v>82</v>
      </c>
      <c r="BR57" s="30" t="s">
        <v>762</v>
      </c>
      <c r="BS57" s="30" t="s">
        <v>84</v>
      </c>
      <c r="BT57" s="30"/>
      <c r="BU57" s="30"/>
      <c r="BV57" s="30"/>
      <c r="BW57" s="30"/>
      <c r="BX57" s="39">
        <v>105</v>
      </c>
      <c r="BY57" s="37">
        <v>6081429</v>
      </c>
      <c r="BZ57" s="39">
        <v>75</v>
      </c>
      <c r="CA57" s="37"/>
      <c r="CB57" s="37">
        <v>925000000</v>
      </c>
      <c r="CC57" s="34">
        <f t="shared" si="4"/>
        <v>638550045</v>
      </c>
      <c r="CD57" s="30" t="s">
        <v>763</v>
      </c>
      <c r="CE57" s="30" t="s">
        <v>82</v>
      </c>
      <c r="CF57" s="30" t="s">
        <v>644</v>
      </c>
      <c r="CG57" s="30"/>
      <c r="CH57" s="30"/>
    </row>
    <row r="58" spans="1:86" ht="135" x14ac:dyDescent="0.25">
      <c r="A58" s="30">
        <v>23</v>
      </c>
      <c r="B58" s="30" t="s">
        <v>741</v>
      </c>
      <c r="C58" s="30" t="s">
        <v>742</v>
      </c>
      <c r="D58" s="36">
        <v>45076</v>
      </c>
      <c r="E58" s="30" t="s">
        <v>743</v>
      </c>
      <c r="F58" s="30" t="s">
        <v>743</v>
      </c>
      <c r="G58" s="30"/>
      <c r="H58" s="30" t="s">
        <v>107</v>
      </c>
      <c r="I58" s="38">
        <v>90</v>
      </c>
      <c r="J58" s="30" t="s">
        <v>70</v>
      </c>
      <c r="K58" s="38">
        <v>173</v>
      </c>
      <c r="L58" s="38"/>
      <c r="M58" s="30"/>
      <c r="N58" s="30"/>
      <c r="O58" s="30"/>
      <c r="P58" s="30"/>
      <c r="Q58" s="30" t="s">
        <v>764</v>
      </c>
      <c r="R58" s="30" t="s">
        <v>765</v>
      </c>
      <c r="S58" s="30" t="s">
        <v>766</v>
      </c>
      <c r="T58" s="30" t="s">
        <v>747</v>
      </c>
      <c r="U58" s="30" t="s">
        <v>135</v>
      </c>
      <c r="V58" s="30" t="s">
        <v>95</v>
      </c>
      <c r="W58" s="30" t="s">
        <v>73</v>
      </c>
      <c r="X58" s="30" t="s">
        <v>86</v>
      </c>
      <c r="Y58" s="30" t="s">
        <v>75</v>
      </c>
      <c r="Z58" s="36">
        <v>45070</v>
      </c>
      <c r="AA58" s="36">
        <v>45070</v>
      </c>
      <c r="AB58" s="30" t="s">
        <v>91</v>
      </c>
      <c r="AC58" s="30"/>
      <c r="AD58" s="30"/>
      <c r="AE58" s="30"/>
      <c r="AF58" s="30"/>
      <c r="AG58" s="30"/>
      <c r="AH58" s="30"/>
      <c r="AI58" s="30"/>
      <c r="AJ58" s="33">
        <f t="shared" si="0"/>
        <v>90</v>
      </c>
      <c r="AK58" s="37">
        <v>17267293</v>
      </c>
      <c r="AL58" s="33">
        <f t="shared" si="1"/>
        <v>173</v>
      </c>
      <c r="AM58" s="37">
        <v>2577131</v>
      </c>
      <c r="AN58" s="37"/>
      <c r="AO58" s="37">
        <v>2000000000</v>
      </c>
      <c r="AP58" s="30" t="s">
        <v>612</v>
      </c>
      <c r="AQ58" s="30" t="s">
        <v>107</v>
      </c>
      <c r="AR58" s="30"/>
      <c r="AS58" s="30"/>
      <c r="AT58" s="30"/>
      <c r="AU58" s="30"/>
      <c r="AV58" s="38" t="s">
        <v>614</v>
      </c>
      <c r="AW58" s="37">
        <v>23722828</v>
      </c>
      <c r="AX58" s="38">
        <v>230</v>
      </c>
      <c r="AY58" s="37"/>
      <c r="AZ58" s="37">
        <v>3000000000</v>
      </c>
      <c r="BA58" s="34" t="e">
        <f t="shared" si="2"/>
        <v>#VALUE!</v>
      </c>
      <c r="BB58" s="30" t="s">
        <v>767</v>
      </c>
      <c r="BC58" s="30" t="s">
        <v>82</v>
      </c>
      <c r="BD58" s="30" t="s">
        <v>768</v>
      </c>
      <c r="BE58" s="30" t="s">
        <v>107</v>
      </c>
      <c r="BF58" s="30"/>
      <c r="BG58" s="30"/>
      <c r="BH58" s="30"/>
      <c r="BI58" s="30"/>
      <c r="BJ58" s="39">
        <v>72</v>
      </c>
      <c r="BK58" s="37">
        <v>18373092</v>
      </c>
      <c r="BL58" s="39">
        <v>144</v>
      </c>
      <c r="BM58" s="37"/>
      <c r="BN58" s="37">
        <v>2500000000</v>
      </c>
      <c r="BO58" s="34">
        <f t="shared" si="3"/>
        <v>1322862624</v>
      </c>
      <c r="BP58" s="30" t="s">
        <v>311</v>
      </c>
      <c r="BQ58" s="30" t="s">
        <v>82</v>
      </c>
      <c r="BR58" s="30" t="s">
        <v>768</v>
      </c>
      <c r="BS58" s="30" t="s">
        <v>107</v>
      </c>
      <c r="BT58" s="30"/>
      <c r="BU58" s="30"/>
      <c r="BV58" s="30"/>
      <c r="BW58" s="30"/>
      <c r="BX58" s="39">
        <v>60</v>
      </c>
      <c r="BY58" s="37">
        <v>23373092</v>
      </c>
      <c r="BZ58" s="39">
        <v>120</v>
      </c>
      <c r="CA58" s="37"/>
      <c r="CB58" s="37">
        <v>1900000000</v>
      </c>
      <c r="CC58" s="34">
        <f t="shared" si="4"/>
        <v>1402385520</v>
      </c>
      <c r="CD58" s="30" t="s">
        <v>769</v>
      </c>
      <c r="CE58" s="30" t="s">
        <v>82</v>
      </c>
      <c r="CF58" s="30" t="s">
        <v>644</v>
      </c>
      <c r="CG58" s="30"/>
      <c r="CH58" s="30"/>
    </row>
    <row r="59" spans="1:86" ht="180" x14ac:dyDescent="0.25">
      <c r="A59" s="30">
        <v>24</v>
      </c>
      <c r="B59" s="30" t="s">
        <v>741</v>
      </c>
      <c r="C59" s="30" t="s">
        <v>742</v>
      </c>
      <c r="D59" s="36">
        <v>45076</v>
      </c>
      <c r="E59" s="30" t="s">
        <v>743</v>
      </c>
      <c r="F59" s="30" t="s">
        <v>743</v>
      </c>
      <c r="G59" s="30"/>
      <c r="H59" s="30" t="s">
        <v>84</v>
      </c>
      <c r="I59" s="38">
        <v>135</v>
      </c>
      <c r="J59" s="30" t="s">
        <v>70</v>
      </c>
      <c r="K59" s="38">
        <v>184</v>
      </c>
      <c r="L59" s="38"/>
      <c r="M59" s="30"/>
      <c r="N59" s="30"/>
      <c r="O59" s="30"/>
      <c r="P59" s="30"/>
      <c r="Q59" s="30" t="s">
        <v>756</v>
      </c>
      <c r="R59" s="30" t="s">
        <v>770</v>
      </c>
      <c r="S59" s="30" t="s">
        <v>771</v>
      </c>
      <c r="T59" s="30" t="s">
        <v>747</v>
      </c>
      <c r="U59" s="30" t="s">
        <v>135</v>
      </c>
      <c r="V59" s="30" t="s">
        <v>95</v>
      </c>
      <c r="W59" s="30" t="s">
        <v>73</v>
      </c>
      <c r="X59" s="30" t="s">
        <v>86</v>
      </c>
      <c r="Y59" s="30" t="s">
        <v>75</v>
      </c>
      <c r="Z59" s="36">
        <v>45070</v>
      </c>
      <c r="AA59" s="36">
        <v>45070</v>
      </c>
      <c r="AB59" s="30" t="s">
        <v>91</v>
      </c>
      <c r="AC59" s="30"/>
      <c r="AD59" s="30"/>
      <c r="AE59" s="30"/>
      <c r="AF59" s="30"/>
      <c r="AG59" s="30"/>
      <c r="AH59" s="30"/>
      <c r="AI59" s="30"/>
      <c r="AJ59" s="33">
        <f t="shared" si="0"/>
        <v>135</v>
      </c>
      <c r="AK59" s="37">
        <v>6000000</v>
      </c>
      <c r="AL59" s="33">
        <f t="shared" si="1"/>
        <v>184</v>
      </c>
      <c r="AM59" s="37"/>
      <c r="AN59" s="37"/>
      <c r="AO59" s="37">
        <v>1581000000</v>
      </c>
      <c r="AP59" s="30" t="s">
        <v>758</v>
      </c>
      <c r="AQ59" s="30" t="s">
        <v>84</v>
      </c>
      <c r="AR59" s="30"/>
      <c r="AS59" s="30"/>
      <c r="AT59" s="30"/>
      <c r="AU59" s="30"/>
      <c r="AV59" s="38">
        <v>270</v>
      </c>
      <c r="AW59" s="37">
        <v>5539484</v>
      </c>
      <c r="AX59" s="38">
        <v>316</v>
      </c>
      <c r="AY59" s="37"/>
      <c r="AZ59" s="37">
        <v>320000000</v>
      </c>
      <c r="BA59" s="34">
        <f t="shared" si="2"/>
        <v>1495660680</v>
      </c>
      <c r="BB59" s="30" t="s">
        <v>759</v>
      </c>
      <c r="BC59" s="30" t="s">
        <v>82</v>
      </c>
      <c r="BD59" s="30" t="s">
        <v>760</v>
      </c>
      <c r="BE59" s="30" t="s">
        <v>84</v>
      </c>
      <c r="BF59" s="30"/>
      <c r="BG59" s="30"/>
      <c r="BH59" s="30"/>
      <c r="BI59" s="30"/>
      <c r="BJ59" s="39">
        <v>135</v>
      </c>
      <c r="BK59" s="37">
        <v>6047970</v>
      </c>
      <c r="BL59" s="39">
        <v>182</v>
      </c>
      <c r="BM59" s="37"/>
      <c r="BN59" s="37">
        <v>1500000000</v>
      </c>
      <c r="BO59" s="34">
        <f t="shared" si="3"/>
        <v>816475950</v>
      </c>
      <c r="BP59" s="30" t="s">
        <v>761</v>
      </c>
      <c r="BQ59" s="30" t="s">
        <v>82</v>
      </c>
      <c r="BR59" s="30" t="s">
        <v>762</v>
      </c>
      <c r="BS59" s="30" t="s">
        <v>84</v>
      </c>
      <c r="BT59" s="30"/>
      <c r="BU59" s="30"/>
      <c r="BV59" s="30"/>
      <c r="BW59" s="30"/>
      <c r="BX59" s="39">
        <v>105</v>
      </c>
      <c r="BY59" s="37">
        <v>6081429</v>
      </c>
      <c r="BZ59" s="39">
        <v>75</v>
      </c>
      <c r="CA59" s="37"/>
      <c r="CB59" s="37">
        <v>925000000</v>
      </c>
      <c r="CC59" s="34">
        <f t="shared" si="4"/>
        <v>638550045</v>
      </c>
      <c r="CD59" s="30" t="s">
        <v>763</v>
      </c>
      <c r="CE59" s="30" t="s">
        <v>82</v>
      </c>
      <c r="CF59" s="30" t="s">
        <v>644</v>
      </c>
      <c r="CG59" s="30"/>
      <c r="CH59" s="30"/>
    </row>
    <row r="60" spans="1:86" ht="105" x14ac:dyDescent="0.25">
      <c r="A60" s="30">
        <v>25</v>
      </c>
      <c r="B60" s="30" t="s">
        <v>741</v>
      </c>
      <c r="C60" s="30" t="s">
        <v>742</v>
      </c>
      <c r="D60" s="36">
        <v>45076</v>
      </c>
      <c r="E60" s="30" t="s">
        <v>743</v>
      </c>
      <c r="F60" s="30" t="s">
        <v>743</v>
      </c>
      <c r="G60" s="30"/>
      <c r="H60" s="30" t="s">
        <v>772</v>
      </c>
      <c r="I60" s="38">
        <v>723</v>
      </c>
      <c r="J60" s="30" t="s">
        <v>70</v>
      </c>
      <c r="K60" s="38">
        <v>244</v>
      </c>
      <c r="L60" s="38"/>
      <c r="M60" s="30"/>
      <c r="N60" s="30"/>
      <c r="O60" s="30"/>
      <c r="P60" s="30"/>
      <c r="Q60" s="30"/>
      <c r="R60" s="30" t="s">
        <v>773</v>
      </c>
      <c r="S60" s="30" t="s">
        <v>746</v>
      </c>
      <c r="T60" s="30" t="s">
        <v>747</v>
      </c>
      <c r="U60" s="30" t="s">
        <v>135</v>
      </c>
      <c r="V60" s="30" t="s">
        <v>95</v>
      </c>
      <c r="W60" s="30" t="s">
        <v>73</v>
      </c>
      <c r="X60" s="30" t="s">
        <v>86</v>
      </c>
      <c r="Y60" s="30" t="s">
        <v>75</v>
      </c>
      <c r="Z60" s="36">
        <v>45070</v>
      </c>
      <c r="AA60" s="36">
        <v>45070</v>
      </c>
      <c r="AB60" s="30" t="s">
        <v>91</v>
      </c>
      <c r="AC60" s="30"/>
      <c r="AD60" s="30"/>
      <c r="AE60" s="30"/>
      <c r="AF60" s="30"/>
      <c r="AG60" s="30"/>
      <c r="AH60" s="30"/>
      <c r="AI60" s="30"/>
      <c r="AJ60" s="33">
        <f t="shared" si="0"/>
        <v>723</v>
      </c>
      <c r="AK60" s="37">
        <v>3200000</v>
      </c>
      <c r="AL60" s="33">
        <f t="shared" si="1"/>
        <v>244</v>
      </c>
      <c r="AM60" s="37"/>
      <c r="AN60" s="37"/>
      <c r="AO60" s="37">
        <v>2738000000</v>
      </c>
      <c r="AP60" s="30" t="s">
        <v>774</v>
      </c>
      <c r="AQ60" s="30" t="s">
        <v>775</v>
      </c>
      <c r="AR60" s="30"/>
      <c r="AS60" s="30"/>
      <c r="AT60" s="30"/>
      <c r="AU60" s="30"/>
      <c r="AV60" s="38">
        <v>523</v>
      </c>
      <c r="AW60" s="37">
        <v>3400000</v>
      </c>
      <c r="AX60" s="38"/>
      <c r="AY60" s="37"/>
      <c r="AZ60" s="37">
        <v>2092000000</v>
      </c>
      <c r="BA60" s="34">
        <f t="shared" si="2"/>
        <v>1778200000</v>
      </c>
      <c r="BB60" s="30" t="s">
        <v>776</v>
      </c>
      <c r="BC60" s="30" t="s">
        <v>82</v>
      </c>
      <c r="BD60" s="30" t="s">
        <v>774</v>
      </c>
      <c r="BE60" s="30" t="s">
        <v>84</v>
      </c>
      <c r="BF60" s="30"/>
      <c r="BG60" s="30"/>
      <c r="BH60" s="30"/>
      <c r="BI60" s="30"/>
      <c r="BJ60" s="39">
        <v>200</v>
      </c>
      <c r="BK60" s="37">
        <v>3500000</v>
      </c>
      <c r="BL60" s="39">
        <v>130</v>
      </c>
      <c r="BM60" s="37"/>
      <c r="BN60" s="37">
        <v>975000000</v>
      </c>
      <c r="BO60" s="34">
        <f t="shared" si="3"/>
        <v>700000000</v>
      </c>
      <c r="BP60" s="30" t="s">
        <v>777</v>
      </c>
      <c r="BQ60" s="30" t="s">
        <v>82</v>
      </c>
      <c r="BR60" s="30" t="s">
        <v>774</v>
      </c>
      <c r="BS60" s="30" t="s">
        <v>84</v>
      </c>
      <c r="BT60" s="30"/>
      <c r="BU60" s="30"/>
      <c r="BV60" s="30"/>
      <c r="BW60" s="30"/>
      <c r="BX60" s="39">
        <v>123</v>
      </c>
      <c r="BY60" s="37">
        <v>3860163</v>
      </c>
      <c r="BZ60" s="39">
        <v>216</v>
      </c>
      <c r="CA60" s="37"/>
      <c r="CB60" s="37">
        <v>1200000000</v>
      </c>
      <c r="CC60" s="34">
        <f t="shared" si="4"/>
        <v>474800049</v>
      </c>
      <c r="CD60" s="30" t="s">
        <v>778</v>
      </c>
      <c r="CE60" s="30" t="s">
        <v>82</v>
      </c>
      <c r="CF60" s="30" t="s">
        <v>644</v>
      </c>
      <c r="CG60" s="30"/>
      <c r="CH60" s="30"/>
    </row>
    <row r="61" spans="1:86" ht="180" x14ac:dyDescent="0.25">
      <c r="A61" s="30">
        <v>26</v>
      </c>
      <c r="B61" s="30" t="s">
        <v>779</v>
      </c>
      <c r="C61" s="30" t="s">
        <v>780</v>
      </c>
      <c r="D61" s="36">
        <v>45077</v>
      </c>
      <c r="E61" s="30" t="s">
        <v>743</v>
      </c>
      <c r="F61" s="30" t="s">
        <v>743</v>
      </c>
      <c r="G61" s="30"/>
      <c r="H61" s="30" t="s">
        <v>84</v>
      </c>
      <c r="I61" s="38">
        <v>283</v>
      </c>
      <c r="J61" s="30" t="s">
        <v>70</v>
      </c>
      <c r="K61" s="38">
        <v>241</v>
      </c>
      <c r="L61" s="38"/>
      <c r="M61" s="30"/>
      <c r="N61" s="30"/>
      <c r="O61" s="30"/>
      <c r="P61" s="30"/>
      <c r="Q61" s="30"/>
      <c r="R61" s="30" t="s">
        <v>781</v>
      </c>
      <c r="S61" s="30" t="s">
        <v>782</v>
      </c>
      <c r="T61" s="30" t="s">
        <v>783</v>
      </c>
      <c r="U61" s="30" t="s">
        <v>108</v>
      </c>
      <c r="V61" s="30" t="s">
        <v>85</v>
      </c>
      <c r="W61" s="30" t="s">
        <v>73</v>
      </c>
      <c r="X61" s="30" t="s">
        <v>86</v>
      </c>
      <c r="Y61" s="30" t="s">
        <v>75</v>
      </c>
      <c r="Z61" s="36">
        <v>45069</v>
      </c>
      <c r="AA61" s="36">
        <v>45069</v>
      </c>
      <c r="AB61" s="30" t="s">
        <v>76</v>
      </c>
      <c r="AC61" s="30"/>
      <c r="AD61" s="30"/>
      <c r="AE61" s="30"/>
      <c r="AF61" s="30"/>
      <c r="AG61" s="30"/>
      <c r="AH61" s="30"/>
      <c r="AI61" s="30"/>
      <c r="AJ61" s="33">
        <f t="shared" si="0"/>
        <v>283</v>
      </c>
      <c r="AK61" s="37">
        <v>13500000</v>
      </c>
      <c r="AL61" s="33">
        <f t="shared" si="1"/>
        <v>241</v>
      </c>
      <c r="AM61" s="37">
        <v>3232365</v>
      </c>
      <c r="AN61" s="37"/>
      <c r="AO61" s="37">
        <v>4600000000</v>
      </c>
      <c r="AP61" s="30" t="s">
        <v>784</v>
      </c>
      <c r="AQ61" s="30" t="s">
        <v>84</v>
      </c>
      <c r="AR61" s="30"/>
      <c r="AS61" s="30"/>
      <c r="AT61" s="30"/>
      <c r="AU61" s="30"/>
      <c r="AV61" s="38">
        <v>319</v>
      </c>
      <c r="AW61" s="37">
        <v>13484263</v>
      </c>
      <c r="AX61" s="38">
        <v>150</v>
      </c>
      <c r="AY61" s="37"/>
      <c r="AZ61" s="37">
        <v>5500000000</v>
      </c>
      <c r="BA61" s="34">
        <f t="shared" si="2"/>
        <v>4301479897</v>
      </c>
      <c r="BB61" s="30" t="s">
        <v>785</v>
      </c>
      <c r="BC61" s="30" t="s">
        <v>82</v>
      </c>
      <c r="BD61" s="30" t="s">
        <v>786</v>
      </c>
      <c r="BE61" s="30" t="s">
        <v>84</v>
      </c>
      <c r="BF61" s="30"/>
      <c r="BG61" s="30"/>
      <c r="BH61" s="30"/>
      <c r="BI61" s="30"/>
      <c r="BJ61" s="39">
        <v>219</v>
      </c>
      <c r="BK61" s="37">
        <v>13650776</v>
      </c>
      <c r="BL61" s="39">
        <v>100</v>
      </c>
      <c r="BM61" s="37"/>
      <c r="BN61" s="37">
        <v>3400000000</v>
      </c>
      <c r="BO61" s="34">
        <f t="shared" si="3"/>
        <v>2989519944</v>
      </c>
      <c r="BP61" s="30" t="s">
        <v>787</v>
      </c>
      <c r="BQ61" s="30" t="s">
        <v>82</v>
      </c>
      <c r="BR61" s="30" t="s">
        <v>786</v>
      </c>
      <c r="BS61" s="30" t="s">
        <v>788</v>
      </c>
      <c r="BT61" s="30"/>
      <c r="BU61" s="30"/>
      <c r="BV61" s="30"/>
      <c r="BW61" s="30"/>
      <c r="BX61" s="39">
        <v>308</v>
      </c>
      <c r="BY61" s="37">
        <v>13345247</v>
      </c>
      <c r="BZ61" s="39">
        <v>220</v>
      </c>
      <c r="CA61" s="37"/>
      <c r="CB61" s="37">
        <v>5000000000</v>
      </c>
      <c r="CC61" s="34">
        <f t="shared" si="4"/>
        <v>4110336076</v>
      </c>
      <c r="CD61" s="30" t="s">
        <v>789</v>
      </c>
      <c r="CE61" s="30" t="s">
        <v>82</v>
      </c>
      <c r="CF61" s="30" t="s">
        <v>790</v>
      </c>
      <c r="CG61" s="30"/>
      <c r="CH61" s="30"/>
    </row>
    <row r="62" spans="1:86" ht="120" x14ac:dyDescent="0.25">
      <c r="A62" s="30">
        <v>27</v>
      </c>
      <c r="B62" s="40" t="s">
        <v>791</v>
      </c>
      <c r="C62" s="40" t="s">
        <v>792</v>
      </c>
      <c r="D62" s="41">
        <v>45077</v>
      </c>
      <c r="E62" s="40" t="s">
        <v>83</v>
      </c>
      <c r="F62" s="40" t="s">
        <v>83</v>
      </c>
      <c r="G62" s="40"/>
      <c r="H62" s="40" t="s">
        <v>292</v>
      </c>
      <c r="I62" s="42">
        <v>5775</v>
      </c>
      <c r="J62" s="40" t="s">
        <v>70</v>
      </c>
      <c r="K62" s="42">
        <v>3696</v>
      </c>
      <c r="L62" s="42"/>
      <c r="M62" s="40"/>
      <c r="N62" s="40"/>
      <c r="O62" s="40"/>
      <c r="P62" s="40"/>
      <c r="Q62" s="40"/>
      <c r="R62" s="40" t="s">
        <v>793</v>
      </c>
      <c r="S62" s="40" t="s">
        <v>794</v>
      </c>
      <c r="T62" s="40" t="s">
        <v>795</v>
      </c>
      <c r="U62" s="40" t="s">
        <v>99</v>
      </c>
      <c r="V62" s="40" t="s">
        <v>80</v>
      </c>
      <c r="W62" s="40" t="s">
        <v>73</v>
      </c>
      <c r="X62" s="40" t="s">
        <v>86</v>
      </c>
      <c r="Y62" s="40" t="s">
        <v>796</v>
      </c>
      <c r="Z62" s="41">
        <v>45061</v>
      </c>
      <c r="AA62" s="41">
        <v>45061</v>
      </c>
      <c r="AB62" s="40" t="s">
        <v>91</v>
      </c>
      <c r="AC62" s="40"/>
      <c r="AD62" s="40"/>
      <c r="AE62" s="40"/>
      <c r="AF62" s="40"/>
      <c r="AG62" s="40"/>
      <c r="AH62" s="40"/>
      <c r="AI62" s="40"/>
      <c r="AJ62" s="33">
        <f t="shared" si="0"/>
        <v>5775</v>
      </c>
      <c r="AK62" s="43">
        <v>2600000</v>
      </c>
      <c r="AL62" s="33">
        <f t="shared" si="1"/>
        <v>3696</v>
      </c>
      <c r="AM62" s="43"/>
      <c r="AN62" s="43"/>
      <c r="AO62" s="43">
        <v>24369000000</v>
      </c>
      <c r="AP62" s="40" t="s">
        <v>797</v>
      </c>
      <c r="AQ62" s="40" t="s">
        <v>78</v>
      </c>
      <c r="AR62" s="40"/>
      <c r="AS62" s="40"/>
      <c r="AT62" s="40"/>
      <c r="AU62" s="40"/>
      <c r="AV62" s="42">
        <v>7980</v>
      </c>
      <c r="AW62" s="43">
        <v>2500000</v>
      </c>
      <c r="AX62" s="42"/>
      <c r="AY62" s="43"/>
      <c r="AZ62" s="43">
        <v>23490000000</v>
      </c>
      <c r="BA62" s="34">
        <f t="shared" si="2"/>
        <v>19950000000</v>
      </c>
      <c r="BB62" s="40" t="s">
        <v>798</v>
      </c>
      <c r="BC62" s="40" t="s">
        <v>82</v>
      </c>
      <c r="BD62" s="40" t="s">
        <v>799</v>
      </c>
      <c r="BE62" s="40" t="s">
        <v>292</v>
      </c>
      <c r="BF62" s="40"/>
      <c r="BG62" s="40"/>
      <c r="BH62" s="40"/>
      <c r="BI62" s="40"/>
      <c r="BJ62" s="44">
        <v>9930</v>
      </c>
      <c r="BK62" s="43">
        <v>2361934</v>
      </c>
      <c r="BL62" s="44">
        <v>3000</v>
      </c>
      <c r="BM62" s="43"/>
      <c r="BN62" s="43">
        <v>31000000000</v>
      </c>
      <c r="BO62" s="34">
        <f t="shared" si="3"/>
        <v>23454004620</v>
      </c>
      <c r="BP62" s="40" t="s">
        <v>800</v>
      </c>
      <c r="BQ62" s="40" t="s">
        <v>82</v>
      </c>
      <c r="BR62" s="40" t="s">
        <v>801</v>
      </c>
      <c r="BS62" s="40" t="s">
        <v>292</v>
      </c>
      <c r="BT62" s="40"/>
      <c r="BU62" s="40"/>
      <c r="BV62" s="40"/>
      <c r="BW62" s="40"/>
      <c r="BX62" s="44">
        <v>20800</v>
      </c>
      <c r="BY62" s="43">
        <v>2272000</v>
      </c>
      <c r="BZ62" s="44">
        <v>11000</v>
      </c>
      <c r="CA62" s="43"/>
      <c r="CB62" s="43">
        <v>88400000000</v>
      </c>
      <c r="CC62" s="34">
        <f t="shared" si="4"/>
        <v>47257600000</v>
      </c>
      <c r="CD62" s="40" t="s">
        <v>802</v>
      </c>
      <c r="CE62" s="40" t="s">
        <v>82</v>
      </c>
      <c r="CF62" s="40" t="s">
        <v>803</v>
      </c>
      <c r="CG62" s="40"/>
      <c r="CH62" s="40"/>
    </row>
    <row r="63" spans="1:86" ht="120" x14ac:dyDescent="0.25">
      <c r="A63" s="45"/>
      <c r="B63" s="30" t="s">
        <v>791</v>
      </c>
      <c r="C63" s="30" t="s">
        <v>792</v>
      </c>
      <c r="D63" s="36">
        <v>45077</v>
      </c>
      <c r="E63" s="30" t="s">
        <v>83</v>
      </c>
      <c r="F63" s="30" t="s">
        <v>83</v>
      </c>
      <c r="G63" s="30"/>
      <c r="H63" s="30" t="s">
        <v>292</v>
      </c>
      <c r="I63" s="38">
        <v>1590</v>
      </c>
      <c r="J63" s="30" t="s">
        <v>70</v>
      </c>
      <c r="K63" s="38">
        <v>1337</v>
      </c>
      <c r="L63" s="38"/>
      <c r="M63" s="30"/>
      <c r="N63" s="30"/>
      <c r="O63" s="30"/>
      <c r="P63" s="30"/>
      <c r="Q63" s="30"/>
      <c r="R63" s="30" t="s">
        <v>793</v>
      </c>
      <c r="S63" s="30" t="s">
        <v>794</v>
      </c>
      <c r="T63" s="30" t="s">
        <v>795</v>
      </c>
      <c r="U63" s="30" t="s">
        <v>99</v>
      </c>
      <c r="V63" s="30" t="s">
        <v>80</v>
      </c>
      <c r="W63" s="30" t="s">
        <v>73</v>
      </c>
      <c r="X63" s="30" t="s">
        <v>86</v>
      </c>
      <c r="Y63" s="30" t="s">
        <v>796</v>
      </c>
      <c r="Z63" s="36">
        <v>45061</v>
      </c>
      <c r="AA63" s="36">
        <v>45061</v>
      </c>
      <c r="AB63" s="30" t="s">
        <v>91</v>
      </c>
      <c r="AC63" s="30"/>
      <c r="AD63" s="30"/>
      <c r="AE63" s="30"/>
      <c r="AF63" s="30"/>
      <c r="AG63" s="30"/>
      <c r="AH63" s="30"/>
      <c r="AI63" s="30"/>
      <c r="AJ63" s="33">
        <f t="shared" si="0"/>
        <v>1590</v>
      </c>
      <c r="AK63" s="37">
        <v>2700000</v>
      </c>
      <c r="AL63" s="33">
        <f t="shared" si="1"/>
        <v>1337</v>
      </c>
      <c r="AM63" s="37"/>
      <c r="AN63" s="37"/>
      <c r="AO63" s="37">
        <v>5750100000</v>
      </c>
      <c r="AP63" s="30" t="s">
        <v>804</v>
      </c>
      <c r="AQ63" s="30" t="s">
        <v>292</v>
      </c>
      <c r="AR63" s="30"/>
      <c r="AS63" s="30"/>
      <c r="AT63" s="30"/>
      <c r="AU63" s="30"/>
      <c r="AV63" s="38">
        <v>1775</v>
      </c>
      <c r="AW63" s="37">
        <v>2695639</v>
      </c>
      <c r="AX63" s="38">
        <v>1300</v>
      </c>
      <c r="AY63" s="37"/>
      <c r="AZ63" s="37">
        <v>9500000000</v>
      </c>
      <c r="BA63" s="34">
        <f t="shared" si="2"/>
        <v>4784759225</v>
      </c>
      <c r="BB63" s="30" t="s">
        <v>805</v>
      </c>
      <c r="BC63" s="30" t="s">
        <v>82</v>
      </c>
      <c r="BD63" s="30" t="s">
        <v>806</v>
      </c>
      <c r="BE63" s="30" t="s">
        <v>78</v>
      </c>
      <c r="BF63" s="30"/>
      <c r="BG63" s="30"/>
      <c r="BH63" s="30"/>
      <c r="BI63" s="30"/>
      <c r="BJ63" s="39">
        <v>7980</v>
      </c>
      <c r="BK63" s="37">
        <v>2500000</v>
      </c>
      <c r="BL63" s="39"/>
      <c r="BM63" s="37"/>
      <c r="BN63" s="37">
        <v>23940000000</v>
      </c>
      <c r="BO63" s="34">
        <f t="shared" si="3"/>
        <v>19950000000</v>
      </c>
      <c r="BP63" s="30" t="s">
        <v>807</v>
      </c>
      <c r="BQ63" s="30" t="s">
        <v>354</v>
      </c>
      <c r="BR63" s="30" t="s">
        <v>808</v>
      </c>
      <c r="BS63" s="30" t="s">
        <v>292</v>
      </c>
      <c r="BT63" s="30"/>
      <c r="BU63" s="30"/>
      <c r="BV63" s="30"/>
      <c r="BW63" s="30"/>
      <c r="BX63" s="39">
        <v>9930</v>
      </c>
      <c r="BY63" s="37">
        <v>2361934</v>
      </c>
      <c r="BZ63" s="39">
        <v>3000</v>
      </c>
      <c r="CA63" s="37"/>
      <c r="CB63" s="37">
        <v>31000000000</v>
      </c>
      <c r="CC63" s="34">
        <f t="shared" si="4"/>
        <v>23454004620</v>
      </c>
      <c r="CD63" s="30" t="s">
        <v>802</v>
      </c>
      <c r="CE63" s="30" t="s">
        <v>82</v>
      </c>
      <c r="CF63" s="30" t="s">
        <v>803</v>
      </c>
      <c r="CG63" s="30"/>
      <c r="CH63" s="30"/>
    </row>
    <row r="64" spans="1:86" ht="195" x14ac:dyDescent="0.25">
      <c r="A64" s="45"/>
      <c r="B64" s="30" t="s">
        <v>809</v>
      </c>
      <c r="C64" s="30" t="s">
        <v>810</v>
      </c>
      <c r="D64" s="36">
        <v>45082</v>
      </c>
      <c r="E64" s="30" t="s">
        <v>811</v>
      </c>
      <c r="F64" s="30" t="s">
        <v>811</v>
      </c>
      <c r="G64" s="30"/>
      <c r="H64" s="30" t="s">
        <v>84</v>
      </c>
      <c r="I64" s="38">
        <v>120</v>
      </c>
      <c r="J64" s="30" t="s">
        <v>70</v>
      </c>
      <c r="K64" s="38">
        <v>69</v>
      </c>
      <c r="L64" s="38"/>
      <c r="M64" s="30"/>
      <c r="N64" s="30"/>
      <c r="O64" s="30"/>
      <c r="P64" s="30"/>
      <c r="Q64" s="30" t="s">
        <v>812</v>
      </c>
      <c r="R64" s="30" t="s">
        <v>813</v>
      </c>
      <c r="S64" s="30" t="s">
        <v>125</v>
      </c>
      <c r="T64" s="30" t="s">
        <v>814</v>
      </c>
      <c r="U64" s="30" t="s">
        <v>126</v>
      </c>
      <c r="V64" s="30" t="s">
        <v>80</v>
      </c>
      <c r="W64" s="30" t="s">
        <v>73</v>
      </c>
      <c r="X64" s="30" t="s">
        <v>638</v>
      </c>
      <c r="Y64" s="30" t="s">
        <v>75</v>
      </c>
      <c r="Z64" s="36">
        <v>45068</v>
      </c>
      <c r="AA64" s="36">
        <v>45068</v>
      </c>
      <c r="AB64" s="30" t="s">
        <v>91</v>
      </c>
      <c r="AC64" s="30"/>
      <c r="AD64" s="30"/>
      <c r="AE64" s="30"/>
      <c r="AF64" s="30"/>
      <c r="AG64" s="30"/>
      <c r="AH64" s="30"/>
      <c r="AI64" s="30"/>
      <c r="AJ64" s="33">
        <f t="shared" si="0"/>
        <v>120</v>
      </c>
      <c r="AK64" s="37">
        <v>12700000</v>
      </c>
      <c r="AL64" s="33">
        <f t="shared" si="1"/>
        <v>69</v>
      </c>
      <c r="AM64" s="37"/>
      <c r="AN64" s="37"/>
      <c r="AO64" s="37">
        <v>1599000000</v>
      </c>
      <c r="AP64" s="30" t="s">
        <v>815</v>
      </c>
      <c r="AQ64" s="30" t="s">
        <v>84</v>
      </c>
      <c r="AR64" s="30"/>
      <c r="AS64" s="30"/>
      <c r="AT64" s="30"/>
      <c r="AU64" s="30"/>
      <c r="AV64" s="38">
        <v>97</v>
      </c>
      <c r="AW64" s="37">
        <v>13079588</v>
      </c>
      <c r="AX64" s="38">
        <v>100</v>
      </c>
      <c r="AY64" s="37"/>
      <c r="AZ64" s="37">
        <v>1800000000</v>
      </c>
      <c r="BA64" s="34">
        <f t="shared" si="2"/>
        <v>1268720036</v>
      </c>
      <c r="BB64" s="30" t="s">
        <v>816</v>
      </c>
      <c r="BC64" s="30" t="s">
        <v>82</v>
      </c>
      <c r="BD64" s="30" t="s">
        <v>817</v>
      </c>
      <c r="BE64" s="30" t="s">
        <v>84</v>
      </c>
      <c r="BF64" s="30"/>
      <c r="BG64" s="30"/>
      <c r="BH64" s="30"/>
      <c r="BI64" s="30"/>
      <c r="BJ64" s="39">
        <v>125</v>
      </c>
      <c r="BK64" s="37">
        <v>12682240</v>
      </c>
      <c r="BL64" s="39">
        <v>200</v>
      </c>
      <c r="BM64" s="37"/>
      <c r="BN64" s="37">
        <v>2500000000</v>
      </c>
      <c r="BO64" s="34">
        <f t="shared" si="3"/>
        <v>1585280000</v>
      </c>
      <c r="BP64" s="30" t="s">
        <v>818</v>
      </c>
      <c r="BQ64" s="30" t="s">
        <v>82</v>
      </c>
      <c r="BR64" s="30" t="s">
        <v>819</v>
      </c>
      <c r="BS64" s="30" t="s">
        <v>84</v>
      </c>
      <c r="BT64" s="30"/>
      <c r="BU64" s="30"/>
      <c r="BV64" s="30"/>
      <c r="BW64" s="30"/>
      <c r="BX64" s="39">
        <v>125</v>
      </c>
      <c r="BY64" s="37">
        <v>12814016</v>
      </c>
      <c r="BZ64" s="39">
        <v>180</v>
      </c>
      <c r="CA64" s="37"/>
      <c r="CB64" s="37">
        <v>2600000000</v>
      </c>
      <c r="CC64" s="34">
        <f t="shared" si="4"/>
        <v>1601752000</v>
      </c>
      <c r="CD64" s="30" t="s">
        <v>820</v>
      </c>
      <c r="CE64" s="30" t="s">
        <v>82</v>
      </c>
      <c r="CF64" s="30" t="s">
        <v>644</v>
      </c>
      <c r="CG64" s="30"/>
      <c r="CH64" s="30"/>
    </row>
    <row r="65" spans="1:86" ht="195" x14ac:dyDescent="0.25">
      <c r="A65" s="45"/>
      <c r="B65" s="50" t="s">
        <v>821</v>
      </c>
      <c r="C65" s="50" t="s">
        <v>822</v>
      </c>
      <c r="D65" s="52">
        <v>45086</v>
      </c>
      <c r="E65" s="50" t="s">
        <v>92</v>
      </c>
      <c r="F65" s="50" t="s">
        <v>560</v>
      </c>
      <c r="G65" s="50"/>
      <c r="H65" s="50" t="s">
        <v>823</v>
      </c>
      <c r="I65" s="51"/>
      <c r="J65" s="50"/>
      <c r="K65" s="51"/>
      <c r="L65" s="51"/>
      <c r="M65" s="50" t="s">
        <v>824</v>
      </c>
      <c r="N65" s="50"/>
      <c r="O65" s="50"/>
      <c r="P65" s="50"/>
      <c r="Q65" s="50"/>
      <c r="R65" s="50" t="s">
        <v>825</v>
      </c>
      <c r="S65" s="50" t="s">
        <v>826</v>
      </c>
      <c r="T65" s="50" t="s">
        <v>827</v>
      </c>
      <c r="U65" s="50" t="s">
        <v>135</v>
      </c>
      <c r="V65" s="50" t="s">
        <v>95</v>
      </c>
      <c r="W65" s="50" t="s">
        <v>73</v>
      </c>
      <c r="X65" s="50" t="s">
        <v>86</v>
      </c>
      <c r="Y65" s="50" t="s">
        <v>75</v>
      </c>
      <c r="Z65" s="52">
        <v>45076</v>
      </c>
      <c r="AA65" s="52">
        <v>45076</v>
      </c>
      <c r="AB65" s="50" t="s">
        <v>91</v>
      </c>
      <c r="AC65" s="50"/>
      <c r="AD65" s="50"/>
      <c r="AE65" s="50"/>
      <c r="AF65" s="50"/>
      <c r="AG65" s="50"/>
      <c r="AH65" s="50"/>
      <c r="AI65" s="50"/>
      <c r="AJ65" s="33">
        <f t="shared" si="0"/>
        <v>0</v>
      </c>
      <c r="AK65" s="53"/>
      <c r="AL65" s="33">
        <f t="shared" si="1"/>
        <v>0</v>
      </c>
      <c r="AM65" s="53"/>
      <c r="AN65" s="53"/>
      <c r="AO65" s="53">
        <v>41965000000000</v>
      </c>
      <c r="AP65" s="50"/>
      <c r="AQ65" s="50"/>
      <c r="AR65" s="50"/>
      <c r="AS65" s="50"/>
      <c r="AT65" s="50"/>
      <c r="AU65" s="50"/>
      <c r="AV65" s="51"/>
      <c r="AW65" s="53"/>
      <c r="AX65" s="51"/>
      <c r="AY65" s="53"/>
      <c r="AZ65" s="53"/>
      <c r="BA65" s="34">
        <f t="shared" si="2"/>
        <v>0</v>
      </c>
      <c r="BB65" s="50"/>
      <c r="BC65" s="50"/>
      <c r="BD65" s="50"/>
      <c r="BE65" s="50"/>
      <c r="BF65" s="50"/>
      <c r="BG65" s="50"/>
      <c r="BH65" s="50"/>
      <c r="BI65" s="50"/>
      <c r="BJ65" s="54"/>
      <c r="BK65" s="53"/>
      <c r="BL65" s="54"/>
      <c r="BM65" s="53"/>
      <c r="BN65" s="53"/>
      <c r="BO65" s="34">
        <f t="shared" si="3"/>
        <v>0</v>
      </c>
      <c r="BP65" s="50"/>
      <c r="BQ65" s="50"/>
      <c r="BR65" s="50"/>
      <c r="BS65" s="50"/>
      <c r="BT65" s="50"/>
      <c r="BU65" s="50"/>
      <c r="BV65" s="50"/>
      <c r="BW65" s="50"/>
      <c r="BX65" s="54"/>
      <c r="BY65" s="53"/>
      <c r="BZ65" s="54"/>
      <c r="CA65" s="53"/>
      <c r="CB65" s="53"/>
      <c r="CC65" s="34">
        <f t="shared" si="4"/>
        <v>0</v>
      </c>
      <c r="CD65" s="50"/>
      <c r="CE65" s="50"/>
      <c r="CF65" s="50" t="s">
        <v>803</v>
      </c>
      <c r="CG65" s="50"/>
      <c r="CH65" s="50"/>
    </row>
    <row r="66" spans="1:86" ht="165" x14ac:dyDescent="0.25">
      <c r="A66" s="45"/>
      <c r="B66" s="66" t="s">
        <v>828</v>
      </c>
      <c r="C66" s="30" t="s">
        <v>829</v>
      </c>
      <c r="D66" s="36">
        <v>45090</v>
      </c>
      <c r="E66" s="30" t="s">
        <v>92</v>
      </c>
      <c r="F66" s="30" t="s">
        <v>560</v>
      </c>
      <c r="G66" s="30"/>
      <c r="H66" s="30" t="s">
        <v>84</v>
      </c>
      <c r="I66" s="38">
        <v>241</v>
      </c>
      <c r="J66" s="30" t="s">
        <v>70</v>
      </c>
      <c r="K66" s="38">
        <v>290</v>
      </c>
      <c r="L66" s="38"/>
      <c r="M66" s="30"/>
      <c r="N66" s="30"/>
      <c r="O66" s="30"/>
      <c r="P66" s="30"/>
      <c r="Q66" s="30"/>
      <c r="R66" s="30" t="s">
        <v>830</v>
      </c>
      <c r="S66" s="30" t="s">
        <v>831</v>
      </c>
      <c r="T66" s="30" t="s">
        <v>832</v>
      </c>
      <c r="U66" s="30" t="s">
        <v>108</v>
      </c>
      <c r="V66" s="30" t="s">
        <v>85</v>
      </c>
      <c r="W66" s="30" t="s">
        <v>73</v>
      </c>
      <c r="X66" s="30" t="s">
        <v>86</v>
      </c>
      <c r="Y66" s="30" t="s">
        <v>75</v>
      </c>
      <c r="Z66" s="36">
        <v>45084</v>
      </c>
      <c r="AA66" s="36">
        <v>45084</v>
      </c>
      <c r="AB66" s="30" t="s">
        <v>76</v>
      </c>
      <c r="AC66" s="30"/>
      <c r="AD66" s="30"/>
      <c r="AE66" s="30"/>
      <c r="AF66" s="30"/>
      <c r="AG66" s="30"/>
      <c r="AH66" s="30"/>
      <c r="AI66" s="30"/>
      <c r="AJ66" s="33">
        <f t="shared" si="0"/>
        <v>241</v>
      </c>
      <c r="AK66" s="37">
        <v>40000000</v>
      </c>
      <c r="AL66" s="33">
        <f t="shared" si="1"/>
        <v>290</v>
      </c>
      <c r="AM66" s="37">
        <v>4380000</v>
      </c>
      <c r="AN66" s="37"/>
      <c r="AO66" s="37">
        <v>10186200000</v>
      </c>
      <c r="AP66" s="30" t="s">
        <v>833</v>
      </c>
      <c r="AQ66" s="30" t="s">
        <v>84</v>
      </c>
      <c r="AR66" s="30"/>
      <c r="AS66" s="30"/>
      <c r="AT66" s="30"/>
      <c r="AU66" s="30"/>
      <c r="AV66" s="38">
        <v>108</v>
      </c>
      <c r="AW66" s="37">
        <v>41019627</v>
      </c>
      <c r="AX66" s="38">
        <v>130</v>
      </c>
      <c r="AY66" s="37"/>
      <c r="AZ66" s="37">
        <v>5500000000</v>
      </c>
      <c r="BA66" s="34">
        <f t="shared" si="2"/>
        <v>4430119716</v>
      </c>
      <c r="BB66" s="30" t="s">
        <v>834</v>
      </c>
      <c r="BC66" s="30" t="s">
        <v>354</v>
      </c>
      <c r="BD66" s="30" t="s">
        <v>835</v>
      </c>
      <c r="BE66" s="30" t="s">
        <v>78</v>
      </c>
      <c r="BF66" s="30"/>
      <c r="BG66" s="30"/>
      <c r="BH66" s="30"/>
      <c r="BI66" s="30"/>
      <c r="BJ66" s="39">
        <v>1000</v>
      </c>
      <c r="BK66" s="37">
        <v>39000000</v>
      </c>
      <c r="BL66" s="39"/>
      <c r="BM66" s="37"/>
      <c r="BN66" s="37">
        <v>48000000000</v>
      </c>
      <c r="BO66" s="34">
        <f t="shared" si="3"/>
        <v>39000000000</v>
      </c>
      <c r="BP66" s="30" t="s">
        <v>836</v>
      </c>
      <c r="BQ66" s="30" t="s">
        <v>82</v>
      </c>
      <c r="BR66" s="30" t="s">
        <v>837</v>
      </c>
      <c r="BS66" s="30" t="s">
        <v>101</v>
      </c>
      <c r="BT66" s="30"/>
      <c r="BU66" s="30"/>
      <c r="BV66" s="30"/>
      <c r="BW66" s="30"/>
      <c r="BX66" s="39">
        <v>321</v>
      </c>
      <c r="BY66" s="37">
        <v>39771982</v>
      </c>
      <c r="BZ66" s="39">
        <v>321</v>
      </c>
      <c r="CA66" s="37"/>
      <c r="CB66" s="37">
        <v>16000000000</v>
      </c>
      <c r="CC66" s="34">
        <f t="shared" si="4"/>
        <v>12766806222</v>
      </c>
      <c r="CD66" s="30" t="s">
        <v>838</v>
      </c>
      <c r="CE66" s="30" t="s">
        <v>82</v>
      </c>
      <c r="CF66" s="30" t="s">
        <v>521</v>
      </c>
      <c r="CG66" s="30"/>
      <c r="CH66" s="30"/>
    </row>
    <row r="67" spans="1:86" ht="135" x14ac:dyDescent="0.25">
      <c r="A67" s="50"/>
      <c r="B67" s="30" t="s">
        <v>839</v>
      </c>
      <c r="C67" s="30" t="s">
        <v>840</v>
      </c>
      <c r="D67" s="36">
        <v>45097</v>
      </c>
      <c r="E67" s="30" t="s">
        <v>83</v>
      </c>
      <c r="F67" s="30" t="s">
        <v>83</v>
      </c>
      <c r="G67" s="30"/>
      <c r="H67" s="30" t="s">
        <v>292</v>
      </c>
      <c r="I67" s="38">
        <v>11805</v>
      </c>
      <c r="J67" s="30" t="s">
        <v>70</v>
      </c>
      <c r="K67" s="38">
        <v>8408</v>
      </c>
      <c r="L67" s="38"/>
      <c r="M67" s="30"/>
      <c r="N67" s="30"/>
      <c r="O67" s="30"/>
      <c r="P67" s="30"/>
      <c r="Q67" s="30" t="s">
        <v>841</v>
      </c>
      <c r="R67" s="30" t="s">
        <v>842</v>
      </c>
      <c r="S67" s="30" t="s">
        <v>843</v>
      </c>
      <c r="T67" s="30" t="s">
        <v>844</v>
      </c>
      <c r="U67" s="30" t="s">
        <v>99</v>
      </c>
      <c r="V67" s="30" t="s">
        <v>80</v>
      </c>
      <c r="W67" s="30" t="s">
        <v>73</v>
      </c>
      <c r="X67" s="30" t="s">
        <v>86</v>
      </c>
      <c r="Y67" s="30" t="s">
        <v>75</v>
      </c>
      <c r="Z67" s="36">
        <v>45077</v>
      </c>
      <c r="AA67" s="36">
        <v>45077</v>
      </c>
      <c r="AB67" s="30" t="s">
        <v>91</v>
      </c>
      <c r="AC67" s="30"/>
      <c r="AD67" s="30"/>
      <c r="AE67" s="30"/>
      <c r="AF67" s="30"/>
      <c r="AG67" s="30"/>
      <c r="AH67" s="30"/>
      <c r="AI67" s="30"/>
      <c r="AJ67" s="33">
        <f t="shared" si="0"/>
        <v>11805</v>
      </c>
      <c r="AK67" s="37">
        <v>3000000</v>
      </c>
      <c r="AL67" s="33">
        <f t="shared" si="1"/>
        <v>8408</v>
      </c>
      <c r="AM67" s="37"/>
      <c r="AN67" s="37"/>
      <c r="AO67" s="37">
        <v>51418000000</v>
      </c>
      <c r="AP67" s="30" t="s">
        <v>845</v>
      </c>
      <c r="AQ67" s="30" t="s">
        <v>78</v>
      </c>
      <c r="AR67" s="30"/>
      <c r="AS67" s="30"/>
      <c r="AT67" s="30"/>
      <c r="AU67" s="30"/>
      <c r="AV67" s="38">
        <v>4595</v>
      </c>
      <c r="AW67" s="37">
        <v>3600000</v>
      </c>
      <c r="AX67" s="38"/>
      <c r="AY67" s="37"/>
      <c r="AZ67" s="37">
        <v>22975000000</v>
      </c>
      <c r="BA67" s="34">
        <f t="shared" si="2"/>
        <v>16542000000</v>
      </c>
      <c r="BB67" s="30" t="s">
        <v>846</v>
      </c>
      <c r="BC67" s="30" t="s">
        <v>82</v>
      </c>
      <c r="BD67" s="30" t="s">
        <v>847</v>
      </c>
      <c r="BE67" s="30" t="s">
        <v>87</v>
      </c>
      <c r="BF67" s="30"/>
      <c r="BG67" s="30"/>
      <c r="BH67" s="30"/>
      <c r="BI67" s="30"/>
      <c r="BJ67" s="39">
        <v>10000</v>
      </c>
      <c r="BK67" s="37">
        <v>3010828</v>
      </c>
      <c r="BL67" s="39">
        <v>6000</v>
      </c>
      <c r="BM67" s="37"/>
      <c r="BN67" s="37">
        <v>50000000000</v>
      </c>
      <c r="BO67" s="34">
        <f t="shared" si="3"/>
        <v>30108280000</v>
      </c>
      <c r="BP67" s="30" t="s">
        <v>848</v>
      </c>
      <c r="BQ67" s="30" t="s">
        <v>82</v>
      </c>
      <c r="BR67" s="30" t="s">
        <v>849</v>
      </c>
      <c r="BS67" s="30" t="s">
        <v>78</v>
      </c>
      <c r="BT67" s="30"/>
      <c r="BU67" s="30"/>
      <c r="BV67" s="30"/>
      <c r="BW67" s="30"/>
      <c r="BX67" s="39">
        <v>10400</v>
      </c>
      <c r="BY67" s="37">
        <v>3000000</v>
      </c>
      <c r="BZ67" s="39"/>
      <c r="CA67" s="37"/>
      <c r="CB67" s="37">
        <v>41600000000</v>
      </c>
      <c r="CC67" s="34">
        <f t="shared" si="4"/>
        <v>31200000000</v>
      </c>
      <c r="CD67" s="30" t="s">
        <v>850</v>
      </c>
      <c r="CE67" s="30" t="s">
        <v>82</v>
      </c>
      <c r="CF67" s="30" t="s">
        <v>644</v>
      </c>
      <c r="CG67" s="30"/>
      <c r="CH67" s="30"/>
    </row>
    <row r="68" spans="1:86" ht="105" x14ac:dyDescent="0.25">
      <c r="A68" s="30">
        <v>29</v>
      </c>
      <c r="B68" s="40" t="s">
        <v>851</v>
      </c>
      <c r="C68" s="40" t="s">
        <v>852</v>
      </c>
      <c r="D68" s="41">
        <v>45098</v>
      </c>
      <c r="E68" s="40" t="s">
        <v>97</v>
      </c>
      <c r="F68" s="40" t="s">
        <v>97</v>
      </c>
      <c r="G68" s="40"/>
      <c r="H68" s="40" t="s">
        <v>853</v>
      </c>
      <c r="I68" s="42">
        <v>2670</v>
      </c>
      <c r="J68" s="40" t="s">
        <v>70</v>
      </c>
      <c r="K68" s="42">
        <v>1772</v>
      </c>
      <c r="L68" s="42"/>
      <c r="M68" s="40"/>
      <c r="N68" s="40"/>
      <c r="O68" s="40"/>
      <c r="P68" s="40"/>
      <c r="Q68" s="40"/>
      <c r="R68" s="40" t="s">
        <v>854</v>
      </c>
      <c r="S68" s="40" t="s">
        <v>855</v>
      </c>
      <c r="T68" s="40" t="s">
        <v>625</v>
      </c>
      <c r="U68" s="40" t="s">
        <v>135</v>
      </c>
      <c r="V68" s="40" t="s">
        <v>95</v>
      </c>
      <c r="W68" s="40" t="s">
        <v>73</v>
      </c>
      <c r="X68" s="40" t="s">
        <v>86</v>
      </c>
      <c r="Y68" s="40" t="s">
        <v>75</v>
      </c>
      <c r="Z68" s="41">
        <v>45089</v>
      </c>
      <c r="AA68" s="41">
        <v>45089</v>
      </c>
      <c r="AB68" s="40" t="s">
        <v>91</v>
      </c>
      <c r="AC68" s="40"/>
      <c r="AD68" s="40"/>
      <c r="AE68" s="40"/>
      <c r="AF68" s="40"/>
      <c r="AG68" s="40"/>
      <c r="AH68" s="40"/>
      <c r="AI68" s="40"/>
      <c r="AJ68" s="33">
        <f t="shared" si="0"/>
        <v>2670</v>
      </c>
      <c r="AK68" s="43">
        <v>4780000</v>
      </c>
      <c r="AL68" s="33">
        <f t="shared" si="1"/>
        <v>1772</v>
      </c>
      <c r="AM68" s="43"/>
      <c r="AN68" s="43"/>
      <c r="AO68" s="43">
        <v>16905000000</v>
      </c>
      <c r="AP68" s="40" t="s">
        <v>856</v>
      </c>
      <c r="AQ68" s="40" t="s">
        <v>78</v>
      </c>
      <c r="AR68" s="40"/>
      <c r="AS68" s="40"/>
      <c r="AT68" s="40"/>
      <c r="AU68" s="40"/>
      <c r="AV68" s="42">
        <v>4545</v>
      </c>
      <c r="AW68" s="43">
        <v>4600000</v>
      </c>
      <c r="AX68" s="42"/>
      <c r="AY68" s="43"/>
      <c r="AZ68" s="43">
        <v>29542500000</v>
      </c>
      <c r="BA68" s="34">
        <f t="shared" si="2"/>
        <v>20907000000</v>
      </c>
      <c r="BB68" s="40" t="s">
        <v>857</v>
      </c>
      <c r="BC68" s="40" t="s">
        <v>82</v>
      </c>
      <c r="BD68" s="40" t="s">
        <v>856</v>
      </c>
      <c r="BE68" s="40" t="s">
        <v>101</v>
      </c>
      <c r="BF68" s="40"/>
      <c r="BG68" s="40"/>
      <c r="BH68" s="40"/>
      <c r="BI68" s="40"/>
      <c r="BJ68" s="44">
        <v>2517</v>
      </c>
      <c r="BK68" s="43">
        <v>4788462</v>
      </c>
      <c r="BL68" s="44">
        <v>688</v>
      </c>
      <c r="BM68" s="43"/>
      <c r="BN68" s="43">
        <v>17619000000</v>
      </c>
      <c r="BO68" s="34">
        <f t="shared" si="3"/>
        <v>12052558854</v>
      </c>
      <c r="BP68" s="40" t="s">
        <v>858</v>
      </c>
      <c r="BQ68" s="40" t="s">
        <v>82</v>
      </c>
      <c r="BR68" s="40" t="s">
        <v>856</v>
      </c>
      <c r="BS68" s="40" t="s">
        <v>78</v>
      </c>
      <c r="BT68" s="40"/>
      <c r="BU68" s="40"/>
      <c r="BV68" s="40"/>
      <c r="BW68" s="40"/>
      <c r="BX68" s="44">
        <v>1660</v>
      </c>
      <c r="BY68" s="43">
        <v>5000000</v>
      </c>
      <c r="BZ68" s="44"/>
      <c r="CA68" s="43"/>
      <c r="CB68" s="43">
        <v>12000000000</v>
      </c>
      <c r="CC68" s="34">
        <f t="shared" si="4"/>
        <v>8300000000</v>
      </c>
      <c r="CD68" s="40" t="s">
        <v>859</v>
      </c>
      <c r="CE68" s="40" t="s">
        <v>82</v>
      </c>
      <c r="CF68" s="40" t="s">
        <v>860</v>
      </c>
      <c r="CG68" s="40"/>
      <c r="CH68" s="40"/>
    </row>
    <row r="69" spans="1:86" ht="105" x14ac:dyDescent="0.25">
      <c r="A69" s="30">
        <v>30</v>
      </c>
      <c r="B69" s="30" t="s">
        <v>861</v>
      </c>
      <c r="C69" s="30" t="s">
        <v>862</v>
      </c>
      <c r="D69" s="36">
        <v>45099</v>
      </c>
      <c r="E69" s="30" t="s">
        <v>863</v>
      </c>
      <c r="F69" s="30" t="s">
        <v>694</v>
      </c>
      <c r="G69" s="30"/>
      <c r="H69" s="30" t="s">
        <v>101</v>
      </c>
      <c r="I69" s="38">
        <v>1732</v>
      </c>
      <c r="J69" s="30" t="s">
        <v>70</v>
      </c>
      <c r="K69" s="38">
        <v>927</v>
      </c>
      <c r="L69" s="38"/>
      <c r="M69" s="30"/>
      <c r="N69" s="30"/>
      <c r="O69" s="30"/>
      <c r="P69" s="30"/>
      <c r="Q69" s="30"/>
      <c r="R69" s="30" t="s">
        <v>864</v>
      </c>
      <c r="S69" s="30" t="s">
        <v>865</v>
      </c>
      <c r="T69" s="30" t="s">
        <v>866</v>
      </c>
      <c r="U69" s="30" t="s">
        <v>118</v>
      </c>
      <c r="V69" s="30" t="s">
        <v>95</v>
      </c>
      <c r="W69" s="30" t="s">
        <v>73</v>
      </c>
      <c r="X69" s="30" t="s">
        <v>86</v>
      </c>
      <c r="Y69" s="30" t="s">
        <v>75</v>
      </c>
      <c r="Z69" s="36">
        <v>45086</v>
      </c>
      <c r="AA69" s="36">
        <v>45086</v>
      </c>
      <c r="AB69" s="30" t="s">
        <v>91</v>
      </c>
      <c r="AC69" s="30"/>
      <c r="AD69" s="30"/>
      <c r="AE69" s="30"/>
      <c r="AF69" s="30"/>
      <c r="AG69" s="30"/>
      <c r="AH69" s="30"/>
      <c r="AI69" s="30"/>
      <c r="AJ69" s="33">
        <f t="shared" ref="AJ69:AJ132" si="5">I69</f>
        <v>1732</v>
      </c>
      <c r="AK69" s="37">
        <v>6000000</v>
      </c>
      <c r="AL69" s="33">
        <f t="shared" ref="AL69:AL132" si="6">K69</f>
        <v>927</v>
      </c>
      <c r="AM69" s="37"/>
      <c r="AN69" s="37"/>
      <c r="AO69" s="37">
        <v>11492000000</v>
      </c>
      <c r="AP69" s="30" t="s">
        <v>867</v>
      </c>
      <c r="AQ69" s="30" t="s">
        <v>868</v>
      </c>
      <c r="AR69" s="30"/>
      <c r="AS69" s="30"/>
      <c r="AT69" s="30"/>
      <c r="AU69" s="30"/>
      <c r="AV69" s="38">
        <v>886</v>
      </c>
      <c r="AW69" s="37">
        <v>6219639</v>
      </c>
      <c r="AX69" s="38">
        <v>500</v>
      </c>
      <c r="AY69" s="37"/>
      <c r="AZ69" s="37">
        <v>7000000000</v>
      </c>
      <c r="BA69" s="34">
        <f t="shared" ref="BA69:BA132" si="7">AV69*AW69</f>
        <v>5510600154</v>
      </c>
      <c r="BB69" s="30" t="s">
        <v>869</v>
      </c>
      <c r="BC69" s="30" t="s">
        <v>82</v>
      </c>
      <c r="BD69" s="30" t="s">
        <v>870</v>
      </c>
      <c r="BE69" s="30" t="s">
        <v>78</v>
      </c>
      <c r="BF69" s="30"/>
      <c r="BG69" s="30"/>
      <c r="BH69" s="30"/>
      <c r="BI69" s="30"/>
      <c r="BJ69" s="39">
        <v>1120</v>
      </c>
      <c r="BK69" s="37">
        <v>6200000</v>
      </c>
      <c r="BL69" s="39"/>
      <c r="BM69" s="37"/>
      <c r="BN69" s="37">
        <v>7840000000</v>
      </c>
      <c r="BO69" s="34">
        <f t="shared" ref="BO69:BO132" si="8">BJ69*BK69</f>
        <v>6944000000</v>
      </c>
      <c r="BP69" s="30" t="s">
        <v>871</v>
      </c>
      <c r="BQ69" s="30" t="s">
        <v>82</v>
      </c>
      <c r="BR69" s="30" t="s">
        <v>872</v>
      </c>
      <c r="BS69" s="30" t="s">
        <v>772</v>
      </c>
      <c r="BT69" s="30"/>
      <c r="BU69" s="30"/>
      <c r="BV69" s="30"/>
      <c r="BW69" s="30"/>
      <c r="BX69" s="39">
        <v>1390</v>
      </c>
      <c r="BY69" s="37">
        <v>6164892</v>
      </c>
      <c r="BZ69" s="39">
        <v>1000</v>
      </c>
      <c r="CA69" s="37"/>
      <c r="CB69" s="37">
        <v>12500000000</v>
      </c>
      <c r="CC69" s="34">
        <f t="shared" ref="CC69:CC132" si="9">BX69*BY69</f>
        <v>8569199880</v>
      </c>
      <c r="CD69" s="30" t="s">
        <v>873</v>
      </c>
      <c r="CE69" s="30" t="s">
        <v>82</v>
      </c>
      <c r="CF69" s="30" t="s">
        <v>874</v>
      </c>
      <c r="CG69" s="30"/>
      <c r="CH69" s="30"/>
    </row>
    <row r="70" spans="1:86" ht="150" x14ac:dyDescent="0.25">
      <c r="A70" s="30">
        <v>31</v>
      </c>
      <c r="B70" s="30" t="s">
        <v>875</v>
      </c>
      <c r="C70" s="30" t="s">
        <v>876</v>
      </c>
      <c r="D70" s="36">
        <v>45100</v>
      </c>
      <c r="E70" s="30" t="s">
        <v>877</v>
      </c>
      <c r="F70" s="30" t="s">
        <v>97</v>
      </c>
      <c r="G70" s="30"/>
      <c r="H70" s="30" t="s">
        <v>878</v>
      </c>
      <c r="I70" s="38">
        <v>4966</v>
      </c>
      <c r="J70" s="30" t="s">
        <v>70</v>
      </c>
      <c r="K70" s="38">
        <v>4440</v>
      </c>
      <c r="L70" s="38"/>
      <c r="M70" s="30"/>
      <c r="N70" s="30"/>
      <c r="O70" s="30"/>
      <c r="P70" s="30"/>
      <c r="Q70" s="30"/>
      <c r="R70" s="30" t="s">
        <v>879</v>
      </c>
      <c r="S70" s="30" t="s">
        <v>880</v>
      </c>
      <c r="T70" s="30" t="s">
        <v>881</v>
      </c>
      <c r="U70" s="30" t="s">
        <v>882</v>
      </c>
      <c r="V70" s="30" t="s">
        <v>72</v>
      </c>
      <c r="W70" s="30" t="s">
        <v>73</v>
      </c>
      <c r="X70" s="30" t="s">
        <v>86</v>
      </c>
      <c r="Y70" s="30" t="s">
        <v>75</v>
      </c>
      <c r="Z70" s="36">
        <v>45069</v>
      </c>
      <c r="AA70" s="36">
        <v>45069</v>
      </c>
      <c r="AB70" s="30" t="s">
        <v>91</v>
      </c>
      <c r="AC70" s="30"/>
      <c r="AD70" s="30"/>
      <c r="AE70" s="30"/>
      <c r="AF70" s="30"/>
      <c r="AG70" s="30"/>
      <c r="AH70" s="30"/>
      <c r="AI70" s="30"/>
      <c r="AJ70" s="33">
        <f t="shared" si="5"/>
        <v>4966</v>
      </c>
      <c r="AK70" s="37">
        <v>7000000</v>
      </c>
      <c r="AL70" s="33">
        <f t="shared" si="6"/>
        <v>4440</v>
      </c>
      <c r="AM70" s="37"/>
      <c r="AN70" s="37"/>
      <c r="AO70" s="37">
        <v>54617000000</v>
      </c>
      <c r="AP70" s="30" t="s">
        <v>883</v>
      </c>
      <c r="AQ70" s="30" t="s">
        <v>78</v>
      </c>
      <c r="AR70" s="30"/>
      <c r="AS70" s="30"/>
      <c r="AT70" s="30"/>
      <c r="AU70" s="30"/>
      <c r="AV70" s="38">
        <v>1730</v>
      </c>
      <c r="AW70" s="37">
        <v>8000</v>
      </c>
      <c r="AX70" s="38"/>
      <c r="AY70" s="37"/>
      <c r="AZ70" s="37">
        <v>19030000000</v>
      </c>
      <c r="BA70" s="34">
        <f t="shared" si="7"/>
        <v>13840000</v>
      </c>
      <c r="BB70" s="30" t="s">
        <v>884</v>
      </c>
      <c r="BC70" s="30" t="s">
        <v>148</v>
      </c>
      <c r="BD70" s="30" t="s">
        <v>883</v>
      </c>
      <c r="BE70" s="30" t="s">
        <v>101</v>
      </c>
      <c r="BF70" s="30"/>
      <c r="BG70" s="30"/>
      <c r="BH70" s="30"/>
      <c r="BI70" s="30"/>
      <c r="BJ70" s="39">
        <v>1158</v>
      </c>
      <c r="BK70" s="37">
        <v>8100000</v>
      </c>
      <c r="BL70" s="39"/>
      <c r="BM70" s="37"/>
      <c r="BN70" s="37">
        <v>11580000000</v>
      </c>
      <c r="BO70" s="34">
        <f t="shared" si="8"/>
        <v>9379800000</v>
      </c>
      <c r="BP70" s="30" t="s">
        <v>885</v>
      </c>
      <c r="BQ70" s="30" t="s">
        <v>82</v>
      </c>
      <c r="BR70" s="30" t="s">
        <v>886</v>
      </c>
      <c r="BS70" s="30" t="s">
        <v>78</v>
      </c>
      <c r="BT70" s="30"/>
      <c r="BU70" s="30"/>
      <c r="BV70" s="30"/>
      <c r="BW70" s="30"/>
      <c r="BX70" s="39">
        <v>2593</v>
      </c>
      <c r="BY70" s="37">
        <v>7500000</v>
      </c>
      <c r="BZ70" s="39"/>
      <c r="CA70" s="37"/>
      <c r="CB70" s="37">
        <v>25000000000</v>
      </c>
      <c r="CC70" s="34">
        <f t="shared" si="9"/>
        <v>19447500000</v>
      </c>
      <c r="CD70" s="30" t="s">
        <v>887</v>
      </c>
      <c r="CE70" s="30" t="s">
        <v>137</v>
      </c>
      <c r="CF70" s="30" t="s">
        <v>644</v>
      </c>
      <c r="CG70" s="30"/>
      <c r="CH70" s="30"/>
    </row>
    <row r="71" spans="1:86" ht="225" x14ac:dyDescent="0.25">
      <c r="A71" s="30">
        <v>32</v>
      </c>
      <c r="B71" s="30" t="s">
        <v>888</v>
      </c>
      <c r="C71" s="30" t="s">
        <v>889</v>
      </c>
      <c r="D71" s="36">
        <v>45100</v>
      </c>
      <c r="E71" s="30" t="s">
        <v>890</v>
      </c>
      <c r="F71" s="30" t="s">
        <v>891</v>
      </c>
      <c r="G71" s="30"/>
      <c r="H71" s="30" t="s">
        <v>78</v>
      </c>
      <c r="I71" s="38">
        <v>6326</v>
      </c>
      <c r="J71" s="30" t="s">
        <v>70</v>
      </c>
      <c r="K71" s="38"/>
      <c r="L71" s="38"/>
      <c r="M71" s="30"/>
      <c r="N71" s="30"/>
      <c r="O71" s="30"/>
      <c r="P71" s="30"/>
      <c r="Q71" s="30"/>
      <c r="R71" s="30" t="s">
        <v>892</v>
      </c>
      <c r="S71" s="30" t="s">
        <v>893</v>
      </c>
      <c r="T71" s="30" t="s">
        <v>894</v>
      </c>
      <c r="U71" s="30" t="s">
        <v>895</v>
      </c>
      <c r="V71" s="30" t="s">
        <v>95</v>
      </c>
      <c r="W71" s="30" t="s">
        <v>73</v>
      </c>
      <c r="X71" s="30" t="s">
        <v>146</v>
      </c>
      <c r="Y71" s="30" t="s">
        <v>75</v>
      </c>
      <c r="Z71" s="36">
        <v>45084</v>
      </c>
      <c r="AA71" s="36">
        <v>45084</v>
      </c>
      <c r="AB71" s="30" t="s">
        <v>91</v>
      </c>
      <c r="AC71" s="30"/>
      <c r="AD71" s="30"/>
      <c r="AE71" s="30"/>
      <c r="AF71" s="30"/>
      <c r="AG71" s="30"/>
      <c r="AH71" s="30"/>
      <c r="AI71" s="30"/>
      <c r="AJ71" s="33">
        <f t="shared" si="5"/>
        <v>6326</v>
      </c>
      <c r="AK71" s="37">
        <v>7500000</v>
      </c>
      <c r="AL71" s="33">
        <f t="shared" si="6"/>
        <v>0</v>
      </c>
      <c r="AM71" s="37"/>
      <c r="AN71" s="37"/>
      <c r="AO71" s="37">
        <v>47445000000</v>
      </c>
      <c r="AP71" s="30" t="s">
        <v>896</v>
      </c>
      <c r="AQ71" s="30" t="s">
        <v>78</v>
      </c>
      <c r="AR71" s="30"/>
      <c r="AS71" s="30"/>
      <c r="AT71" s="30"/>
      <c r="AU71" s="30"/>
      <c r="AV71" s="38">
        <v>4743</v>
      </c>
      <c r="AW71" s="37">
        <v>7800000</v>
      </c>
      <c r="AX71" s="38"/>
      <c r="AY71" s="37"/>
      <c r="AZ71" s="37">
        <v>47430000000</v>
      </c>
      <c r="BA71" s="34">
        <f t="shared" si="7"/>
        <v>36995400000</v>
      </c>
      <c r="BB71" s="30" t="s">
        <v>897</v>
      </c>
      <c r="BC71" s="30" t="s">
        <v>82</v>
      </c>
      <c r="BD71" s="30" t="s">
        <v>896</v>
      </c>
      <c r="BE71" s="30" t="s">
        <v>78</v>
      </c>
      <c r="BF71" s="30"/>
      <c r="BG71" s="30"/>
      <c r="BH71" s="30"/>
      <c r="BI71" s="30"/>
      <c r="BJ71" s="39">
        <v>26754</v>
      </c>
      <c r="BK71" s="37">
        <v>7000000</v>
      </c>
      <c r="BL71" s="39"/>
      <c r="BM71" s="37"/>
      <c r="BN71" s="37">
        <v>214032000000</v>
      </c>
      <c r="BO71" s="34">
        <f t="shared" si="8"/>
        <v>187278000000</v>
      </c>
      <c r="BP71" s="30" t="s">
        <v>898</v>
      </c>
      <c r="BQ71" s="30" t="s">
        <v>82</v>
      </c>
      <c r="BR71" s="30" t="s">
        <v>899</v>
      </c>
      <c r="BS71" s="30" t="s">
        <v>78</v>
      </c>
      <c r="BT71" s="30"/>
      <c r="BU71" s="30"/>
      <c r="BV71" s="30"/>
      <c r="BW71" s="30"/>
      <c r="BX71" s="39">
        <v>13862</v>
      </c>
      <c r="BY71" s="37">
        <v>6300000</v>
      </c>
      <c r="BZ71" s="39"/>
      <c r="CA71" s="37"/>
      <c r="CB71" s="37">
        <v>97034000000</v>
      </c>
      <c r="CC71" s="34">
        <f t="shared" si="9"/>
        <v>87330600000</v>
      </c>
      <c r="CD71" s="30" t="s">
        <v>900</v>
      </c>
      <c r="CE71" s="30" t="s">
        <v>82</v>
      </c>
      <c r="CF71" s="30" t="s">
        <v>901</v>
      </c>
      <c r="CG71" s="30"/>
      <c r="CH71" s="30"/>
    </row>
    <row r="72" spans="1:86" ht="45" x14ac:dyDescent="0.25">
      <c r="B72" s="40" t="s">
        <v>902</v>
      </c>
      <c r="C72" s="40" t="s">
        <v>903</v>
      </c>
      <c r="D72" s="41">
        <v>45100</v>
      </c>
      <c r="E72" s="40" t="s">
        <v>904</v>
      </c>
      <c r="F72" s="40" t="s">
        <v>904</v>
      </c>
      <c r="G72" s="40"/>
      <c r="H72" s="40" t="s">
        <v>88</v>
      </c>
      <c r="I72" s="42"/>
      <c r="J72" s="40"/>
      <c r="K72" s="42"/>
      <c r="L72" s="42"/>
      <c r="M72" s="40" t="s">
        <v>905</v>
      </c>
      <c r="N72" s="40"/>
      <c r="O72" s="40">
        <v>1</v>
      </c>
      <c r="P72" s="40" t="s">
        <v>164</v>
      </c>
      <c r="Q72" s="40" t="s">
        <v>906</v>
      </c>
      <c r="R72" s="40"/>
      <c r="S72" s="40"/>
      <c r="T72" s="40" t="s">
        <v>907</v>
      </c>
      <c r="U72" s="40" t="s">
        <v>115</v>
      </c>
      <c r="V72" s="40" t="s">
        <v>116</v>
      </c>
      <c r="W72" s="40" t="s">
        <v>73</v>
      </c>
      <c r="X72" s="40" t="s">
        <v>146</v>
      </c>
      <c r="Y72" s="40" t="s">
        <v>75</v>
      </c>
      <c r="Z72" s="41">
        <v>45095</v>
      </c>
      <c r="AA72" s="41">
        <v>45097</v>
      </c>
      <c r="AB72" s="40" t="s">
        <v>91</v>
      </c>
      <c r="AC72" s="40"/>
      <c r="AD72" s="40"/>
      <c r="AE72" s="40"/>
      <c r="AF72" s="40"/>
      <c r="AG72" s="40"/>
      <c r="AH72" s="40"/>
      <c r="AI72" s="40"/>
      <c r="AJ72" s="33">
        <f t="shared" si="5"/>
        <v>0</v>
      </c>
      <c r="AK72" s="43"/>
      <c r="AL72" s="33">
        <f t="shared" si="6"/>
        <v>0</v>
      </c>
      <c r="AM72" s="43"/>
      <c r="AN72" s="43"/>
      <c r="AO72" s="43">
        <v>46631000000</v>
      </c>
      <c r="AP72" s="40"/>
      <c r="AQ72" s="40"/>
      <c r="AR72" s="40"/>
      <c r="AS72" s="40"/>
      <c r="AT72" s="40"/>
      <c r="AU72" s="40"/>
      <c r="AV72" s="42"/>
      <c r="AW72" s="43"/>
      <c r="AX72" s="42"/>
      <c r="AY72" s="43"/>
      <c r="AZ72" s="43"/>
      <c r="BA72" s="34">
        <f t="shared" si="7"/>
        <v>0</v>
      </c>
      <c r="BB72" s="40"/>
      <c r="BC72" s="40"/>
      <c r="BD72" s="40"/>
      <c r="BE72" s="40"/>
      <c r="BF72" s="40"/>
      <c r="BG72" s="40"/>
      <c r="BH72" s="40"/>
      <c r="BI72" s="40"/>
      <c r="BJ72" s="44"/>
      <c r="BK72" s="43"/>
      <c r="BL72" s="44"/>
      <c r="BM72" s="43"/>
      <c r="BN72" s="43"/>
      <c r="BO72" s="34">
        <f t="shared" si="8"/>
        <v>0</v>
      </c>
      <c r="BP72" s="40"/>
      <c r="BQ72" s="40"/>
      <c r="BR72" s="40"/>
      <c r="BS72" s="40"/>
      <c r="BT72" s="40"/>
      <c r="BU72" s="40"/>
      <c r="BV72" s="40"/>
      <c r="BW72" s="40"/>
      <c r="BX72" s="44"/>
      <c r="BY72" s="43"/>
      <c r="BZ72" s="44"/>
      <c r="CA72" s="43"/>
      <c r="CB72" s="43"/>
      <c r="CC72" s="34">
        <f t="shared" si="9"/>
        <v>0</v>
      </c>
      <c r="CD72" s="40"/>
      <c r="CE72" s="40"/>
      <c r="CF72" s="40"/>
      <c r="CG72" s="40"/>
      <c r="CH72" s="40"/>
    </row>
    <row r="73" spans="1:86" ht="150" x14ac:dyDescent="0.25">
      <c r="B73" s="30" t="s">
        <v>908</v>
      </c>
      <c r="C73" s="30" t="s">
        <v>909</v>
      </c>
      <c r="D73" s="36">
        <v>45112</v>
      </c>
      <c r="E73" s="30" t="s">
        <v>910</v>
      </c>
      <c r="F73" s="30" t="s">
        <v>694</v>
      </c>
      <c r="G73" s="30"/>
      <c r="H73" s="30" t="s">
        <v>911</v>
      </c>
      <c r="I73" s="38">
        <v>1324</v>
      </c>
      <c r="J73" s="30" t="s">
        <v>70</v>
      </c>
      <c r="K73" s="38">
        <v>6225</v>
      </c>
      <c r="L73" s="38"/>
      <c r="M73" s="30"/>
      <c r="N73" s="30"/>
      <c r="O73" s="30"/>
      <c r="P73" s="30"/>
      <c r="Q73" s="30"/>
      <c r="R73" s="30" t="s">
        <v>912</v>
      </c>
      <c r="S73" s="30" t="s">
        <v>913</v>
      </c>
      <c r="T73" s="30" t="s">
        <v>914</v>
      </c>
      <c r="U73" s="30" t="s">
        <v>108</v>
      </c>
      <c r="V73" s="30" t="s">
        <v>85</v>
      </c>
      <c r="W73" s="30" t="s">
        <v>73</v>
      </c>
      <c r="X73" s="30" t="s">
        <v>86</v>
      </c>
      <c r="Y73" s="30" t="s">
        <v>75</v>
      </c>
      <c r="Z73" s="36">
        <v>45085</v>
      </c>
      <c r="AA73" s="36">
        <v>45085</v>
      </c>
      <c r="AB73" s="30" t="s">
        <v>91</v>
      </c>
      <c r="AC73" s="30"/>
      <c r="AD73" s="30"/>
      <c r="AE73" s="30"/>
      <c r="AF73" s="30"/>
      <c r="AG73" s="30"/>
      <c r="AH73" s="30"/>
      <c r="AI73" s="30"/>
      <c r="AJ73" s="33">
        <f t="shared" si="5"/>
        <v>1324</v>
      </c>
      <c r="AK73" s="37">
        <v>17500000</v>
      </c>
      <c r="AL73" s="33">
        <f t="shared" si="6"/>
        <v>6225</v>
      </c>
      <c r="AM73" s="37"/>
      <c r="AN73" s="37"/>
      <c r="AO73" s="37">
        <v>55898000000</v>
      </c>
      <c r="AP73" s="30" t="s">
        <v>915</v>
      </c>
      <c r="AQ73" s="30" t="s">
        <v>78</v>
      </c>
      <c r="AR73" s="30"/>
      <c r="AS73" s="30"/>
      <c r="AT73" s="30"/>
      <c r="AU73" s="30"/>
      <c r="AV73" s="38">
        <v>823</v>
      </c>
      <c r="AW73" s="37">
        <v>24301337</v>
      </c>
      <c r="AX73" s="38"/>
      <c r="AY73" s="37"/>
      <c r="AZ73" s="37">
        <v>27200000000</v>
      </c>
      <c r="BA73" s="34">
        <f t="shared" si="7"/>
        <v>20000000351</v>
      </c>
      <c r="BB73" s="30" t="s">
        <v>916</v>
      </c>
      <c r="BC73" s="30" t="s">
        <v>82</v>
      </c>
      <c r="BD73" s="30" t="s">
        <v>917</v>
      </c>
      <c r="BE73" s="30" t="s">
        <v>78</v>
      </c>
      <c r="BF73" s="30"/>
      <c r="BG73" s="30"/>
      <c r="BH73" s="30"/>
      <c r="BI73" s="30"/>
      <c r="BJ73" s="39">
        <v>916</v>
      </c>
      <c r="BK73" s="37">
        <v>21834061</v>
      </c>
      <c r="BL73" s="39"/>
      <c r="BM73" s="37"/>
      <c r="BN73" s="37">
        <v>26000000000</v>
      </c>
      <c r="BO73" s="34">
        <f t="shared" si="8"/>
        <v>19999999876</v>
      </c>
      <c r="BP73" s="30" t="s">
        <v>918</v>
      </c>
      <c r="BQ73" s="30" t="s">
        <v>82</v>
      </c>
      <c r="BR73" s="30" t="s">
        <v>919</v>
      </c>
      <c r="BS73" s="30" t="s">
        <v>78</v>
      </c>
      <c r="BT73" s="30"/>
      <c r="BU73" s="30"/>
      <c r="BV73" s="30"/>
      <c r="BW73" s="30"/>
      <c r="BX73" s="39">
        <v>1370</v>
      </c>
      <c r="BY73" s="37">
        <v>19708029</v>
      </c>
      <c r="BZ73" s="39"/>
      <c r="CA73" s="37"/>
      <c r="CB73" s="37">
        <v>31510000000</v>
      </c>
      <c r="CC73" s="34">
        <f t="shared" si="9"/>
        <v>26999999730</v>
      </c>
      <c r="CD73" s="30" t="s">
        <v>920</v>
      </c>
      <c r="CE73" s="30" t="s">
        <v>82</v>
      </c>
      <c r="CF73" s="30" t="s">
        <v>921</v>
      </c>
      <c r="CG73" s="30"/>
      <c r="CH73" s="30"/>
    </row>
    <row r="74" spans="1:86" ht="135" x14ac:dyDescent="0.25">
      <c r="B74" s="30" t="s">
        <v>922</v>
      </c>
      <c r="C74" s="30" t="s">
        <v>923</v>
      </c>
      <c r="D74" s="36">
        <v>45113</v>
      </c>
      <c r="E74" s="30" t="s">
        <v>97</v>
      </c>
      <c r="F74" s="30" t="s">
        <v>97</v>
      </c>
      <c r="G74" s="30"/>
      <c r="H74" s="30" t="s">
        <v>924</v>
      </c>
      <c r="I74" s="38" t="s">
        <v>925</v>
      </c>
      <c r="J74" s="30" t="s">
        <v>70</v>
      </c>
      <c r="K74" s="38"/>
      <c r="L74" s="38"/>
      <c r="M74" s="30"/>
      <c r="N74" s="30"/>
      <c r="O74" s="30"/>
      <c r="P74" s="30"/>
      <c r="Q74" s="30" t="s">
        <v>926</v>
      </c>
      <c r="R74" s="30" t="s">
        <v>927</v>
      </c>
      <c r="S74" s="30" t="s">
        <v>928</v>
      </c>
      <c r="T74" s="30" t="s">
        <v>625</v>
      </c>
      <c r="U74" s="30" t="s">
        <v>135</v>
      </c>
      <c r="V74" s="30" t="s">
        <v>95</v>
      </c>
      <c r="W74" s="30" t="s">
        <v>73</v>
      </c>
      <c r="X74" s="30" t="s">
        <v>86</v>
      </c>
      <c r="Y74" s="30" t="s">
        <v>75</v>
      </c>
      <c r="Z74" s="36">
        <v>45111</v>
      </c>
      <c r="AA74" s="36">
        <v>45111</v>
      </c>
      <c r="AB74" s="30" t="s">
        <v>76</v>
      </c>
      <c r="AC74" s="30"/>
      <c r="AD74" s="30"/>
      <c r="AE74" s="30"/>
      <c r="AF74" s="30"/>
      <c r="AG74" s="30"/>
      <c r="AH74" s="30"/>
      <c r="AI74" s="30"/>
      <c r="AJ74" s="33" t="str">
        <f t="shared" si="5"/>
        <v>95,00</v>
      </c>
      <c r="AK74" s="37">
        <v>24285000</v>
      </c>
      <c r="AL74" s="33">
        <f t="shared" si="6"/>
        <v>0</v>
      </c>
      <c r="AM74" s="37"/>
      <c r="AN74" s="37"/>
      <c r="AO74" s="37">
        <v>2169000000</v>
      </c>
      <c r="AP74" s="30" t="s">
        <v>929</v>
      </c>
      <c r="AQ74" s="30" t="s">
        <v>924</v>
      </c>
      <c r="AR74" s="30"/>
      <c r="AS74" s="30"/>
      <c r="AT74" s="30"/>
      <c r="AU74" s="30"/>
      <c r="AV74" s="38">
        <v>70</v>
      </c>
      <c r="AW74" s="37">
        <v>24285714</v>
      </c>
      <c r="AX74" s="38"/>
      <c r="AY74" s="37"/>
      <c r="AZ74" s="37">
        <v>2000000000</v>
      </c>
      <c r="BA74" s="34">
        <f t="shared" si="7"/>
        <v>1699999980</v>
      </c>
      <c r="BB74" s="30" t="s">
        <v>930</v>
      </c>
      <c r="BC74" s="30" t="s">
        <v>82</v>
      </c>
      <c r="BD74" s="30" t="s">
        <v>931</v>
      </c>
      <c r="BE74" s="30" t="s">
        <v>924</v>
      </c>
      <c r="BF74" s="30"/>
      <c r="BG74" s="30"/>
      <c r="BH74" s="30"/>
      <c r="BI74" s="30"/>
      <c r="BJ74" s="39">
        <v>80</v>
      </c>
      <c r="BK74" s="37">
        <v>23125000</v>
      </c>
      <c r="BL74" s="39"/>
      <c r="BM74" s="37"/>
      <c r="BN74" s="37">
        <v>2200000000</v>
      </c>
      <c r="BO74" s="34">
        <f t="shared" si="8"/>
        <v>1850000000</v>
      </c>
      <c r="BP74" s="30" t="s">
        <v>932</v>
      </c>
      <c r="BQ74" s="30" t="s">
        <v>82</v>
      </c>
      <c r="BR74" s="30" t="s">
        <v>933</v>
      </c>
      <c r="BS74" s="30" t="s">
        <v>924</v>
      </c>
      <c r="BT74" s="30"/>
      <c r="BU74" s="30"/>
      <c r="BV74" s="30"/>
      <c r="BW74" s="30"/>
      <c r="BX74" s="39">
        <v>70</v>
      </c>
      <c r="BY74" s="37">
        <v>24285714</v>
      </c>
      <c r="BZ74" s="39"/>
      <c r="CA74" s="37"/>
      <c r="CB74" s="37">
        <v>2100000000</v>
      </c>
      <c r="CC74" s="34">
        <f t="shared" si="9"/>
        <v>1699999980</v>
      </c>
      <c r="CD74" s="30" t="s">
        <v>934</v>
      </c>
      <c r="CE74" s="30" t="s">
        <v>82</v>
      </c>
      <c r="CF74" s="30" t="s">
        <v>644</v>
      </c>
      <c r="CG74" s="30"/>
      <c r="CH74" s="30"/>
    </row>
    <row r="75" spans="1:86" ht="165" x14ac:dyDescent="0.25">
      <c r="B75" s="45" t="s">
        <v>935</v>
      </c>
      <c r="C75" s="45" t="s">
        <v>936</v>
      </c>
      <c r="D75" s="47">
        <v>45120</v>
      </c>
      <c r="E75" s="45" t="s">
        <v>937</v>
      </c>
      <c r="F75" s="45" t="s">
        <v>100</v>
      </c>
      <c r="G75" s="45"/>
      <c r="H75" s="45" t="s">
        <v>853</v>
      </c>
      <c r="I75" s="46">
        <v>2170</v>
      </c>
      <c r="J75" s="45" t="s">
        <v>70</v>
      </c>
      <c r="K75" s="46">
        <v>1374</v>
      </c>
      <c r="L75" s="46"/>
      <c r="M75" s="45" t="s">
        <v>938</v>
      </c>
      <c r="N75" s="45"/>
      <c r="O75" s="45"/>
      <c r="P75" s="45"/>
      <c r="Q75" s="45"/>
      <c r="R75" s="45" t="s">
        <v>939</v>
      </c>
      <c r="S75" s="45" t="s">
        <v>940</v>
      </c>
      <c r="T75" s="45" t="s">
        <v>941</v>
      </c>
      <c r="U75" s="45" t="s">
        <v>942</v>
      </c>
      <c r="V75" s="45" t="s">
        <v>134</v>
      </c>
      <c r="W75" s="45" t="s">
        <v>73</v>
      </c>
      <c r="X75" s="45" t="s">
        <v>86</v>
      </c>
      <c r="Y75" s="45" t="s">
        <v>75</v>
      </c>
      <c r="Z75" s="47">
        <v>45834</v>
      </c>
      <c r="AA75" s="47">
        <v>45104</v>
      </c>
      <c r="AB75" s="45" t="s">
        <v>91</v>
      </c>
      <c r="AC75" s="45"/>
      <c r="AD75" s="45"/>
      <c r="AE75" s="45"/>
      <c r="AF75" s="45"/>
      <c r="AG75" s="45"/>
      <c r="AH75" s="45"/>
      <c r="AI75" s="45"/>
      <c r="AJ75" s="33">
        <f t="shared" si="5"/>
        <v>2170</v>
      </c>
      <c r="AK75" s="48">
        <v>2000000</v>
      </c>
      <c r="AL75" s="33">
        <f t="shared" si="6"/>
        <v>1374</v>
      </c>
      <c r="AM75" s="48"/>
      <c r="AN75" s="48" t="s">
        <v>943</v>
      </c>
      <c r="AO75" s="48">
        <v>9207000000</v>
      </c>
      <c r="AP75" s="45" t="s">
        <v>944</v>
      </c>
      <c r="AQ75" s="45" t="s">
        <v>78</v>
      </c>
      <c r="AR75" s="45"/>
      <c r="AS75" s="45"/>
      <c r="AT75" s="45"/>
      <c r="AU75" s="45"/>
      <c r="AV75" s="46">
        <v>3090</v>
      </c>
      <c r="AW75" s="48">
        <v>1350000</v>
      </c>
      <c r="AX75" s="46"/>
      <c r="AY75" s="48"/>
      <c r="AZ75" s="48">
        <v>4635000000</v>
      </c>
      <c r="BA75" s="34">
        <f t="shared" si="7"/>
        <v>4171500000</v>
      </c>
      <c r="BB75" s="45" t="s">
        <v>945</v>
      </c>
      <c r="BC75" s="45" t="s">
        <v>82</v>
      </c>
      <c r="BD75" s="45" t="s">
        <v>944</v>
      </c>
      <c r="BE75" s="45" t="s">
        <v>84</v>
      </c>
      <c r="BF75" s="45"/>
      <c r="BG75" s="45"/>
      <c r="BH75" s="45"/>
      <c r="BI75" s="45"/>
      <c r="BJ75" s="49">
        <v>569</v>
      </c>
      <c r="BK75" s="48">
        <v>2250615</v>
      </c>
      <c r="BL75" s="49">
        <v>200</v>
      </c>
      <c r="BM75" s="48"/>
      <c r="BN75" s="48">
        <v>1700000000</v>
      </c>
      <c r="BO75" s="34">
        <f t="shared" si="8"/>
        <v>1280599935</v>
      </c>
      <c r="BP75" s="45" t="s">
        <v>946</v>
      </c>
      <c r="BQ75" s="45" t="s">
        <v>82</v>
      </c>
      <c r="BR75" s="45" t="s">
        <v>944</v>
      </c>
      <c r="BS75" s="45" t="s">
        <v>98</v>
      </c>
      <c r="BT75" s="45"/>
      <c r="BU75" s="45"/>
      <c r="BV75" s="45"/>
      <c r="BW75" s="45"/>
      <c r="BX75" s="49">
        <v>470</v>
      </c>
      <c r="BY75" s="48">
        <v>1746447</v>
      </c>
      <c r="BZ75" s="49">
        <v>100</v>
      </c>
      <c r="CA75" s="48"/>
      <c r="CB75" s="48">
        <v>1100000000</v>
      </c>
      <c r="CC75" s="34">
        <f t="shared" si="9"/>
        <v>820830090</v>
      </c>
      <c r="CD75" s="45" t="s">
        <v>947</v>
      </c>
      <c r="CE75" s="45" t="s">
        <v>82</v>
      </c>
      <c r="CF75" s="45" t="s">
        <v>644</v>
      </c>
      <c r="CG75" s="45"/>
      <c r="CH75" s="45"/>
    </row>
    <row r="76" spans="1:86" ht="135" x14ac:dyDescent="0.25">
      <c r="B76" s="30" t="s">
        <v>935</v>
      </c>
      <c r="C76" s="30" t="s">
        <v>936</v>
      </c>
      <c r="D76" s="36">
        <v>45120</v>
      </c>
      <c r="E76" s="30" t="s">
        <v>937</v>
      </c>
      <c r="F76" s="30" t="s">
        <v>100</v>
      </c>
      <c r="G76" s="30"/>
      <c r="H76" s="30" t="s">
        <v>853</v>
      </c>
      <c r="I76" s="38">
        <v>1400</v>
      </c>
      <c r="J76" s="30" t="s">
        <v>70</v>
      </c>
      <c r="K76" s="38">
        <v>1643</v>
      </c>
      <c r="L76" s="38"/>
      <c r="M76" s="30"/>
      <c r="N76" s="30"/>
      <c r="O76" s="30"/>
      <c r="P76" s="30"/>
      <c r="Q76" s="30"/>
      <c r="R76" s="30" t="s">
        <v>948</v>
      </c>
      <c r="S76" s="30" t="s">
        <v>949</v>
      </c>
      <c r="T76" s="30" t="s">
        <v>950</v>
      </c>
      <c r="U76" s="30" t="s">
        <v>127</v>
      </c>
      <c r="V76" s="30" t="s">
        <v>128</v>
      </c>
      <c r="W76" s="30" t="s">
        <v>73</v>
      </c>
      <c r="X76" s="30" t="s">
        <v>86</v>
      </c>
      <c r="Y76" s="30" t="s">
        <v>75</v>
      </c>
      <c r="Z76" s="36">
        <v>45834</v>
      </c>
      <c r="AA76" s="36">
        <v>45104</v>
      </c>
      <c r="AB76" s="30" t="s">
        <v>91</v>
      </c>
      <c r="AC76" s="30"/>
      <c r="AD76" s="30"/>
      <c r="AE76" s="30"/>
      <c r="AF76" s="30"/>
      <c r="AG76" s="30"/>
      <c r="AH76" s="30"/>
      <c r="AI76" s="30"/>
      <c r="AJ76" s="33">
        <f t="shared" si="5"/>
        <v>1400</v>
      </c>
      <c r="AK76" s="37">
        <v>6000000</v>
      </c>
      <c r="AL76" s="33">
        <f t="shared" si="6"/>
        <v>1643</v>
      </c>
      <c r="AM76" s="37"/>
      <c r="AN76" s="37"/>
      <c r="AO76" s="37">
        <v>16624000000</v>
      </c>
      <c r="AP76" s="30" t="s">
        <v>951</v>
      </c>
      <c r="AQ76" s="30" t="s">
        <v>101</v>
      </c>
      <c r="AR76" s="30"/>
      <c r="AS76" s="30"/>
      <c r="AT76" s="30"/>
      <c r="AU76" s="30"/>
      <c r="AV76" s="38">
        <v>400</v>
      </c>
      <c r="AW76" s="37">
        <v>6294000</v>
      </c>
      <c r="AX76" s="38">
        <v>384</v>
      </c>
      <c r="AY76" s="37"/>
      <c r="AZ76" s="37">
        <v>4000000000</v>
      </c>
      <c r="BA76" s="34">
        <f t="shared" si="7"/>
        <v>2517600000</v>
      </c>
      <c r="BB76" s="30" t="s">
        <v>952</v>
      </c>
      <c r="BC76" s="30" t="s">
        <v>82</v>
      </c>
      <c r="BD76" s="30" t="s">
        <v>953</v>
      </c>
      <c r="BE76" s="30" t="s">
        <v>101</v>
      </c>
      <c r="BF76" s="30"/>
      <c r="BG76" s="30"/>
      <c r="BH76" s="30"/>
      <c r="BI76" s="30"/>
      <c r="BJ76" s="39">
        <v>500</v>
      </c>
      <c r="BK76" s="37">
        <v>5800000</v>
      </c>
      <c r="BL76" s="39"/>
      <c r="BM76" s="37"/>
      <c r="BN76" s="37">
        <v>3250000000</v>
      </c>
      <c r="BO76" s="34">
        <f t="shared" si="8"/>
        <v>2900000000</v>
      </c>
      <c r="BP76" s="30" t="s">
        <v>954</v>
      </c>
      <c r="BQ76" s="30" t="s">
        <v>82</v>
      </c>
      <c r="BR76" s="30" t="s">
        <v>955</v>
      </c>
      <c r="BS76" s="30" t="s">
        <v>78</v>
      </c>
      <c r="BT76" s="30"/>
      <c r="BU76" s="30"/>
      <c r="BV76" s="30"/>
      <c r="BW76" s="30"/>
      <c r="BX76" s="39">
        <v>400</v>
      </c>
      <c r="BY76" s="37">
        <v>5500000</v>
      </c>
      <c r="BZ76" s="39"/>
      <c r="CA76" s="37"/>
      <c r="CB76" s="37">
        <v>2400000000</v>
      </c>
      <c r="CC76" s="34">
        <f t="shared" si="9"/>
        <v>2200000000</v>
      </c>
      <c r="CD76" s="30" t="s">
        <v>956</v>
      </c>
      <c r="CE76" s="30" t="s">
        <v>82</v>
      </c>
      <c r="CF76" s="30" t="s">
        <v>957</v>
      </c>
      <c r="CG76" s="30"/>
      <c r="CH76" s="30"/>
    </row>
    <row r="77" spans="1:86" ht="135" x14ac:dyDescent="0.25">
      <c r="B77" s="30" t="s">
        <v>935</v>
      </c>
      <c r="C77" s="30" t="s">
        <v>936</v>
      </c>
      <c r="D77" s="36">
        <v>45120</v>
      </c>
      <c r="E77" s="30" t="s">
        <v>937</v>
      </c>
      <c r="F77" s="30" t="s">
        <v>100</v>
      </c>
      <c r="G77" s="30"/>
      <c r="H77" s="30" t="s">
        <v>853</v>
      </c>
      <c r="I77" s="38">
        <v>2094</v>
      </c>
      <c r="J77" s="30" t="s">
        <v>70</v>
      </c>
      <c r="K77" s="38">
        <v>1638</v>
      </c>
      <c r="L77" s="38"/>
      <c r="M77" s="30"/>
      <c r="N77" s="30"/>
      <c r="O77" s="30"/>
      <c r="P77" s="30"/>
      <c r="Q77" s="30"/>
      <c r="R77" s="30" t="s">
        <v>958</v>
      </c>
      <c r="S77" s="30" t="s">
        <v>959</v>
      </c>
      <c r="T77" s="30" t="s">
        <v>960</v>
      </c>
      <c r="U77" s="30" t="s">
        <v>420</v>
      </c>
      <c r="V77" s="30" t="s">
        <v>421</v>
      </c>
      <c r="W77" s="30" t="s">
        <v>73</v>
      </c>
      <c r="X77" s="30" t="s">
        <v>86</v>
      </c>
      <c r="Y77" s="30" t="s">
        <v>75</v>
      </c>
      <c r="Z77" s="36">
        <v>45835</v>
      </c>
      <c r="AA77" s="36">
        <v>45104</v>
      </c>
      <c r="AB77" s="30" t="s">
        <v>91</v>
      </c>
      <c r="AC77" s="30"/>
      <c r="AD77" s="30"/>
      <c r="AE77" s="30"/>
      <c r="AF77" s="30"/>
      <c r="AG77" s="30"/>
      <c r="AH77" s="30"/>
      <c r="AI77" s="30"/>
      <c r="AJ77" s="33">
        <f t="shared" si="5"/>
        <v>2094</v>
      </c>
      <c r="AK77" s="37">
        <v>3240000</v>
      </c>
      <c r="AL77" s="33">
        <f t="shared" si="6"/>
        <v>1638</v>
      </c>
      <c r="AM77" s="37"/>
      <c r="AN77" s="37"/>
      <c r="AO77" s="37">
        <v>10557000000</v>
      </c>
      <c r="AP77" s="30" t="s">
        <v>961</v>
      </c>
      <c r="AQ77" s="30" t="s">
        <v>78</v>
      </c>
      <c r="AR77" s="30"/>
      <c r="AS77" s="30"/>
      <c r="AT77" s="30"/>
      <c r="AU77" s="30"/>
      <c r="AV77" s="38">
        <v>4000</v>
      </c>
      <c r="AW77" s="37">
        <v>3125000</v>
      </c>
      <c r="AX77" s="38"/>
      <c r="AY77" s="37"/>
      <c r="AZ77" s="37">
        <v>14000000000</v>
      </c>
      <c r="BA77" s="34">
        <f t="shared" si="7"/>
        <v>12500000000</v>
      </c>
      <c r="BB77" s="30" t="s">
        <v>962</v>
      </c>
      <c r="BC77" s="30" t="s">
        <v>82</v>
      </c>
      <c r="BD77" s="30" t="s">
        <v>963</v>
      </c>
      <c r="BE77" s="30" t="s">
        <v>101</v>
      </c>
      <c r="BF77" s="30"/>
      <c r="BG77" s="30"/>
      <c r="BH77" s="30"/>
      <c r="BI77" s="30"/>
      <c r="BJ77" s="39">
        <v>1339</v>
      </c>
      <c r="BK77" s="37">
        <v>3265736</v>
      </c>
      <c r="BL77" s="39">
        <v>600</v>
      </c>
      <c r="BM77" s="37"/>
      <c r="BN77" s="37">
        <v>6500000000</v>
      </c>
      <c r="BO77" s="34">
        <f t="shared" si="8"/>
        <v>4372820504</v>
      </c>
      <c r="BP77" s="30" t="s">
        <v>964</v>
      </c>
      <c r="BQ77" s="30" t="s">
        <v>82</v>
      </c>
      <c r="BR77" s="30" t="s">
        <v>965</v>
      </c>
      <c r="BS77" s="30" t="s">
        <v>775</v>
      </c>
      <c r="BT77" s="30"/>
      <c r="BU77" s="30"/>
      <c r="BV77" s="30"/>
      <c r="BW77" s="30"/>
      <c r="BX77" s="39">
        <v>5205</v>
      </c>
      <c r="BY77" s="37">
        <v>3043678</v>
      </c>
      <c r="BZ77" s="39">
        <v>1000</v>
      </c>
      <c r="CA77" s="37"/>
      <c r="CB77" s="37">
        <v>20000000000</v>
      </c>
      <c r="CC77" s="34">
        <f t="shared" si="9"/>
        <v>15842343990</v>
      </c>
      <c r="CD77" s="30" t="s">
        <v>966</v>
      </c>
      <c r="CE77" s="30" t="s">
        <v>967</v>
      </c>
      <c r="CF77" s="30" t="s">
        <v>521</v>
      </c>
      <c r="CG77" s="30"/>
      <c r="CH77" s="30"/>
    </row>
    <row r="78" spans="1:86" ht="285" x14ac:dyDescent="0.25">
      <c r="B78" s="31" t="s">
        <v>935</v>
      </c>
      <c r="C78" s="31" t="s">
        <v>968</v>
      </c>
      <c r="D78" s="32">
        <v>45131</v>
      </c>
      <c r="E78" s="31" t="s">
        <v>937</v>
      </c>
      <c r="F78" s="31" t="s">
        <v>743</v>
      </c>
      <c r="G78" s="31"/>
      <c r="H78" s="31" t="s">
        <v>969</v>
      </c>
      <c r="I78" s="33">
        <v>8044</v>
      </c>
      <c r="J78" s="31" t="s">
        <v>70</v>
      </c>
      <c r="K78" s="33">
        <v>3147</v>
      </c>
      <c r="L78" s="33"/>
      <c r="M78" s="31"/>
      <c r="N78" s="31"/>
      <c r="O78" s="31"/>
      <c r="P78" s="31"/>
      <c r="Q78" s="31" t="s">
        <v>970</v>
      </c>
      <c r="R78" s="31" t="s">
        <v>971</v>
      </c>
      <c r="S78" s="31" t="s">
        <v>972</v>
      </c>
      <c r="T78" s="31" t="s">
        <v>973</v>
      </c>
      <c r="U78" s="31" t="s">
        <v>974</v>
      </c>
      <c r="V78" s="31" t="s">
        <v>95</v>
      </c>
      <c r="W78" s="31" t="s">
        <v>73</v>
      </c>
      <c r="X78" s="31" t="s">
        <v>86</v>
      </c>
      <c r="Y78" s="31" t="s">
        <v>111</v>
      </c>
      <c r="Z78" s="32">
        <v>45104</v>
      </c>
      <c r="AA78" s="32">
        <v>45113</v>
      </c>
      <c r="AB78" s="31" t="s">
        <v>91</v>
      </c>
      <c r="AC78" s="31"/>
      <c r="AD78" s="31"/>
      <c r="AE78" s="31"/>
      <c r="AF78" s="31"/>
      <c r="AG78" s="31"/>
      <c r="AH78" s="31"/>
      <c r="AI78" s="31"/>
      <c r="AJ78" s="33">
        <f t="shared" si="5"/>
        <v>8044</v>
      </c>
      <c r="AK78" s="34">
        <v>3030000</v>
      </c>
      <c r="AL78" s="33">
        <f t="shared" si="6"/>
        <v>3147</v>
      </c>
      <c r="AM78" s="34"/>
      <c r="AN78" s="34" t="s">
        <v>975</v>
      </c>
      <c r="AO78" s="34">
        <v>35182000000</v>
      </c>
      <c r="AP78" s="31" t="s">
        <v>976</v>
      </c>
      <c r="AQ78" s="31" t="s">
        <v>93</v>
      </c>
      <c r="AR78" s="31"/>
      <c r="AS78" s="31"/>
      <c r="AT78" s="31"/>
      <c r="AU78" s="31"/>
      <c r="AV78" s="33">
        <v>4775</v>
      </c>
      <c r="AW78" s="34">
        <v>3164621</v>
      </c>
      <c r="AX78" s="33">
        <v>3330</v>
      </c>
      <c r="AY78" s="34"/>
      <c r="AZ78" s="34">
        <v>30000000000</v>
      </c>
      <c r="BA78" s="34">
        <f t="shared" si="7"/>
        <v>15111065275</v>
      </c>
      <c r="BB78" s="31" t="s">
        <v>977</v>
      </c>
      <c r="BC78" s="31" t="s">
        <v>82</v>
      </c>
      <c r="BD78" s="31" t="s">
        <v>978</v>
      </c>
      <c r="BE78" s="31" t="s">
        <v>93</v>
      </c>
      <c r="BF78" s="31"/>
      <c r="BG78" s="31"/>
      <c r="BH78" s="31"/>
      <c r="BI78" s="31"/>
      <c r="BJ78" s="35">
        <v>7559</v>
      </c>
      <c r="BK78" s="34">
        <v>3034519</v>
      </c>
      <c r="BL78" s="35">
        <v>4267</v>
      </c>
      <c r="BM78" s="34"/>
      <c r="BN78" s="34">
        <v>40000000000</v>
      </c>
      <c r="BO78" s="34">
        <f t="shared" si="8"/>
        <v>22937929121</v>
      </c>
      <c r="BP78" s="31" t="s">
        <v>979</v>
      </c>
      <c r="BQ78" s="31" t="s">
        <v>82</v>
      </c>
      <c r="BR78" s="31" t="s">
        <v>976</v>
      </c>
      <c r="BS78" s="31" t="s">
        <v>78</v>
      </c>
      <c r="BT78" s="31"/>
      <c r="BU78" s="31"/>
      <c r="BV78" s="31"/>
      <c r="BW78" s="31"/>
      <c r="BX78" s="35">
        <v>11118</v>
      </c>
      <c r="BY78" s="34">
        <v>2653335</v>
      </c>
      <c r="BZ78" s="35"/>
      <c r="CA78" s="34"/>
      <c r="CB78" s="34">
        <v>33354000000</v>
      </c>
      <c r="CC78" s="34">
        <f t="shared" si="9"/>
        <v>29499778530</v>
      </c>
      <c r="CD78" s="31" t="s">
        <v>980</v>
      </c>
      <c r="CE78" s="31" t="s">
        <v>82</v>
      </c>
      <c r="CF78" s="31" t="s">
        <v>521</v>
      </c>
      <c r="CG78" s="31"/>
      <c r="CH78" s="31"/>
    </row>
    <row r="79" spans="1:86" ht="150" x14ac:dyDescent="0.25">
      <c r="B79" s="31" t="s">
        <v>935</v>
      </c>
      <c r="C79" s="31" t="s">
        <v>968</v>
      </c>
      <c r="D79" s="32">
        <v>45131</v>
      </c>
      <c r="E79" s="31" t="s">
        <v>937</v>
      </c>
      <c r="F79" s="31" t="s">
        <v>743</v>
      </c>
      <c r="G79" s="30"/>
      <c r="H79" s="30" t="s">
        <v>969</v>
      </c>
      <c r="I79" s="38">
        <v>2555</v>
      </c>
      <c r="J79" s="30" t="s">
        <v>70</v>
      </c>
      <c r="K79" s="38">
        <v>1894</v>
      </c>
      <c r="L79" s="38"/>
      <c r="M79" s="30"/>
      <c r="N79" s="30"/>
      <c r="O79" s="30"/>
      <c r="P79" s="30"/>
      <c r="Q79" s="30" t="s">
        <v>981</v>
      </c>
      <c r="R79" s="30" t="s">
        <v>982</v>
      </c>
      <c r="S79" s="30" t="s">
        <v>983</v>
      </c>
      <c r="T79" s="30" t="s">
        <v>984</v>
      </c>
      <c r="U79" s="30" t="s">
        <v>131</v>
      </c>
      <c r="V79" s="30" t="s">
        <v>72</v>
      </c>
      <c r="W79" s="30" t="s">
        <v>73</v>
      </c>
      <c r="X79" s="31" t="s">
        <v>86</v>
      </c>
      <c r="Y79" s="31" t="s">
        <v>111</v>
      </c>
      <c r="Z79" s="32">
        <v>45104</v>
      </c>
      <c r="AA79" s="36">
        <v>45104</v>
      </c>
      <c r="AB79" s="31" t="s">
        <v>91</v>
      </c>
      <c r="AC79" s="30"/>
      <c r="AD79" s="30"/>
      <c r="AE79" s="30"/>
      <c r="AF79" s="30"/>
      <c r="AG79" s="30"/>
      <c r="AH79" s="30"/>
      <c r="AI79" s="30"/>
      <c r="AJ79" s="33">
        <f t="shared" si="5"/>
        <v>2555</v>
      </c>
      <c r="AK79" s="37">
        <v>3770000</v>
      </c>
      <c r="AL79" s="33">
        <f t="shared" si="6"/>
        <v>1894</v>
      </c>
      <c r="AM79" s="37"/>
      <c r="AN79" s="37"/>
      <c r="AO79" s="37">
        <v>15535000000</v>
      </c>
      <c r="AP79" s="30" t="s">
        <v>985</v>
      </c>
      <c r="AQ79" s="30" t="s">
        <v>87</v>
      </c>
      <c r="AR79" s="30"/>
      <c r="AS79" s="30"/>
      <c r="AT79" s="30"/>
      <c r="AU79" s="30"/>
      <c r="AV79" s="38">
        <v>2720</v>
      </c>
      <c r="AW79" s="37">
        <v>3585665</v>
      </c>
      <c r="AX79" s="38">
        <v>1950</v>
      </c>
      <c r="AY79" s="37"/>
      <c r="AZ79" s="37">
        <v>15000000000</v>
      </c>
      <c r="BA79" s="34">
        <f t="shared" si="7"/>
        <v>9753008800</v>
      </c>
      <c r="BB79" s="30" t="s">
        <v>986</v>
      </c>
      <c r="BC79" s="30" t="s">
        <v>82</v>
      </c>
      <c r="BD79" s="30" t="s">
        <v>987</v>
      </c>
      <c r="BE79" s="30" t="s">
        <v>87</v>
      </c>
      <c r="BF79" s="30"/>
      <c r="BG79" s="30"/>
      <c r="BH79" s="30"/>
      <c r="BI79" s="30"/>
      <c r="BJ79" s="39">
        <v>2800</v>
      </c>
      <c r="BK79" s="37">
        <v>3994168</v>
      </c>
      <c r="BL79" s="39">
        <v>1624</v>
      </c>
      <c r="BM79" s="37"/>
      <c r="BN79" s="37">
        <v>18500000000</v>
      </c>
      <c r="BO79" s="34">
        <f t="shared" si="8"/>
        <v>11183670400</v>
      </c>
      <c r="BP79" s="30" t="s">
        <v>988</v>
      </c>
      <c r="BQ79" s="30" t="s">
        <v>82</v>
      </c>
      <c r="BR79" s="30" t="s">
        <v>989</v>
      </c>
      <c r="BS79" s="30" t="s">
        <v>78</v>
      </c>
      <c r="BT79" s="30"/>
      <c r="BU79" s="30"/>
      <c r="BV79" s="30"/>
      <c r="BW79" s="30"/>
      <c r="BX79" s="39">
        <v>2000</v>
      </c>
      <c r="BY79" s="37">
        <v>3600000</v>
      </c>
      <c r="BZ79" s="39"/>
      <c r="CA79" s="37"/>
      <c r="CB79" s="37">
        <v>8000000000</v>
      </c>
      <c r="CC79" s="34">
        <f t="shared" si="9"/>
        <v>7200000000</v>
      </c>
      <c r="CD79" s="30" t="s">
        <v>990</v>
      </c>
      <c r="CE79" s="30" t="s">
        <v>82</v>
      </c>
      <c r="CF79" s="30" t="s">
        <v>991</v>
      </c>
      <c r="CG79" s="30"/>
      <c r="CH79" s="30"/>
    </row>
    <row r="80" spans="1:86" ht="135" x14ac:dyDescent="0.25">
      <c r="B80" s="31" t="s">
        <v>935</v>
      </c>
      <c r="C80" s="31" t="s">
        <v>968</v>
      </c>
      <c r="D80" s="32">
        <v>45131</v>
      </c>
      <c r="E80" s="31" t="s">
        <v>937</v>
      </c>
      <c r="F80" s="31" t="s">
        <v>743</v>
      </c>
      <c r="G80" s="30"/>
      <c r="H80" s="30" t="s">
        <v>992</v>
      </c>
      <c r="I80" s="38">
        <v>246539</v>
      </c>
      <c r="J80" s="30" t="s">
        <v>70</v>
      </c>
      <c r="K80" s="38">
        <v>1230</v>
      </c>
      <c r="L80" s="38"/>
      <c r="M80" s="30"/>
      <c r="N80" s="30"/>
      <c r="O80" s="30"/>
      <c r="P80" s="30"/>
      <c r="Q80" s="30"/>
      <c r="R80" s="30" t="s">
        <v>993</v>
      </c>
      <c r="S80" s="30" t="s">
        <v>994</v>
      </c>
      <c r="T80" s="30" t="s">
        <v>995</v>
      </c>
      <c r="U80" s="30" t="s">
        <v>996</v>
      </c>
      <c r="V80" s="30" t="s">
        <v>95</v>
      </c>
      <c r="W80" s="30" t="s">
        <v>73</v>
      </c>
      <c r="X80" s="31" t="s">
        <v>86</v>
      </c>
      <c r="Y80" s="31" t="s">
        <v>111</v>
      </c>
      <c r="Z80" s="32">
        <v>45111</v>
      </c>
      <c r="AA80" s="36">
        <v>45111</v>
      </c>
      <c r="AB80" s="31" t="s">
        <v>91</v>
      </c>
      <c r="AC80" s="30"/>
      <c r="AD80" s="30"/>
      <c r="AE80" s="30"/>
      <c r="AF80" s="30"/>
      <c r="AG80" s="30"/>
      <c r="AH80" s="30"/>
      <c r="AI80" s="30"/>
      <c r="AJ80" s="33">
        <f t="shared" si="5"/>
        <v>246539</v>
      </c>
      <c r="AK80" s="37">
        <v>460000</v>
      </c>
      <c r="AL80" s="33">
        <f t="shared" si="6"/>
        <v>1230</v>
      </c>
      <c r="AM80" s="37"/>
      <c r="AN80" s="37"/>
      <c r="AO80" s="37">
        <v>113840000000</v>
      </c>
      <c r="AP80" s="30" t="s">
        <v>997</v>
      </c>
      <c r="AQ80" s="30" t="s">
        <v>78</v>
      </c>
      <c r="AR80" s="30"/>
      <c r="AS80" s="30"/>
      <c r="AT80" s="30"/>
      <c r="AU80" s="30"/>
      <c r="AV80" s="38">
        <v>50000</v>
      </c>
      <c r="AW80" s="37">
        <v>720000</v>
      </c>
      <c r="AX80" s="38"/>
      <c r="AY80" s="37"/>
      <c r="AZ80" s="37">
        <v>45000000000</v>
      </c>
      <c r="BA80" s="34">
        <f t="shared" si="7"/>
        <v>36000000000</v>
      </c>
      <c r="BB80" s="30" t="s">
        <v>998</v>
      </c>
      <c r="BC80" s="30" t="s">
        <v>82</v>
      </c>
      <c r="BD80" s="30" t="s">
        <v>997</v>
      </c>
      <c r="BE80" s="30" t="s">
        <v>78</v>
      </c>
      <c r="BF80" s="30"/>
      <c r="BG80" s="30"/>
      <c r="BH80" s="30"/>
      <c r="BI80" s="30"/>
      <c r="BJ80" s="39">
        <v>39266</v>
      </c>
      <c r="BK80" s="37">
        <v>585748</v>
      </c>
      <c r="BL80" s="39"/>
      <c r="BM80" s="37"/>
      <c r="BN80" s="37">
        <v>25522900000</v>
      </c>
      <c r="BO80" s="34">
        <f t="shared" si="8"/>
        <v>22999980968</v>
      </c>
      <c r="BP80" s="30" t="s">
        <v>999</v>
      </c>
      <c r="BQ80" s="30" t="s">
        <v>82</v>
      </c>
      <c r="BR80" s="30" t="s">
        <v>1000</v>
      </c>
      <c r="BS80" s="30" t="s">
        <v>78</v>
      </c>
      <c r="BT80" s="30"/>
      <c r="BU80" s="30"/>
      <c r="BV80" s="30"/>
      <c r="BW80" s="30"/>
      <c r="BX80" s="39">
        <v>11467</v>
      </c>
      <c r="BY80" s="37">
        <v>741258</v>
      </c>
      <c r="BZ80" s="39"/>
      <c r="CA80" s="37"/>
      <c r="CB80" s="37">
        <v>10000003756</v>
      </c>
      <c r="CC80" s="34">
        <f t="shared" si="9"/>
        <v>8500005486</v>
      </c>
      <c r="CD80" s="30" t="s">
        <v>1001</v>
      </c>
      <c r="CE80" s="30" t="s">
        <v>82</v>
      </c>
      <c r="CF80" s="30" t="s">
        <v>1002</v>
      </c>
      <c r="CG80" s="30"/>
      <c r="CH80" s="30"/>
    </row>
    <row r="81" spans="2:86" ht="120" x14ac:dyDescent="0.25">
      <c r="B81" s="31" t="s">
        <v>935</v>
      </c>
      <c r="C81" s="31" t="s">
        <v>968</v>
      </c>
      <c r="D81" s="32">
        <v>45131</v>
      </c>
      <c r="E81" s="31" t="s">
        <v>937</v>
      </c>
      <c r="F81" s="31" t="s">
        <v>743</v>
      </c>
      <c r="G81" s="30"/>
      <c r="H81" s="30" t="s">
        <v>1003</v>
      </c>
      <c r="I81" s="38">
        <v>145874</v>
      </c>
      <c r="J81" s="30" t="s">
        <v>70</v>
      </c>
      <c r="K81" s="38">
        <v>29694</v>
      </c>
      <c r="L81" s="38"/>
      <c r="M81" s="30"/>
      <c r="N81" s="30"/>
      <c r="O81" s="30"/>
      <c r="P81" s="30"/>
      <c r="Q81" s="30"/>
      <c r="R81" s="30" t="s">
        <v>1004</v>
      </c>
      <c r="S81" s="30" t="s">
        <v>1005</v>
      </c>
      <c r="T81" s="30" t="s">
        <v>1006</v>
      </c>
      <c r="U81" s="30" t="s">
        <v>996</v>
      </c>
      <c r="V81" s="30" t="s">
        <v>95</v>
      </c>
      <c r="W81" s="30" t="s">
        <v>73</v>
      </c>
      <c r="X81" s="31" t="s">
        <v>86</v>
      </c>
      <c r="Y81" s="31" t="s">
        <v>111</v>
      </c>
      <c r="Z81" s="32">
        <v>45111</v>
      </c>
      <c r="AA81" s="36">
        <v>45113</v>
      </c>
      <c r="AB81" s="31" t="s">
        <v>91</v>
      </c>
      <c r="AC81" s="30"/>
      <c r="AD81" s="30"/>
      <c r="AE81" s="30"/>
      <c r="AF81" s="30"/>
      <c r="AG81" s="30"/>
      <c r="AH81" s="30"/>
      <c r="AI81" s="30"/>
      <c r="AJ81" s="33">
        <f t="shared" si="5"/>
        <v>145874</v>
      </c>
      <c r="AK81" s="37">
        <v>500000</v>
      </c>
      <c r="AL81" s="33">
        <f t="shared" si="6"/>
        <v>29694</v>
      </c>
      <c r="AM81" s="37"/>
      <c r="AN81" s="37"/>
      <c r="AO81" s="37">
        <v>92242000000</v>
      </c>
      <c r="AP81" s="30" t="s">
        <v>1007</v>
      </c>
      <c r="AQ81" s="30" t="s">
        <v>268</v>
      </c>
      <c r="AR81" s="30"/>
      <c r="AS81" s="30"/>
      <c r="AT81" s="30"/>
      <c r="AU81" s="30"/>
      <c r="AV81" s="38">
        <v>48000</v>
      </c>
      <c r="AW81" s="37">
        <v>523958</v>
      </c>
      <c r="AX81" s="38">
        <v>10000</v>
      </c>
      <c r="AY81" s="37"/>
      <c r="AZ81" s="37">
        <v>43200000000</v>
      </c>
      <c r="BA81" s="34">
        <f t="shared" si="7"/>
        <v>25149984000</v>
      </c>
      <c r="BB81" s="30" t="s">
        <v>1008</v>
      </c>
      <c r="BC81" s="30" t="s">
        <v>82</v>
      </c>
      <c r="BD81" s="30" t="s">
        <v>1009</v>
      </c>
      <c r="BE81" s="30" t="s">
        <v>78</v>
      </c>
      <c r="BF81" s="30"/>
      <c r="BG81" s="30"/>
      <c r="BH81" s="30"/>
      <c r="BI81" s="30"/>
      <c r="BJ81" s="39">
        <v>100000</v>
      </c>
      <c r="BK81" s="37">
        <v>650000</v>
      </c>
      <c r="BL81" s="39"/>
      <c r="BM81" s="37"/>
      <c r="BN81" s="37">
        <v>95000000000</v>
      </c>
      <c r="BO81" s="34">
        <f t="shared" si="8"/>
        <v>65000000000</v>
      </c>
      <c r="BP81" s="30" t="s">
        <v>1010</v>
      </c>
      <c r="BQ81" s="30" t="s">
        <v>82</v>
      </c>
      <c r="BR81" s="30" t="s">
        <v>1011</v>
      </c>
      <c r="BS81" s="30" t="s">
        <v>78</v>
      </c>
      <c r="BT81" s="30"/>
      <c r="BU81" s="30"/>
      <c r="BV81" s="30"/>
      <c r="BW81" s="30"/>
      <c r="BX81" s="39">
        <v>50000</v>
      </c>
      <c r="BY81" s="37">
        <v>650000</v>
      </c>
      <c r="BZ81" s="39"/>
      <c r="CA81" s="37"/>
      <c r="CB81" s="37">
        <v>40000000000</v>
      </c>
      <c r="CC81" s="34">
        <f t="shared" si="9"/>
        <v>32500000000</v>
      </c>
      <c r="CD81" s="30" t="s">
        <v>1010</v>
      </c>
      <c r="CE81" s="30" t="s">
        <v>137</v>
      </c>
      <c r="CF81" s="30" t="s">
        <v>1012</v>
      </c>
      <c r="CG81" s="30"/>
      <c r="CH81" s="30"/>
    </row>
    <row r="82" spans="2:86" ht="120" x14ac:dyDescent="0.25">
      <c r="B82" s="31" t="s">
        <v>935</v>
      </c>
      <c r="C82" s="31" t="s">
        <v>968</v>
      </c>
      <c r="D82" s="32">
        <v>45131</v>
      </c>
      <c r="E82" s="31" t="s">
        <v>937</v>
      </c>
      <c r="F82" s="31" t="s">
        <v>743</v>
      </c>
      <c r="G82" s="30"/>
      <c r="H82" s="30" t="s">
        <v>1013</v>
      </c>
      <c r="I82" s="38">
        <v>33218</v>
      </c>
      <c r="J82" s="30" t="s">
        <v>70</v>
      </c>
      <c r="K82" s="38"/>
      <c r="L82" s="38"/>
      <c r="M82" s="30"/>
      <c r="N82" s="30"/>
      <c r="O82" s="30"/>
      <c r="P82" s="30"/>
      <c r="Q82" s="30"/>
      <c r="R82" s="30" t="s">
        <v>1014</v>
      </c>
      <c r="S82" s="30" t="s">
        <v>1015</v>
      </c>
      <c r="T82" s="30" t="s">
        <v>1016</v>
      </c>
      <c r="U82" s="30" t="s">
        <v>996</v>
      </c>
      <c r="V82" s="30" t="s">
        <v>95</v>
      </c>
      <c r="W82" s="30" t="s">
        <v>73</v>
      </c>
      <c r="X82" s="31" t="s">
        <v>86</v>
      </c>
      <c r="Y82" s="31" t="s">
        <v>1017</v>
      </c>
      <c r="Z82" s="32">
        <v>45081</v>
      </c>
      <c r="AA82" s="36">
        <v>45083</v>
      </c>
      <c r="AB82" s="31" t="s">
        <v>91</v>
      </c>
      <c r="AC82" s="30"/>
      <c r="AD82" s="30"/>
      <c r="AE82" s="30"/>
      <c r="AF82" s="30"/>
      <c r="AG82" s="30"/>
      <c r="AH82" s="30"/>
      <c r="AI82" s="30"/>
      <c r="AJ82" s="33">
        <f t="shared" si="5"/>
        <v>33218</v>
      </c>
      <c r="AK82" s="37"/>
      <c r="AL82" s="33">
        <f t="shared" si="6"/>
        <v>0</v>
      </c>
      <c r="AM82" s="37"/>
      <c r="AN82" s="37"/>
      <c r="AO82" s="37">
        <v>72000000</v>
      </c>
      <c r="AP82" s="30" t="s">
        <v>1018</v>
      </c>
      <c r="AQ82" s="30" t="s">
        <v>1019</v>
      </c>
      <c r="AR82" s="30"/>
      <c r="AS82" s="30"/>
      <c r="AT82" s="30"/>
      <c r="AU82" s="30"/>
      <c r="AV82" s="38">
        <v>30000</v>
      </c>
      <c r="AW82" s="37"/>
      <c r="AX82" s="38"/>
      <c r="AY82" s="37"/>
      <c r="AZ82" s="37">
        <v>36000000</v>
      </c>
      <c r="BA82" s="34">
        <f t="shared" si="7"/>
        <v>0</v>
      </c>
      <c r="BB82" s="30" t="s">
        <v>1020</v>
      </c>
      <c r="BC82" s="30" t="s">
        <v>82</v>
      </c>
      <c r="BD82" s="30" t="s">
        <v>1021</v>
      </c>
      <c r="BE82" s="30" t="s">
        <v>1022</v>
      </c>
      <c r="BF82" s="30"/>
      <c r="BG82" s="30"/>
      <c r="BH82" s="30"/>
      <c r="BI82" s="30"/>
      <c r="BJ82" s="39">
        <v>80000</v>
      </c>
      <c r="BK82" s="37"/>
      <c r="BL82" s="39"/>
      <c r="BM82" s="37"/>
      <c r="BN82" s="37">
        <v>96000000</v>
      </c>
      <c r="BO82" s="34">
        <f t="shared" si="8"/>
        <v>0</v>
      </c>
      <c r="BP82" s="30" t="s">
        <v>1023</v>
      </c>
      <c r="BQ82" s="30" t="s">
        <v>82</v>
      </c>
      <c r="BR82" s="30" t="s">
        <v>1024</v>
      </c>
      <c r="BS82" s="30" t="s">
        <v>1019</v>
      </c>
      <c r="BT82" s="30"/>
      <c r="BU82" s="30"/>
      <c r="BV82" s="30"/>
      <c r="BW82" s="30"/>
      <c r="BX82" s="39">
        <v>25000</v>
      </c>
      <c r="BY82" s="37"/>
      <c r="BZ82" s="39"/>
      <c r="CA82" s="37"/>
      <c r="CB82" s="37">
        <v>30000000</v>
      </c>
      <c r="CC82" s="34">
        <f t="shared" si="9"/>
        <v>0</v>
      </c>
      <c r="CD82" s="30" t="s">
        <v>1025</v>
      </c>
      <c r="CE82" s="30" t="s">
        <v>82</v>
      </c>
      <c r="CF82" s="30" t="s">
        <v>1012</v>
      </c>
      <c r="CG82" s="30"/>
      <c r="CH82" s="30"/>
    </row>
    <row r="83" spans="2:86" ht="165" x14ac:dyDescent="0.25">
      <c r="B83" s="31" t="s">
        <v>935</v>
      </c>
      <c r="C83" s="31" t="s">
        <v>968</v>
      </c>
      <c r="D83" s="32">
        <v>45131</v>
      </c>
      <c r="E83" s="31" t="s">
        <v>937</v>
      </c>
      <c r="F83" s="31" t="s">
        <v>743</v>
      </c>
      <c r="G83" s="30"/>
      <c r="H83" s="30" t="s">
        <v>84</v>
      </c>
      <c r="I83" s="38">
        <v>75</v>
      </c>
      <c r="J83" s="30" t="s">
        <v>70</v>
      </c>
      <c r="K83" s="38">
        <v>28</v>
      </c>
      <c r="L83" s="38"/>
      <c r="M83" s="30"/>
      <c r="N83" s="30"/>
      <c r="O83" s="30"/>
      <c r="P83" s="30"/>
      <c r="Q83" s="30"/>
      <c r="R83" s="30" t="s">
        <v>1026</v>
      </c>
      <c r="S83" s="30" t="s">
        <v>1027</v>
      </c>
      <c r="T83" s="30" t="s">
        <v>1028</v>
      </c>
      <c r="U83" s="30" t="s">
        <v>996</v>
      </c>
      <c r="V83" s="30" t="s">
        <v>95</v>
      </c>
      <c r="W83" s="30" t="s">
        <v>73</v>
      </c>
      <c r="X83" s="31" t="s">
        <v>86</v>
      </c>
      <c r="Y83" s="31" t="s">
        <v>111</v>
      </c>
      <c r="Z83" s="32">
        <v>45081</v>
      </c>
      <c r="AA83" s="36">
        <v>45083</v>
      </c>
      <c r="AB83" s="31" t="s">
        <v>91</v>
      </c>
      <c r="AC83" s="30"/>
      <c r="AD83" s="30"/>
      <c r="AE83" s="30"/>
      <c r="AF83" s="30"/>
      <c r="AG83" s="30"/>
      <c r="AH83" s="30"/>
      <c r="AI83" s="30"/>
      <c r="AJ83" s="33">
        <f t="shared" si="5"/>
        <v>75</v>
      </c>
      <c r="AK83" s="37">
        <v>540000</v>
      </c>
      <c r="AL83" s="33">
        <f t="shared" si="6"/>
        <v>28</v>
      </c>
      <c r="AM83" s="37"/>
      <c r="AN83" s="37"/>
      <c r="AO83" s="37">
        <v>102000000</v>
      </c>
      <c r="AP83" s="30" t="s">
        <v>1029</v>
      </c>
      <c r="AQ83" s="30" t="s">
        <v>84</v>
      </c>
      <c r="AR83" s="30"/>
      <c r="AS83" s="30"/>
      <c r="AT83" s="30"/>
      <c r="AU83" s="30"/>
      <c r="AV83" s="38">
        <v>250</v>
      </c>
      <c r="AW83" s="37">
        <v>540963</v>
      </c>
      <c r="AX83" s="38">
        <v>221</v>
      </c>
      <c r="AY83" s="37"/>
      <c r="AZ83" s="37">
        <v>600000000</v>
      </c>
      <c r="BA83" s="34">
        <f t="shared" si="7"/>
        <v>135240750</v>
      </c>
      <c r="BB83" s="30" t="s">
        <v>1030</v>
      </c>
      <c r="BC83" s="30" t="s">
        <v>82</v>
      </c>
      <c r="BD83" s="30" t="s">
        <v>1031</v>
      </c>
      <c r="BE83" s="30" t="s">
        <v>84</v>
      </c>
      <c r="BF83" s="30"/>
      <c r="BG83" s="30"/>
      <c r="BH83" s="30"/>
      <c r="BI83" s="30"/>
      <c r="BJ83" s="39">
        <v>210</v>
      </c>
      <c r="BK83" s="37">
        <v>523810</v>
      </c>
      <c r="BL83" s="39">
        <v>400</v>
      </c>
      <c r="BM83" s="37"/>
      <c r="BN83" s="37">
        <v>2100000000</v>
      </c>
      <c r="BO83" s="34">
        <f t="shared" si="8"/>
        <v>110000100</v>
      </c>
      <c r="BP83" s="30"/>
      <c r="BQ83" s="30" t="s">
        <v>82</v>
      </c>
      <c r="BR83" s="30" t="s">
        <v>1031</v>
      </c>
      <c r="BS83" s="30" t="s">
        <v>84</v>
      </c>
      <c r="BT83" s="30"/>
      <c r="BU83" s="30"/>
      <c r="BV83" s="30"/>
      <c r="BW83" s="30"/>
      <c r="BX83" s="39">
        <v>163</v>
      </c>
      <c r="BY83" s="37">
        <v>541885</v>
      </c>
      <c r="BZ83" s="39">
        <v>163</v>
      </c>
      <c r="CA83" s="37"/>
      <c r="CB83" s="37">
        <v>700000000</v>
      </c>
      <c r="CC83" s="34">
        <f t="shared" si="9"/>
        <v>88327255</v>
      </c>
      <c r="CD83" s="30" t="s">
        <v>1032</v>
      </c>
      <c r="CE83" s="30" t="s">
        <v>82</v>
      </c>
      <c r="CF83" s="30" t="s">
        <v>1033</v>
      </c>
      <c r="CG83" s="30"/>
      <c r="CH83" s="30"/>
    </row>
    <row r="84" spans="2:86" ht="165" x14ac:dyDescent="0.25">
      <c r="B84" s="31" t="s">
        <v>935</v>
      </c>
      <c r="C84" s="31" t="s">
        <v>968</v>
      </c>
      <c r="D84" s="32">
        <v>45131</v>
      </c>
      <c r="E84" s="31" t="s">
        <v>937</v>
      </c>
      <c r="F84" s="31" t="s">
        <v>743</v>
      </c>
      <c r="G84" s="30"/>
      <c r="H84" s="30" t="s">
        <v>84</v>
      </c>
      <c r="I84" s="38">
        <v>100</v>
      </c>
      <c r="J84" s="30" t="s">
        <v>70</v>
      </c>
      <c r="K84" s="38">
        <v>29</v>
      </c>
      <c r="L84" s="38"/>
      <c r="M84" s="30"/>
      <c r="N84" s="30"/>
      <c r="O84" s="30"/>
      <c r="P84" s="30"/>
      <c r="Q84" s="30"/>
      <c r="R84" s="30" t="s">
        <v>1026</v>
      </c>
      <c r="S84" s="30" t="s">
        <v>1027</v>
      </c>
      <c r="T84" s="30" t="s">
        <v>1034</v>
      </c>
      <c r="U84" s="30" t="s">
        <v>1035</v>
      </c>
      <c r="V84" s="30" t="s">
        <v>95</v>
      </c>
      <c r="W84" s="30" t="s">
        <v>73</v>
      </c>
      <c r="X84" s="31" t="s">
        <v>86</v>
      </c>
      <c r="Y84" s="31" t="s">
        <v>111</v>
      </c>
      <c r="Z84" s="32">
        <v>45081</v>
      </c>
      <c r="AA84" s="36">
        <v>45083</v>
      </c>
      <c r="AB84" s="31" t="s">
        <v>91</v>
      </c>
      <c r="AC84" s="30"/>
      <c r="AD84" s="30"/>
      <c r="AE84" s="30"/>
      <c r="AF84" s="30"/>
      <c r="AG84" s="30"/>
      <c r="AH84" s="30"/>
      <c r="AI84" s="30"/>
      <c r="AJ84" s="33">
        <f t="shared" si="5"/>
        <v>100</v>
      </c>
      <c r="AK84" s="37">
        <v>550000</v>
      </c>
      <c r="AL84" s="33">
        <f t="shared" si="6"/>
        <v>29</v>
      </c>
      <c r="AM84" s="37"/>
      <c r="AN84" s="37"/>
      <c r="AO84" s="37">
        <v>103000000</v>
      </c>
      <c r="AP84" s="30" t="s">
        <v>1029</v>
      </c>
      <c r="AQ84" s="30" t="s">
        <v>84</v>
      </c>
      <c r="AR84" s="30"/>
      <c r="AS84" s="30"/>
      <c r="AT84" s="30"/>
      <c r="AU84" s="30"/>
      <c r="AV84" s="38">
        <v>250</v>
      </c>
      <c r="AW84" s="37">
        <v>540963</v>
      </c>
      <c r="AX84" s="38">
        <v>221</v>
      </c>
      <c r="AY84" s="37"/>
      <c r="AZ84" s="37">
        <v>600000000</v>
      </c>
      <c r="BA84" s="34">
        <f t="shared" si="7"/>
        <v>135240750</v>
      </c>
      <c r="BB84" s="30" t="s">
        <v>1030</v>
      </c>
      <c r="BC84" s="30" t="s">
        <v>82</v>
      </c>
      <c r="BD84" s="30" t="s">
        <v>1031</v>
      </c>
      <c r="BE84" s="30" t="s">
        <v>84</v>
      </c>
      <c r="BF84" s="30"/>
      <c r="BG84" s="30"/>
      <c r="BH84" s="30"/>
      <c r="BI84" s="30"/>
      <c r="BJ84" s="39">
        <v>210</v>
      </c>
      <c r="BK84" s="37">
        <v>523810</v>
      </c>
      <c r="BL84" s="39">
        <v>400</v>
      </c>
      <c r="BM84" s="37"/>
      <c r="BN84" s="37">
        <v>2100000000</v>
      </c>
      <c r="BO84" s="34">
        <f t="shared" si="8"/>
        <v>110000100</v>
      </c>
      <c r="BP84" s="30"/>
      <c r="BQ84" s="30" t="s">
        <v>82</v>
      </c>
      <c r="BR84" s="30" t="s">
        <v>1031</v>
      </c>
      <c r="BS84" s="30" t="s">
        <v>84</v>
      </c>
      <c r="BT84" s="30"/>
      <c r="BU84" s="30"/>
      <c r="BV84" s="30"/>
      <c r="BW84" s="30"/>
      <c r="BX84" s="39">
        <v>163</v>
      </c>
      <c r="BY84" s="37">
        <v>541885</v>
      </c>
      <c r="BZ84" s="39">
        <v>163</v>
      </c>
      <c r="CA84" s="37"/>
      <c r="CB84" s="37">
        <v>700000000</v>
      </c>
      <c r="CC84" s="34">
        <f t="shared" si="9"/>
        <v>88327255</v>
      </c>
      <c r="CD84" s="30" t="s">
        <v>1032</v>
      </c>
      <c r="CE84" s="30" t="s">
        <v>82</v>
      </c>
      <c r="CF84" s="30" t="s">
        <v>1033</v>
      </c>
      <c r="CG84" s="30"/>
      <c r="CH84" s="30"/>
    </row>
    <row r="85" spans="2:86" ht="135" x14ac:dyDescent="0.25">
      <c r="B85" s="31" t="s">
        <v>935</v>
      </c>
      <c r="C85" s="31" t="s">
        <v>968</v>
      </c>
      <c r="D85" s="32">
        <v>45131</v>
      </c>
      <c r="E85" s="31" t="s">
        <v>937</v>
      </c>
      <c r="F85" s="31" t="s">
        <v>743</v>
      </c>
      <c r="G85" s="30"/>
      <c r="H85" s="30" t="s">
        <v>1036</v>
      </c>
      <c r="I85" s="38">
        <v>55720</v>
      </c>
      <c r="J85" s="30" t="s">
        <v>70</v>
      </c>
      <c r="K85" s="38">
        <v>12410</v>
      </c>
      <c r="L85" s="38"/>
      <c r="M85" s="30"/>
      <c r="N85" s="30"/>
      <c r="O85" s="30"/>
      <c r="P85" s="30"/>
      <c r="Q85" s="30"/>
      <c r="R85" s="30" t="s">
        <v>1037</v>
      </c>
      <c r="S85" s="30" t="s">
        <v>1038</v>
      </c>
      <c r="T85" s="30" t="s">
        <v>1034</v>
      </c>
      <c r="U85" s="30" t="s">
        <v>1035</v>
      </c>
      <c r="V85" s="30" t="s">
        <v>95</v>
      </c>
      <c r="W85" s="30" t="s">
        <v>73</v>
      </c>
      <c r="X85" s="31" t="s">
        <v>86</v>
      </c>
      <c r="Y85" s="31" t="s">
        <v>111</v>
      </c>
      <c r="Z85" s="32">
        <v>45112</v>
      </c>
      <c r="AA85" s="36">
        <v>45112</v>
      </c>
      <c r="AB85" s="31" t="s">
        <v>91</v>
      </c>
      <c r="AC85" s="30"/>
      <c r="AD85" s="30"/>
      <c r="AE85" s="30"/>
      <c r="AF85" s="30"/>
      <c r="AG85" s="30"/>
      <c r="AH85" s="30"/>
      <c r="AI85" s="30"/>
      <c r="AJ85" s="33">
        <f t="shared" si="5"/>
        <v>55720</v>
      </c>
      <c r="AK85" s="37">
        <v>300000</v>
      </c>
      <c r="AL85" s="33">
        <f t="shared" si="6"/>
        <v>12410</v>
      </c>
      <c r="AM85" s="37"/>
      <c r="AN85" s="37"/>
      <c r="AO85" s="37">
        <v>23468000000</v>
      </c>
      <c r="AP85" s="30" t="s">
        <v>1039</v>
      </c>
      <c r="AQ85" s="30" t="s">
        <v>78</v>
      </c>
      <c r="AR85" s="30"/>
      <c r="AS85" s="30"/>
      <c r="AT85" s="30"/>
      <c r="AU85" s="30"/>
      <c r="AV85" s="38">
        <v>54000</v>
      </c>
      <c r="AW85" s="37">
        <v>277778</v>
      </c>
      <c r="AX85" s="38"/>
      <c r="AY85" s="37"/>
      <c r="AZ85" s="37">
        <v>20520000000</v>
      </c>
      <c r="BA85" s="34">
        <f t="shared" si="7"/>
        <v>15000012000</v>
      </c>
      <c r="BB85" s="30" t="s">
        <v>1040</v>
      </c>
      <c r="BC85" s="30" t="s">
        <v>82</v>
      </c>
      <c r="BD85" s="30" t="s">
        <v>1041</v>
      </c>
      <c r="BE85" s="30" t="s">
        <v>78</v>
      </c>
      <c r="BF85" s="30"/>
      <c r="BG85" s="30"/>
      <c r="BH85" s="30"/>
      <c r="BI85" s="30"/>
      <c r="BJ85" s="39">
        <v>40000</v>
      </c>
      <c r="BK85" s="37">
        <v>287500</v>
      </c>
      <c r="BL85" s="39"/>
      <c r="BM85" s="37"/>
      <c r="BN85" s="37">
        <v>15200000000</v>
      </c>
      <c r="BO85" s="34">
        <f t="shared" si="8"/>
        <v>11500000000</v>
      </c>
      <c r="BP85" s="30" t="s">
        <v>1040</v>
      </c>
      <c r="BQ85" s="30" t="s">
        <v>82</v>
      </c>
      <c r="BR85" s="30" t="s">
        <v>1000</v>
      </c>
      <c r="BS85" s="30" t="s">
        <v>87</v>
      </c>
      <c r="BT85" s="30"/>
      <c r="BU85" s="30"/>
      <c r="BV85" s="30"/>
      <c r="BW85" s="30"/>
      <c r="BX85" s="39">
        <v>6050</v>
      </c>
      <c r="BY85" s="37">
        <v>344678</v>
      </c>
      <c r="BZ85" s="39">
        <v>700</v>
      </c>
      <c r="CA85" s="37"/>
      <c r="CB85" s="37">
        <v>3500000000</v>
      </c>
      <c r="CC85" s="34">
        <f t="shared" si="9"/>
        <v>2085301900</v>
      </c>
      <c r="CD85" s="30" t="s">
        <v>1042</v>
      </c>
      <c r="CE85" s="30" t="s">
        <v>82</v>
      </c>
      <c r="CF85" s="30" t="s">
        <v>1043</v>
      </c>
      <c r="CG85" s="30"/>
      <c r="CH85" s="30"/>
    </row>
    <row r="86" spans="2:86" ht="165" x14ac:dyDescent="0.25">
      <c r="B86" s="31" t="s">
        <v>935</v>
      </c>
      <c r="C86" s="31" t="s">
        <v>968</v>
      </c>
      <c r="D86" s="32">
        <v>45131</v>
      </c>
      <c r="E86" s="31" t="s">
        <v>937</v>
      </c>
      <c r="F86" s="31" t="s">
        <v>743</v>
      </c>
      <c r="G86" s="30"/>
      <c r="H86" s="30" t="s">
        <v>1044</v>
      </c>
      <c r="I86" s="38">
        <v>14930</v>
      </c>
      <c r="J86" s="30" t="s">
        <v>70</v>
      </c>
      <c r="K86" s="38">
        <v>1811</v>
      </c>
      <c r="L86" s="38"/>
      <c r="M86" s="30"/>
      <c r="N86" s="30"/>
      <c r="O86" s="30"/>
      <c r="P86" s="30"/>
      <c r="Q86" s="30"/>
      <c r="R86" s="30" t="s">
        <v>1037</v>
      </c>
      <c r="S86" s="30" t="s">
        <v>1045</v>
      </c>
      <c r="T86" s="30" t="s">
        <v>1034</v>
      </c>
      <c r="U86" s="30" t="s">
        <v>1035</v>
      </c>
      <c r="V86" s="30" t="s">
        <v>95</v>
      </c>
      <c r="W86" s="30" t="s">
        <v>73</v>
      </c>
      <c r="X86" s="31" t="s">
        <v>86</v>
      </c>
      <c r="Y86" s="31" t="s">
        <v>111</v>
      </c>
      <c r="Z86" s="32">
        <v>45084</v>
      </c>
      <c r="AA86" s="36">
        <v>45084</v>
      </c>
      <c r="AB86" s="31" t="s">
        <v>91</v>
      </c>
      <c r="AC86" s="30"/>
      <c r="AD86" s="30"/>
      <c r="AE86" s="30"/>
      <c r="AF86" s="30"/>
      <c r="AG86" s="30"/>
      <c r="AH86" s="30"/>
      <c r="AI86" s="30"/>
      <c r="AJ86" s="33">
        <f t="shared" si="5"/>
        <v>14930</v>
      </c>
      <c r="AK86" s="37">
        <v>330000</v>
      </c>
      <c r="AL86" s="33">
        <f t="shared" si="6"/>
        <v>1811</v>
      </c>
      <c r="AM86" s="37"/>
      <c r="AN86" s="37"/>
      <c r="AO86" s="37">
        <v>6144000000</v>
      </c>
      <c r="AP86" s="30" t="s">
        <v>1039</v>
      </c>
      <c r="AQ86" s="30" t="s">
        <v>78</v>
      </c>
      <c r="AR86" s="30"/>
      <c r="AS86" s="30"/>
      <c r="AT86" s="30"/>
      <c r="AU86" s="30"/>
      <c r="AV86" s="38">
        <v>54000</v>
      </c>
      <c r="AW86" s="37">
        <v>27778</v>
      </c>
      <c r="AX86" s="38"/>
      <c r="AY86" s="37"/>
      <c r="AZ86" s="37">
        <v>20520000000</v>
      </c>
      <c r="BA86" s="34">
        <f t="shared" si="7"/>
        <v>1500012000</v>
      </c>
      <c r="BB86" s="30" t="s">
        <v>1046</v>
      </c>
      <c r="BC86" s="30" t="s">
        <v>82</v>
      </c>
      <c r="BD86" s="30" t="s">
        <v>1041</v>
      </c>
      <c r="BE86" s="30" t="s">
        <v>78</v>
      </c>
      <c r="BF86" s="30"/>
      <c r="BG86" s="30"/>
      <c r="BH86" s="30"/>
      <c r="BI86" s="30"/>
      <c r="BJ86" s="39">
        <v>40000</v>
      </c>
      <c r="BK86" s="37">
        <v>287500</v>
      </c>
      <c r="BL86" s="39"/>
      <c r="BM86" s="37"/>
      <c r="BN86" s="37">
        <v>15200000000</v>
      </c>
      <c r="BO86" s="34">
        <f t="shared" si="8"/>
        <v>11500000000</v>
      </c>
      <c r="BP86" s="30" t="s">
        <v>1047</v>
      </c>
      <c r="BQ86" s="30" t="s">
        <v>82</v>
      </c>
      <c r="BR86" s="30" t="s">
        <v>1048</v>
      </c>
      <c r="BS86" s="30" t="s">
        <v>268</v>
      </c>
      <c r="BT86" s="30"/>
      <c r="BU86" s="30"/>
      <c r="BV86" s="30"/>
      <c r="BW86" s="30"/>
      <c r="BX86" s="39">
        <v>6050</v>
      </c>
      <c r="BY86" s="37">
        <v>344678</v>
      </c>
      <c r="BZ86" s="39">
        <v>700</v>
      </c>
      <c r="CA86" s="37"/>
      <c r="CB86" s="37">
        <v>3500000000</v>
      </c>
      <c r="CC86" s="34">
        <f t="shared" si="9"/>
        <v>2085301900</v>
      </c>
      <c r="CD86" s="30" t="s">
        <v>1042</v>
      </c>
      <c r="CE86" s="30" t="s">
        <v>82</v>
      </c>
      <c r="CF86" s="30" t="s">
        <v>1033</v>
      </c>
      <c r="CG86" s="30"/>
      <c r="CH86" s="30"/>
    </row>
    <row r="87" spans="2:86" ht="120" x14ac:dyDescent="0.25">
      <c r="B87" s="31" t="s">
        <v>935</v>
      </c>
      <c r="C87" s="31" t="s">
        <v>968</v>
      </c>
      <c r="D87" s="32">
        <v>45131</v>
      </c>
      <c r="E87" s="31" t="s">
        <v>937</v>
      </c>
      <c r="F87" s="31" t="s">
        <v>743</v>
      </c>
      <c r="G87" s="30"/>
      <c r="H87" s="30" t="s">
        <v>1036</v>
      </c>
      <c r="I87" s="38">
        <v>18330</v>
      </c>
      <c r="J87" s="30" t="s">
        <v>70</v>
      </c>
      <c r="K87" s="38">
        <v>2060</v>
      </c>
      <c r="L87" s="38"/>
      <c r="M87" s="30"/>
      <c r="N87" s="30"/>
      <c r="O87" s="30"/>
      <c r="P87" s="30"/>
      <c r="Q87" s="30"/>
      <c r="R87" s="30" t="s">
        <v>1049</v>
      </c>
      <c r="S87" s="30" t="s">
        <v>1045</v>
      </c>
      <c r="T87" s="30" t="s">
        <v>1034</v>
      </c>
      <c r="U87" s="30" t="s">
        <v>1035</v>
      </c>
      <c r="V87" s="30" t="s">
        <v>95</v>
      </c>
      <c r="W87" s="30" t="s">
        <v>73</v>
      </c>
      <c r="X87" s="31" t="s">
        <v>86</v>
      </c>
      <c r="Y87" s="31" t="s">
        <v>111</v>
      </c>
      <c r="Z87" s="32">
        <v>45112</v>
      </c>
      <c r="AA87" s="36">
        <v>45082</v>
      </c>
      <c r="AB87" s="31" t="s">
        <v>91</v>
      </c>
      <c r="AC87" s="30"/>
      <c r="AD87" s="30"/>
      <c r="AE87" s="30"/>
      <c r="AF87" s="30"/>
      <c r="AG87" s="30"/>
      <c r="AH87" s="30"/>
      <c r="AI87" s="30"/>
      <c r="AJ87" s="33">
        <f t="shared" si="5"/>
        <v>18330</v>
      </c>
      <c r="AK87" s="37">
        <v>310000</v>
      </c>
      <c r="AL87" s="33">
        <f t="shared" si="6"/>
        <v>2060</v>
      </c>
      <c r="AM87" s="37"/>
      <c r="AN87" s="37"/>
      <c r="AO87" s="37">
        <v>7465000000</v>
      </c>
      <c r="AP87" s="30" t="s">
        <v>1039</v>
      </c>
      <c r="AQ87" s="30" t="s">
        <v>78</v>
      </c>
      <c r="AR87" s="30"/>
      <c r="AS87" s="30"/>
      <c r="AT87" s="30"/>
      <c r="AU87" s="30"/>
      <c r="AV87" s="38">
        <v>54000</v>
      </c>
      <c r="AW87" s="37">
        <v>27778</v>
      </c>
      <c r="AX87" s="38"/>
      <c r="AY87" s="37"/>
      <c r="AZ87" s="37">
        <v>20520000000</v>
      </c>
      <c r="BA87" s="34">
        <f t="shared" si="7"/>
        <v>1500012000</v>
      </c>
      <c r="BB87" s="30" t="s">
        <v>1040</v>
      </c>
      <c r="BC87" s="30" t="s">
        <v>82</v>
      </c>
      <c r="BD87" s="30" t="s">
        <v>1041</v>
      </c>
      <c r="BE87" s="30" t="s">
        <v>78</v>
      </c>
      <c r="BF87" s="30"/>
      <c r="BG87" s="30"/>
      <c r="BH87" s="30"/>
      <c r="BI87" s="30"/>
      <c r="BJ87" s="39">
        <v>40000</v>
      </c>
      <c r="BK87" s="37">
        <v>287500</v>
      </c>
      <c r="BL87" s="39"/>
      <c r="BM87" s="37"/>
      <c r="BN87" s="37">
        <v>15200000000</v>
      </c>
      <c r="BO87" s="34">
        <f t="shared" si="8"/>
        <v>11500000000</v>
      </c>
      <c r="BP87" s="30" t="s">
        <v>1040</v>
      </c>
      <c r="BQ87" s="30" t="s">
        <v>82</v>
      </c>
      <c r="BR87" s="30" t="s">
        <v>1050</v>
      </c>
      <c r="BS87" s="30" t="s">
        <v>268</v>
      </c>
      <c r="BT87" s="30"/>
      <c r="BU87" s="30"/>
      <c r="BV87" s="30"/>
      <c r="BW87" s="30"/>
      <c r="BX87" s="39">
        <v>6050</v>
      </c>
      <c r="BY87" s="37">
        <v>344678</v>
      </c>
      <c r="BZ87" s="39">
        <v>700</v>
      </c>
      <c r="CA87" s="37"/>
      <c r="CB87" s="37">
        <v>3500000000</v>
      </c>
      <c r="CC87" s="34">
        <f t="shared" si="9"/>
        <v>2085301900</v>
      </c>
      <c r="CD87" s="30" t="s">
        <v>1042</v>
      </c>
      <c r="CE87" s="30" t="s">
        <v>82</v>
      </c>
      <c r="CF87" s="30" t="s">
        <v>1043</v>
      </c>
      <c r="CG87" s="30"/>
      <c r="CH87" s="30"/>
    </row>
    <row r="88" spans="2:86" ht="150" x14ac:dyDescent="0.25">
      <c r="B88" s="30" t="s">
        <v>1051</v>
      </c>
      <c r="C88" s="30" t="s">
        <v>1052</v>
      </c>
      <c r="D88" s="36">
        <v>45139</v>
      </c>
      <c r="E88" s="30" t="s">
        <v>811</v>
      </c>
      <c r="F88" s="30" t="s">
        <v>811</v>
      </c>
      <c r="G88" s="30"/>
      <c r="H88" s="30" t="s">
        <v>84</v>
      </c>
      <c r="I88" s="38">
        <v>60</v>
      </c>
      <c r="J88" s="30" t="s">
        <v>70</v>
      </c>
      <c r="K88" s="38">
        <v>67</v>
      </c>
      <c r="L88" s="38"/>
      <c r="M88" s="30"/>
      <c r="N88" s="30"/>
      <c r="O88" s="30"/>
      <c r="P88" s="30"/>
      <c r="Q88" s="30" t="s">
        <v>1053</v>
      </c>
      <c r="R88" s="30" t="s">
        <v>1054</v>
      </c>
      <c r="S88" s="30" t="s">
        <v>855</v>
      </c>
      <c r="T88" s="30" t="s">
        <v>625</v>
      </c>
      <c r="U88" s="30" t="s">
        <v>135</v>
      </c>
      <c r="V88" s="30" t="s">
        <v>95</v>
      </c>
      <c r="W88" s="30" t="s">
        <v>73</v>
      </c>
      <c r="X88" s="30" t="s">
        <v>638</v>
      </c>
      <c r="Y88" s="30" t="s">
        <v>75</v>
      </c>
      <c r="Z88" s="36">
        <v>45103</v>
      </c>
      <c r="AA88" s="36">
        <v>45103</v>
      </c>
      <c r="AB88" s="30" t="s">
        <v>91</v>
      </c>
      <c r="AC88" s="30"/>
      <c r="AD88" s="30"/>
      <c r="AE88" s="30"/>
      <c r="AF88" s="30"/>
      <c r="AG88" s="30"/>
      <c r="AH88" s="30"/>
      <c r="AI88" s="30"/>
      <c r="AJ88" s="33">
        <f t="shared" si="5"/>
        <v>60</v>
      </c>
      <c r="AK88" s="37">
        <v>5100000</v>
      </c>
      <c r="AL88" s="33">
        <f t="shared" si="6"/>
        <v>67</v>
      </c>
      <c r="AM88" s="37"/>
      <c r="AN88" s="37"/>
      <c r="AO88" s="37">
        <v>463000000</v>
      </c>
      <c r="AP88" s="30" t="s">
        <v>1055</v>
      </c>
      <c r="AQ88" s="30" t="s">
        <v>84</v>
      </c>
      <c r="AR88" s="30"/>
      <c r="AS88" s="30"/>
      <c r="AT88" s="30"/>
      <c r="AU88" s="30"/>
      <c r="AV88" s="38">
        <v>108</v>
      </c>
      <c r="AW88" s="37">
        <v>5098287</v>
      </c>
      <c r="AX88" s="38">
        <v>45</v>
      </c>
      <c r="AY88" s="37"/>
      <c r="AZ88" s="37">
        <v>790000000</v>
      </c>
      <c r="BA88" s="34">
        <f t="shared" si="7"/>
        <v>550614996</v>
      </c>
      <c r="BB88" s="30" t="s">
        <v>1056</v>
      </c>
      <c r="BC88" s="30" t="s">
        <v>82</v>
      </c>
      <c r="BD88" s="30" t="s">
        <v>1057</v>
      </c>
      <c r="BE88" s="30" t="s">
        <v>84</v>
      </c>
      <c r="BF88" s="30"/>
      <c r="BG88" s="30"/>
      <c r="BH88" s="30"/>
      <c r="BI88" s="30"/>
      <c r="BJ88" s="39">
        <v>116</v>
      </c>
      <c r="BK88" s="37">
        <v>5073190</v>
      </c>
      <c r="BL88" s="39">
        <v>92</v>
      </c>
      <c r="BM88" s="37"/>
      <c r="BN88" s="37">
        <v>1000000000</v>
      </c>
      <c r="BO88" s="34">
        <f t="shared" si="8"/>
        <v>588490040</v>
      </c>
      <c r="BP88" s="30" t="s">
        <v>1058</v>
      </c>
      <c r="BQ88" s="30" t="s">
        <v>82</v>
      </c>
      <c r="BR88" s="30" t="s">
        <v>1059</v>
      </c>
      <c r="BS88" s="30" t="s">
        <v>84</v>
      </c>
      <c r="BT88" s="30"/>
      <c r="BU88" s="30"/>
      <c r="BV88" s="30"/>
      <c r="BW88" s="30"/>
      <c r="BX88" s="39">
        <v>147</v>
      </c>
      <c r="BY88" s="37">
        <v>5597388</v>
      </c>
      <c r="BZ88" s="39">
        <v>120</v>
      </c>
      <c r="CA88" s="37"/>
      <c r="CB88" s="37">
        <v>1400000000</v>
      </c>
      <c r="CC88" s="34">
        <f t="shared" si="9"/>
        <v>822816036</v>
      </c>
      <c r="CD88" s="30" t="s">
        <v>1060</v>
      </c>
      <c r="CE88" s="30" t="s">
        <v>82</v>
      </c>
      <c r="CF88" s="30" t="s">
        <v>644</v>
      </c>
      <c r="CG88" s="30"/>
      <c r="CH88" s="30"/>
    </row>
    <row r="89" spans="2:86" ht="105" x14ac:dyDescent="0.25">
      <c r="B89" s="30" t="s">
        <v>1061</v>
      </c>
      <c r="C89" s="30" t="s">
        <v>1062</v>
      </c>
      <c r="D89" s="36">
        <v>45140</v>
      </c>
      <c r="E89" s="30" t="s">
        <v>405</v>
      </c>
      <c r="F89" s="30" t="s">
        <v>405</v>
      </c>
      <c r="G89" s="30"/>
      <c r="H89" s="30" t="s">
        <v>84</v>
      </c>
      <c r="I89" s="38">
        <v>407</v>
      </c>
      <c r="J89" s="30" t="s">
        <v>70</v>
      </c>
      <c r="K89" s="38">
        <v>166</v>
      </c>
      <c r="L89" s="38"/>
      <c r="M89" s="30"/>
      <c r="N89" s="30"/>
      <c r="O89" s="30"/>
      <c r="P89" s="30"/>
      <c r="Q89" s="30"/>
      <c r="R89" s="30" t="s">
        <v>1063</v>
      </c>
      <c r="S89" s="30" t="s">
        <v>1064</v>
      </c>
      <c r="T89" s="30" t="s">
        <v>1065</v>
      </c>
      <c r="U89" s="30" t="s">
        <v>1066</v>
      </c>
      <c r="V89" s="30" t="s">
        <v>72</v>
      </c>
      <c r="W89" s="30" t="s">
        <v>73</v>
      </c>
      <c r="X89" s="30" t="s">
        <v>146</v>
      </c>
      <c r="Y89" s="30" t="s">
        <v>1067</v>
      </c>
      <c r="Z89" s="36">
        <v>45125</v>
      </c>
      <c r="AA89" s="36">
        <v>45125</v>
      </c>
      <c r="AB89" s="30" t="s">
        <v>91</v>
      </c>
      <c r="AC89" s="30"/>
      <c r="AD89" s="30"/>
      <c r="AE89" s="30"/>
      <c r="AF89" s="30"/>
      <c r="AG89" s="30"/>
      <c r="AH89" s="30"/>
      <c r="AI89" s="30"/>
      <c r="AJ89" s="33">
        <f t="shared" si="5"/>
        <v>407</v>
      </c>
      <c r="AK89" s="37">
        <v>3000000</v>
      </c>
      <c r="AL89" s="33">
        <f t="shared" si="6"/>
        <v>166</v>
      </c>
      <c r="AM89" s="37"/>
      <c r="AN89" s="37" t="s">
        <v>1068</v>
      </c>
      <c r="AO89" s="37">
        <v>1293000000</v>
      </c>
      <c r="AP89" s="30" t="s">
        <v>1069</v>
      </c>
      <c r="AQ89" s="30" t="s">
        <v>1070</v>
      </c>
      <c r="AR89" s="30"/>
      <c r="AS89" s="30"/>
      <c r="AT89" s="30"/>
      <c r="AU89" s="30"/>
      <c r="AV89" s="38">
        <v>500</v>
      </c>
      <c r="AW89" s="37">
        <v>3022350</v>
      </c>
      <c r="AX89" s="38">
        <v>300</v>
      </c>
      <c r="AY89" s="37"/>
      <c r="AZ89" s="37">
        <v>3000000000</v>
      </c>
      <c r="BA89" s="34">
        <f t="shared" si="7"/>
        <v>1511175000</v>
      </c>
      <c r="BB89" s="30" t="s">
        <v>1071</v>
      </c>
      <c r="BC89" s="30" t="s">
        <v>82</v>
      </c>
      <c r="BD89" s="30" t="s">
        <v>1072</v>
      </c>
      <c r="BE89" s="30" t="s">
        <v>1073</v>
      </c>
      <c r="BF89" s="30"/>
      <c r="BG89" s="30"/>
      <c r="BH89" s="30"/>
      <c r="BI89" s="30"/>
      <c r="BJ89" s="39">
        <v>500</v>
      </c>
      <c r="BK89" s="37">
        <v>2897376</v>
      </c>
      <c r="BL89" s="39">
        <v>480</v>
      </c>
      <c r="BM89" s="37"/>
      <c r="BN89" s="37">
        <v>3500000000</v>
      </c>
      <c r="BO89" s="34">
        <f t="shared" si="8"/>
        <v>1448688000</v>
      </c>
      <c r="BP89" s="30" t="s">
        <v>1074</v>
      </c>
      <c r="BQ89" s="30" t="s">
        <v>82</v>
      </c>
      <c r="BR89" s="30" t="s">
        <v>1075</v>
      </c>
      <c r="BS89" s="30" t="s">
        <v>78</v>
      </c>
      <c r="BT89" s="30"/>
      <c r="BU89" s="30"/>
      <c r="BV89" s="30"/>
      <c r="BW89" s="30"/>
      <c r="BX89" s="39">
        <v>660</v>
      </c>
      <c r="BY89" s="37">
        <v>3106061</v>
      </c>
      <c r="BZ89" s="39"/>
      <c r="CA89" s="37"/>
      <c r="CB89" s="37">
        <v>2310000000</v>
      </c>
      <c r="CC89" s="34">
        <f t="shared" si="9"/>
        <v>2050000260</v>
      </c>
      <c r="CD89" s="30" t="s">
        <v>1076</v>
      </c>
      <c r="CE89" s="30" t="s">
        <v>82</v>
      </c>
      <c r="CF89" s="30" t="s">
        <v>1077</v>
      </c>
      <c r="CG89" s="30"/>
      <c r="CH89" s="30"/>
    </row>
    <row r="90" spans="2:86" ht="120" x14ac:dyDescent="0.25">
      <c r="B90" s="30" t="s">
        <v>1061</v>
      </c>
      <c r="C90" s="30" t="s">
        <v>1062</v>
      </c>
      <c r="D90" s="36">
        <v>45140</v>
      </c>
      <c r="E90" s="30" t="s">
        <v>405</v>
      </c>
      <c r="F90" s="30" t="s">
        <v>405</v>
      </c>
      <c r="G90" s="30"/>
      <c r="H90" s="30" t="s">
        <v>84</v>
      </c>
      <c r="I90" s="38">
        <v>407</v>
      </c>
      <c r="J90" s="30" t="s">
        <v>70</v>
      </c>
      <c r="K90" s="38">
        <v>166</v>
      </c>
      <c r="L90" s="38"/>
      <c r="M90" s="30"/>
      <c r="N90" s="30"/>
      <c r="O90" s="30"/>
      <c r="P90" s="30"/>
      <c r="Q90" s="30"/>
      <c r="R90" s="30" t="s">
        <v>1063</v>
      </c>
      <c r="S90" s="30" t="s">
        <v>1064</v>
      </c>
      <c r="T90" s="30" t="s">
        <v>1065</v>
      </c>
      <c r="U90" s="30" t="s">
        <v>1066</v>
      </c>
      <c r="V90" s="30" t="s">
        <v>72</v>
      </c>
      <c r="W90" s="30" t="s">
        <v>73</v>
      </c>
      <c r="X90" s="30" t="s">
        <v>1078</v>
      </c>
      <c r="Y90" s="30" t="s">
        <v>1067</v>
      </c>
      <c r="Z90" s="36">
        <v>45125</v>
      </c>
      <c r="AA90" s="36">
        <v>45125</v>
      </c>
      <c r="AB90" s="30" t="s">
        <v>91</v>
      </c>
      <c r="AC90" s="30"/>
      <c r="AD90" s="30"/>
      <c r="AE90" s="30"/>
      <c r="AF90" s="30"/>
      <c r="AG90" s="30"/>
      <c r="AH90" s="30"/>
      <c r="AI90" s="30"/>
      <c r="AJ90" s="33">
        <f t="shared" si="5"/>
        <v>407</v>
      </c>
      <c r="AK90" s="37">
        <v>140000</v>
      </c>
      <c r="AL90" s="33">
        <f t="shared" si="6"/>
        <v>166</v>
      </c>
      <c r="AM90" s="37"/>
      <c r="AN90" s="37" t="s">
        <v>1079</v>
      </c>
      <c r="AO90" s="37">
        <v>1293000000</v>
      </c>
      <c r="AP90" s="30" t="s">
        <v>1069</v>
      </c>
      <c r="AQ90" s="30" t="s">
        <v>1070</v>
      </c>
      <c r="AR90" s="30"/>
      <c r="AS90" s="30"/>
      <c r="AT90" s="30"/>
      <c r="AU90" s="30"/>
      <c r="AV90" s="38">
        <v>500</v>
      </c>
      <c r="AW90" s="37">
        <v>166667</v>
      </c>
      <c r="AX90" s="38">
        <v>300</v>
      </c>
      <c r="AY90" s="37"/>
      <c r="AZ90" s="37">
        <v>60000000</v>
      </c>
      <c r="BA90" s="34">
        <f t="shared" si="7"/>
        <v>83333500</v>
      </c>
      <c r="BB90" s="30" t="s">
        <v>1071</v>
      </c>
      <c r="BC90" s="30" t="s">
        <v>82</v>
      </c>
      <c r="BD90" s="30" t="s">
        <v>1080</v>
      </c>
      <c r="BE90" s="30" t="s">
        <v>1070</v>
      </c>
      <c r="BF90" s="30"/>
      <c r="BG90" s="30"/>
      <c r="BH90" s="30"/>
      <c r="BI90" s="30"/>
      <c r="BJ90" s="39">
        <v>500</v>
      </c>
      <c r="BK90" s="37">
        <v>102041</v>
      </c>
      <c r="BL90" s="39">
        <v>686</v>
      </c>
      <c r="BM90" s="37"/>
      <c r="BN90" s="37">
        <v>100000000</v>
      </c>
      <c r="BO90" s="34">
        <f t="shared" si="8"/>
        <v>51020500</v>
      </c>
      <c r="BP90" s="30" t="s">
        <v>1081</v>
      </c>
      <c r="BQ90" s="30" t="s">
        <v>82</v>
      </c>
      <c r="BR90" s="30" t="s">
        <v>1082</v>
      </c>
      <c r="BS90" s="30" t="s">
        <v>101</v>
      </c>
      <c r="BT90" s="30"/>
      <c r="BU90" s="30"/>
      <c r="BV90" s="30"/>
      <c r="BW90" s="30"/>
      <c r="BX90" s="39">
        <v>470</v>
      </c>
      <c r="BY90" s="37">
        <v>135000</v>
      </c>
      <c r="BZ90" s="39">
        <v>1000</v>
      </c>
      <c r="CA90" s="37"/>
      <c r="CB90" s="37">
        <v>150000000</v>
      </c>
      <c r="CC90" s="34">
        <f t="shared" si="9"/>
        <v>63450000</v>
      </c>
      <c r="CD90" s="30" t="s">
        <v>1083</v>
      </c>
      <c r="CE90" s="30" t="s">
        <v>82</v>
      </c>
      <c r="CF90" s="30" t="s">
        <v>1077</v>
      </c>
      <c r="CG90" s="30"/>
      <c r="CH90" s="30"/>
    </row>
    <row r="91" spans="2:86" ht="120" x14ac:dyDescent="0.25">
      <c r="B91" s="30" t="s">
        <v>1084</v>
      </c>
      <c r="C91" s="30" t="s">
        <v>1085</v>
      </c>
      <c r="D91" s="36">
        <v>45141</v>
      </c>
      <c r="E91" s="30" t="s">
        <v>1086</v>
      </c>
      <c r="F91" s="30" t="s">
        <v>1087</v>
      </c>
      <c r="G91" s="30"/>
      <c r="H91" s="30" t="s">
        <v>1088</v>
      </c>
      <c r="I91" s="38">
        <v>7385</v>
      </c>
      <c r="J91" s="30" t="s">
        <v>70</v>
      </c>
      <c r="K91" s="38">
        <v>8367</v>
      </c>
      <c r="L91" s="38"/>
      <c r="M91" s="30"/>
      <c r="N91" s="30"/>
      <c r="O91" s="30"/>
      <c r="P91" s="30"/>
      <c r="Q91" s="30"/>
      <c r="R91" s="30" t="s">
        <v>1089</v>
      </c>
      <c r="S91" s="30" t="s">
        <v>1090</v>
      </c>
      <c r="T91" s="30" t="s">
        <v>1091</v>
      </c>
      <c r="U91" s="30" t="s">
        <v>486</v>
      </c>
      <c r="V91" s="30" t="s">
        <v>80</v>
      </c>
      <c r="W91" s="30" t="s">
        <v>73</v>
      </c>
      <c r="X91" s="30" t="s">
        <v>89</v>
      </c>
      <c r="Y91" s="30" t="s">
        <v>90</v>
      </c>
      <c r="Z91" s="36">
        <v>45128</v>
      </c>
      <c r="AA91" s="36">
        <v>45128</v>
      </c>
      <c r="AB91" s="30" t="s">
        <v>91</v>
      </c>
      <c r="AC91" s="30"/>
      <c r="AD91" s="30"/>
      <c r="AE91" s="30"/>
      <c r="AF91" s="30"/>
      <c r="AG91" s="30"/>
      <c r="AH91" s="30"/>
      <c r="AI91" s="30"/>
      <c r="AJ91" s="33">
        <f t="shared" si="5"/>
        <v>7385</v>
      </c>
      <c r="AK91" s="37">
        <v>6200000</v>
      </c>
      <c r="AL91" s="33">
        <f t="shared" si="6"/>
        <v>8367</v>
      </c>
      <c r="AM91" s="37"/>
      <c r="AN91" s="37"/>
      <c r="AO91" s="37">
        <v>60521000000</v>
      </c>
      <c r="AP91" s="30" t="s">
        <v>1092</v>
      </c>
      <c r="AQ91" s="30" t="s">
        <v>78</v>
      </c>
      <c r="AR91" s="30"/>
      <c r="AS91" s="30"/>
      <c r="AT91" s="30"/>
      <c r="AU91" s="30"/>
      <c r="AV91" s="38">
        <v>7155</v>
      </c>
      <c r="AW91" s="37">
        <v>6429071</v>
      </c>
      <c r="AX91" s="38"/>
      <c r="AY91" s="37"/>
      <c r="AZ91" s="37">
        <v>53662500000</v>
      </c>
      <c r="BA91" s="34">
        <f t="shared" si="7"/>
        <v>46000003005</v>
      </c>
      <c r="BB91" s="30" t="s">
        <v>1093</v>
      </c>
      <c r="BC91" s="30" t="s">
        <v>82</v>
      </c>
      <c r="BD91" s="30" t="s">
        <v>1094</v>
      </c>
      <c r="BE91" s="30" t="s">
        <v>268</v>
      </c>
      <c r="BF91" s="30"/>
      <c r="BG91" s="30"/>
      <c r="BH91" s="30"/>
      <c r="BI91" s="30"/>
      <c r="BJ91" s="39">
        <v>12600</v>
      </c>
      <c r="BK91" s="37">
        <v>4854921</v>
      </c>
      <c r="BL91" s="39">
        <v>4000</v>
      </c>
      <c r="BM91" s="37"/>
      <c r="BN91" s="37">
        <v>74000000000</v>
      </c>
      <c r="BO91" s="34">
        <f t="shared" si="8"/>
        <v>61172004600</v>
      </c>
      <c r="BP91" s="30" t="s">
        <v>1095</v>
      </c>
      <c r="BQ91" s="30" t="s">
        <v>82</v>
      </c>
      <c r="BR91" s="30" t="s">
        <v>1096</v>
      </c>
      <c r="BS91" s="30" t="s">
        <v>268</v>
      </c>
      <c r="BT91" s="30"/>
      <c r="BU91" s="30"/>
      <c r="BV91" s="30"/>
      <c r="BW91" s="30"/>
      <c r="BX91" s="39">
        <v>1940</v>
      </c>
      <c r="BY91" s="37">
        <v>18500000000</v>
      </c>
      <c r="BZ91" s="39"/>
      <c r="CA91" s="37"/>
      <c r="CB91" s="37">
        <v>18500000000</v>
      </c>
      <c r="CC91" s="34">
        <f t="shared" si="9"/>
        <v>35890000000000</v>
      </c>
      <c r="CD91" s="30" t="s">
        <v>1097</v>
      </c>
      <c r="CE91" s="30" t="s">
        <v>82</v>
      </c>
      <c r="CF91" s="30" t="s">
        <v>1098</v>
      </c>
      <c r="CG91" s="30"/>
      <c r="CH91" s="30"/>
    </row>
    <row r="92" spans="2:86" ht="210" x14ac:dyDescent="0.25">
      <c r="B92" s="30" t="s">
        <v>1099</v>
      </c>
      <c r="C92" s="30" t="s">
        <v>1100</v>
      </c>
      <c r="D92" s="36">
        <v>45142</v>
      </c>
      <c r="E92" s="30" t="s">
        <v>1101</v>
      </c>
      <c r="F92" s="30" t="s">
        <v>1101</v>
      </c>
      <c r="G92" s="30"/>
      <c r="H92" s="30" t="s">
        <v>103</v>
      </c>
      <c r="I92" s="38">
        <v>4653</v>
      </c>
      <c r="J92" s="30" t="s">
        <v>70</v>
      </c>
      <c r="K92" s="38">
        <v>2962</v>
      </c>
      <c r="L92" s="38"/>
      <c r="M92" s="30"/>
      <c r="N92" s="30"/>
      <c r="O92" s="30"/>
      <c r="P92" s="30"/>
      <c r="Q92" s="30"/>
      <c r="R92" s="30" t="s">
        <v>1102</v>
      </c>
      <c r="S92" s="30" t="s">
        <v>1103</v>
      </c>
      <c r="T92" s="30" t="s">
        <v>1104</v>
      </c>
      <c r="U92" s="30" t="s">
        <v>387</v>
      </c>
      <c r="V92" s="30" t="s">
        <v>85</v>
      </c>
      <c r="W92" s="30" t="s">
        <v>73</v>
      </c>
      <c r="X92" s="30" t="s">
        <v>170</v>
      </c>
      <c r="Y92" s="30" t="s">
        <v>90</v>
      </c>
      <c r="Z92" s="36">
        <v>45125</v>
      </c>
      <c r="AA92" s="36">
        <v>45125</v>
      </c>
      <c r="AB92" s="30" t="s">
        <v>91</v>
      </c>
      <c r="AC92" s="30"/>
      <c r="AD92" s="30"/>
      <c r="AE92" s="30"/>
      <c r="AF92" s="30"/>
      <c r="AG92" s="30"/>
      <c r="AH92" s="30"/>
      <c r="AI92" s="30"/>
      <c r="AJ92" s="33">
        <f t="shared" si="5"/>
        <v>4653</v>
      </c>
      <c r="AK92" s="37">
        <v>11500000</v>
      </c>
      <c r="AL92" s="33">
        <f t="shared" si="6"/>
        <v>2962</v>
      </c>
      <c r="AM92" s="37"/>
      <c r="AN92" s="37" t="s">
        <v>1105</v>
      </c>
      <c r="AO92" s="37">
        <v>60477000000</v>
      </c>
      <c r="AP92" s="30" t="s">
        <v>1106</v>
      </c>
      <c r="AQ92" s="30" t="s">
        <v>84</v>
      </c>
      <c r="AR92" s="30"/>
      <c r="AS92" s="30"/>
      <c r="AT92" s="30"/>
      <c r="AU92" s="30"/>
      <c r="AV92" s="38">
        <v>235</v>
      </c>
      <c r="AW92" s="37">
        <v>12713572</v>
      </c>
      <c r="AX92" s="38">
        <v>426</v>
      </c>
      <c r="AY92" s="37"/>
      <c r="AZ92" s="37">
        <v>5500000000</v>
      </c>
      <c r="BA92" s="34">
        <f t="shared" si="7"/>
        <v>2987689420</v>
      </c>
      <c r="BB92" s="30" t="s">
        <v>1107</v>
      </c>
      <c r="BC92" s="30" t="s">
        <v>82</v>
      </c>
      <c r="BD92" s="30" t="s">
        <v>1108</v>
      </c>
      <c r="BE92" s="30" t="s">
        <v>78</v>
      </c>
      <c r="BF92" s="30"/>
      <c r="BG92" s="30"/>
      <c r="BH92" s="30"/>
      <c r="BI92" s="30"/>
      <c r="BJ92" s="39">
        <v>994</v>
      </c>
      <c r="BK92" s="37">
        <v>15090543</v>
      </c>
      <c r="BL92" s="39"/>
      <c r="BM92" s="37"/>
      <c r="BN92" s="37">
        <v>20000000000</v>
      </c>
      <c r="BO92" s="34">
        <f t="shared" si="8"/>
        <v>14999999742</v>
      </c>
      <c r="BP92" s="30" t="s">
        <v>1109</v>
      </c>
      <c r="BQ92" s="30" t="s">
        <v>82</v>
      </c>
      <c r="BR92" s="30" t="s">
        <v>1110</v>
      </c>
      <c r="BS92" s="30" t="s">
        <v>84</v>
      </c>
      <c r="BT92" s="30"/>
      <c r="BU92" s="30"/>
      <c r="BV92" s="30"/>
      <c r="BW92" s="30"/>
      <c r="BX92" s="39">
        <v>435</v>
      </c>
      <c r="BY92" s="37">
        <v>11530862</v>
      </c>
      <c r="BZ92" s="39">
        <v>250</v>
      </c>
      <c r="CA92" s="37"/>
      <c r="CB92" s="37">
        <v>6000000000</v>
      </c>
      <c r="CC92" s="34">
        <f t="shared" si="9"/>
        <v>5015924970</v>
      </c>
      <c r="CD92" s="30" t="s">
        <v>1111</v>
      </c>
      <c r="CE92" s="30" t="s">
        <v>82</v>
      </c>
      <c r="CF92" s="30" t="s">
        <v>1112</v>
      </c>
      <c r="CG92" s="30"/>
      <c r="CH92" s="30"/>
    </row>
    <row r="93" spans="2:86" ht="105" x14ac:dyDescent="0.25">
      <c r="B93" s="30" t="s">
        <v>1099</v>
      </c>
      <c r="C93" s="30" t="s">
        <v>1100</v>
      </c>
      <c r="D93" s="36">
        <v>45142</v>
      </c>
      <c r="E93" s="30" t="s">
        <v>1101</v>
      </c>
      <c r="F93" s="30" t="s">
        <v>1101</v>
      </c>
      <c r="G93" s="30"/>
      <c r="H93" s="30" t="s">
        <v>103</v>
      </c>
      <c r="I93" s="38">
        <v>525</v>
      </c>
      <c r="J93" s="30" t="s">
        <v>70</v>
      </c>
      <c r="K93" s="38">
        <v>446</v>
      </c>
      <c r="L93" s="38"/>
      <c r="M93" s="30"/>
      <c r="N93" s="30"/>
      <c r="O93" s="30"/>
      <c r="P93" s="30"/>
      <c r="Q93" s="30"/>
      <c r="R93" s="30" t="s">
        <v>1113</v>
      </c>
      <c r="S93" s="30" t="s">
        <v>1114</v>
      </c>
      <c r="T93" s="30" t="s">
        <v>1115</v>
      </c>
      <c r="U93" s="30" t="s">
        <v>108</v>
      </c>
      <c r="V93" s="30" t="s">
        <v>85</v>
      </c>
      <c r="W93" s="30" t="s">
        <v>73</v>
      </c>
      <c r="X93" s="30" t="s">
        <v>170</v>
      </c>
      <c r="Y93" s="30" t="s">
        <v>90</v>
      </c>
      <c r="Z93" s="36">
        <v>45128</v>
      </c>
      <c r="AA93" s="36">
        <v>45128</v>
      </c>
      <c r="AB93" s="30" t="s">
        <v>91</v>
      </c>
      <c r="AC93" s="30"/>
      <c r="AD93" s="30"/>
      <c r="AE93" s="30"/>
      <c r="AF93" s="30"/>
      <c r="AG93" s="30"/>
      <c r="AH93" s="30"/>
      <c r="AI93" s="30"/>
      <c r="AJ93" s="33">
        <f t="shared" si="5"/>
        <v>525</v>
      </c>
      <c r="AK93" s="37">
        <v>37000000</v>
      </c>
      <c r="AL93" s="33">
        <f t="shared" si="6"/>
        <v>446</v>
      </c>
      <c r="AM93" s="37"/>
      <c r="AN93" s="37"/>
      <c r="AO93" s="37">
        <v>36025000000</v>
      </c>
      <c r="AP93" s="30" t="s">
        <v>1116</v>
      </c>
      <c r="AQ93" s="30" t="s">
        <v>101</v>
      </c>
      <c r="AR93" s="30"/>
      <c r="AS93" s="30"/>
      <c r="AT93" s="30"/>
      <c r="AU93" s="30"/>
      <c r="AV93" s="38">
        <v>655</v>
      </c>
      <c r="AW93" s="37">
        <v>37055267</v>
      </c>
      <c r="AX93" s="38">
        <v>1000</v>
      </c>
      <c r="AY93" s="37"/>
      <c r="AZ93" s="37">
        <v>36025000000</v>
      </c>
      <c r="BA93" s="34">
        <f t="shared" si="7"/>
        <v>24271199885</v>
      </c>
      <c r="BB93" s="30" t="s">
        <v>156</v>
      </c>
      <c r="BC93" s="30" t="s">
        <v>82</v>
      </c>
      <c r="BD93" s="30" t="s">
        <v>1116</v>
      </c>
      <c r="BE93" s="30" t="s">
        <v>101</v>
      </c>
      <c r="BF93" s="30"/>
      <c r="BG93" s="30"/>
      <c r="BH93" s="30"/>
      <c r="BI93" s="30"/>
      <c r="BJ93" s="39">
        <v>1447</v>
      </c>
      <c r="BK93" s="37">
        <v>36787339</v>
      </c>
      <c r="BL93" s="39">
        <v>650</v>
      </c>
      <c r="BM93" s="37"/>
      <c r="BN93" s="37">
        <v>72350000000</v>
      </c>
      <c r="BO93" s="34">
        <f t="shared" si="8"/>
        <v>53231279533</v>
      </c>
      <c r="BP93" s="30" t="s">
        <v>1117</v>
      </c>
      <c r="BQ93" s="30" t="s">
        <v>82</v>
      </c>
      <c r="BR93" s="30" t="s">
        <v>1116</v>
      </c>
      <c r="BS93" s="30" t="s">
        <v>101</v>
      </c>
      <c r="BT93" s="30"/>
      <c r="BU93" s="30"/>
      <c r="BV93" s="30"/>
      <c r="BW93" s="30"/>
      <c r="BX93" s="39">
        <v>940</v>
      </c>
      <c r="BY93" s="37">
        <v>36969702</v>
      </c>
      <c r="BZ93" s="39">
        <v>3200</v>
      </c>
      <c r="CA93" s="37"/>
      <c r="CB93" s="37">
        <v>55000000000</v>
      </c>
      <c r="CC93" s="34">
        <f t="shared" si="9"/>
        <v>34751519880</v>
      </c>
      <c r="CD93" s="30" t="s">
        <v>1118</v>
      </c>
      <c r="CE93" s="30" t="s">
        <v>82</v>
      </c>
      <c r="CF93" s="30" t="s">
        <v>644</v>
      </c>
      <c r="CG93" s="30"/>
      <c r="CH93" s="30"/>
    </row>
    <row r="94" spans="2:86" ht="135" x14ac:dyDescent="0.25">
      <c r="B94" s="30" t="s">
        <v>1099</v>
      </c>
      <c r="C94" s="30" t="s">
        <v>1100</v>
      </c>
      <c r="D94" s="36">
        <v>45142</v>
      </c>
      <c r="E94" s="30" t="s">
        <v>1101</v>
      </c>
      <c r="F94" s="30" t="s">
        <v>1101</v>
      </c>
      <c r="G94" s="30"/>
      <c r="H94" s="30" t="s">
        <v>292</v>
      </c>
      <c r="I94" s="38">
        <v>5770</v>
      </c>
      <c r="J94" s="30" t="s">
        <v>70</v>
      </c>
      <c r="K94" s="38">
        <v>3300</v>
      </c>
      <c r="L94" s="38"/>
      <c r="M94" s="30"/>
      <c r="N94" s="30"/>
      <c r="O94" s="30"/>
      <c r="P94" s="30"/>
      <c r="Q94" s="30" t="s">
        <v>1119</v>
      </c>
      <c r="R94" s="30" t="s">
        <v>1120</v>
      </c>
      <c r="S94" s="30" t="s">
        <v>1121</v>
      </c>
      <c r="T94" s="30" t="s">
        <v>1122</v>
      </c>
      <c r="U94" s="30" t="s">
        <v>387</v>
      </c>
      <c r="V94" s="30" t="s">
        <v>85</v>
      </c>
      <c r="W94" s="30" t="s">
        <v>73</v>
      </c>
      <c r="X94" s="30" t="s">
        <v>170</v>
      </c>
      <c r="Y94" s="30" t="s">
        <v>90</v>
      </c>
      <c r="Z94" s="36">
        <v>45125</v>
      </c>
      <c r="AA94" s="36">
        <v>45125</v>
      </c>
      <c r="AB94" s="30" t="s">
        <v>91</v>
      </c>
      <c r="AC94" s="30"/>
      <c r="AD94" s="30"/>
      <c r="AE94" s="30"/>
      <c r="AF94" s="30"/>
      <c r="AG94" s="30"/>
      <c r="AH94" s="30"/>
      <c r="AI94" s="30"/>
      <c r="AJ94" s="33">
        <f t="shared" si="5"/>
        <v>5770</v>
      </c>
      <c r="AK94" s="37">
        <v>8360000</v>
      </c>
      <c r="AL94" s="33">
        <f t="shared" si="6"/>
        <v>3300</v>
      </c>
      <c r="AM94" s="37"/>
      <c r="AN94" s="37"/>
      <c r="AO94" s="37">
        <v>53672000000</v>
      </c>
      <c r="AP94" s="30" t="s">
        <v>1123</v>
      </c>
      <c r="AQ94" s="30" t="s">
        <v>87</v>
      </c>
      <c r="AR94" s="30"/>
      <c r="AS94" s="30"/>
      <c r="AT94" s="30"/>
      <c r="AU94" s="30"/>
      <c r="AV94" s="38">
        <v>5502</v>
      </c>
      <c r="AW94" s="37">
        <v>8326718</v>
      </c>
      <c r="AX94" s="38">
        <v>4500</v>
      </c>
      <c r="AY94" s="37"/>
      <c r="AZ94" s="37">
        <v>75000000000</v>
      </c>
      <c r="BA94" s="34">
        <f t="shared" si="7"/>
        <v>45813602436</v>
      </c>
      <c r="BB94" s="30" t="s">
        <v>1124</v>
      </c>
      <c r="BC94" s="30" t="s">
        <v>82</v>
      </c>
      <c r="BD94" s="30" t="s">
        <v>1125</v>
      </c>
      <c r="BE94" s="30" t="s">
        <v>87</v>
      </c>
      <c r="BF94" s="30"/>
      <c r="BG94" s="30"/>
      <c r="BH94" s="30"/>
      <c r="BI94" s="30"/>
      <c r="BJ94" s="39">
        <v>3630</v>
      </c>
      <c r="BK94" s="37">
        <v>8396298</v>
      </c>
      <c r="BL94" s="39">
        <v>3200</v>
      </c>
      <c r="BM94" s="37"/>
      <c r="BN94" s="37">
        <v>50000000000</v>
      </c>
      <c r="BO94" s="34">
        <f t="shared" si="8"/>
        <v>30478561740</v>
      </c>
      <c r="BP94" s="30" t="s">
        <v>1126</v>
      </c>
      <c r="BQ94" s="30" t="s">
        <v>82</v>
      </c>
      <c r="BR94" s="30" t="s">
        <v>1127</v>
      </c>
      <c r="BS94" s="30" t="s">
        <v>87</v>
      </c>
      <c r="BT94" s="30"/>
      <c r="BU94" s="30"/>
      <c r="BV94" s="30"/>
      <c r="BW94" s="30"/>
      <c r="BX94" s="39">
        <v>5556</v>
      </c>
      <c r="BY94" s="37">
        <v>8331001</v>
      </c>
      <c r="BZ94" s="39">
        <v>3800</v>
      </c>
      <c r="CA94" s="37"/>
      <c r="CB94" s="37">
        <v>69000000000</v>
      </c>
      <c r="CC94" s="34">
        <f t="shared" si="9"/>
        <v>46287041556</v>
      </c>
      <c r="CD94" s="30" t="s">
        <v>1128</v>
      </c>
      <c r="CE94" s="30" t="s">
        <v>82</v>
      </c>
      <c r="CF94" s="30" t="s">
        <v>1112</v>
      </c>
      <c r="CG94" s="30"/>
      <c r="CH94" s="30"/>
    </row>
    <row r="95" spans="2:86" ht="150" x14ac:dyDescent="0.25">
      <c r="B95" s="30" t="s">
        <v>1099</v>
      </c>
      <c r="C95" s="30" t="s">
        <v>1100</v>
      </c>
      <c r="D95" s="36">
        <v>45142</v>
      </c>
      <c r="E95" s="30" t="s">
        <v>1101</v>
      </c>
      <c r="F95" s="30" t="s">
        <v>1101</v>
      </c>
      <c r="G95" s="30"/>
      <c r="H95" s="30" t="s">
        <v>101</v>
      </c>
      <c r="I95" s="38">
        <v>488</v>
      </c>
      <c r="J95" s="30" t="s">
        <v>70</v>
      </c>
      <c r="K95" s="38">
        <v>70</v>
      </c>
      <c r="L95" s="38"/>
      <c r="M95" s="30"/>
      <c r="N95" s="30"/>
      <c r="O95" s="30"/>
      <c r="P95" s="30"/>
      <c r="Q95" s="30"/>
      <c r="R95" s="30" t="s">
        <v>1129</v>
      </c>
      <c r="S95" s="30" t="s">
        <v>1130</v>
      </c>
      <c r="T95" s="30" t="s">
        <v>1131</v>
      </c>
      <c r="U95" s="30" t="s">
        <v>138</v>
      </c>
      <c r="V95" s="30" t="s">
        <v>139</v>
      </c>
      <c r="W95" s="30" t="s">
        <v>73</v>
      </c>
      <c r="X95" s="30" t="s">
        <v>170</v>
      </c>
      <c r="Y95" s="30" t="s">
        <v>90</v>
      </c>
      <c r="Z95" s="36">
        <v>45127</v>
      </c>
      <c r="AA95" s="36">
        <v>45127</v>
      </c>
      <c r="AB95" s="30" t="s">
        <v>91</v>
      </c>
      <c r="AC95" s="30"/>
      <c r="AD95" s="30"/>
      <c r="AE95" s="30"/>
      <c r="AF95" s="30"/>
      <c r="AG95" s="30"/>
      <c r="AH95" s="30"/>
      <c r="AI95" s="30"/>
      <c r="AJ95" s="33">
        <f t="shared" si="5"/>
        <v>488</v>
      </c>
      <c r="AK95" s="37">
        <v>8700000</v>
      </c>
      <c r="AL95" s="33">
        <f t="shared" si="6"/>
        <v>70</v>
      </c>
      <c r="AM95" s="37"/>
      <c r="AN95" s="37"/>
      <c r="AO95" s="37">
        <v>4282000000</v>
      </c>
      <c r="AP95" s="30" t="s">
        <v>1132</v>
      </c>
      <c r="AQ95" s="30" t="s">
        <v>78</v>
      </c>
      <c r="AR95" s="30"/>
      <c r="AS95" s="30"/>
      <c r="AT95" s="30"/>
      <c r="AU95" s="30"/>
      <c r="AV95" s="38">
        <v>406</v>
      </c>
      <c r="AW95" s="37">
        <v>9000000</v>
      </c>
      <c r="AX95" s="38"/>
      <c r="AY95" s="37"/>
      <c r="AZ95" s="37">
        <v>4872000000</v>
      </c>
      <c r="BA95" s="34">
        <f t="shared" si="7"/>
        <v>3654000000</v>
      </c>
      <c r="BB95" s="30" t="s">
        <v>1133</v>
      </c>
      <c r="BC95" s="30" t="s">
        <v>82</v>
      </c>
      <c r="BD95" s="30" t="s">
        <v>1132</v>
      </c>
      <c r="BE95" s="30" t="s">
        <v>84</v>
      </c>
      <c r="BF95" s="30"/>
      <c r="BG95" s="30"/>
      <c r="BH95" s="30"/>
      <c r="BI95" s="30"/>
      <c r="BJ95" s="39">
        <v>95</v>
      </c>
      <c r="BK95" s="37">
        <v>9373558</v>
      </c>
      <c r="BL95" s="39">
        <v>200</v>
      </c>
      <c r="BM95" s="37"/>
      <c r="BN95" s="37">
        <v>2300000000</v>
      </c>
      <c r="BO95" s="34">
        <f t="shared" si="8"/>
        <v>890488010</v>
      </c>
      <c r="BP95" s="30" t="s">
        <v>1134</v>
      </c>
      <c r="BQ95" s="30" t="s">
        <v>82</v>
      </c>
      <c r="BR95" s="30" t="s">
        <v>1132</v>
      </c>
      <c r="BS95" s="30" t="s">
        <v>84</v>
      </c>
      <c r="BT95" s="30"/>
      <c r="BU95" s="30"/>
      <c r="BV95" s="30"/>
      <c r="BW95" s="30"/>
      <c r="BX95" s="39">
        <v>320</v>
      </c>
      <c r="BY95" s="37">
        <v>9050525</v>
      </c>
      <c r="BZ95" s="39">
        <v>270</v>
      </c>
      <c r="CA95" s="37"/>
      <c r="CB95" s="37">
        <v>4500000000</v>
      </c>
      <c r="CC95" s="34">
        <f t="shared" si="9"/>
        <v>2896168000</v>
      </c>
      <c r="CD95" s="30" t="s">
        <v>1135</v>
      </c>
      <c r="CE95" s="30" t="s">
        <v>82</v>
      </c>
      <c r="CF95" s="30" t="s">
        <v>644</v>
      </c>
      <c r="CG95" s="30"/>
      <c r="CH95" s="30"/>
    </row>
    <row r="96" spans="2:86" ht="210" x14ac:dyDescent="0.25">
      <c r="B96" s="30" t="s">
        <v>1099</v>
      </c>
      <c r="C96" s="30" t="s">
        <v>1100</v>
      </c>
      <c r="D96" s="36">
        <v>45142</v>
      </c>
      <c r="E96" s="30" t="s">
        <v>1101</v>
      </c>
      <c r="F96" s="30" t="s">
        <v>1101</v>
      </c>
      <c r="G96" s="30"/>
      <c r="H96" s="30" t="s">
        <v>924</v>
      </c>
      <c r="I96" s="38" t="s">
        <v>1136</v>
      </c>
      <c r="J96" s="30" t="s">
        <v>70</v>
      </c>
      <c r="K96" s="38"/>
      <c r="L96" s="38"/>
      <c r="M96" s="30"/>
      <c r="N96" s="30"/>
      <c r="O96" s="30"/>
      <c r="P96" s="30"/>
      <c r="Q96" s="30" t="s">
        <v>1137</v>
      </c>
      <c r="R96" s="30" t="s">
        <v>1138</v>
      </c>
      <c r="S96" s="30" t="s">
        <v>1139</v>
      </c>
      <c r="T96" s="30" t="s">
        <v>747</v>
      </c>
      <c r="U96" s="30" t="s">
        <v>135</v>
      </c>
      <c r="V96" s="30" t="s">
        <v>95</v>
      </c>
      <c r="W96" s="30" t="s">
        <v>73</v>
      </c>
      <c r="X96" s="30" t="s">
        <v>170</v>
      </c>
      <c r="Y96" s="30" t="s">
        <v>90</v>
      </c>
      <c r="Z96" s="36">
        <v>45128</v>
      </c>
      <c r="AA96" s="36">
        <v>45128</v>
      </c>
      <c r="AB96" s="30" t="s">
        <v>91</v>
      </c>
      <c r="AC96" s="30"/>
      <c r="AD96" s="30"/>
      <c r="AE96" s="30"/>
      <c r="AF96" s="30"/>
      <c r="AG96" s="30"/>
      <c r="AH96" s="30"/>
      <c r="AI96" s="30"/>
      <c r="AJ96" s="33" t="str">
        <f t="shared" si="5"/>
        <v>32,86</v>
      </c>
      <c r="AK96" s="67"/>
      <c r="AL96" s="33">
        <f t="shared" si="6"/>
        <v>0</v>
      </c>
      <c r="AM96" s="37">
        <v>30434434</v>
      </c>
      <c r="AN96" s="37"/>
      <c r="AO96" s="37">
        <v>1000000000</v>
      </c>
      <c r="AP96" s="30" t="s">
        <v>1140</v>
      </c>
      <c r="AQ96" s="30" t="s">
        <v>924</v>
      </c>
      <c r="AR96" s="30"/>
      <c r="AS96" s="30"/>
      <c r="AT96" s="30"/>
      <c r="AU96" s="30"/>
      <c r="AV96" s="38" t="s">
        <v>1141</v>
      </c>
      <c r="AW96" s="37">
        <v>30880082</v>
      </c>
      <c r="AX96" s="38"/>
      <c r="AY96" s="37"/>
      <c r="AZ96" s="37">
        <v>1442097000</v>
      </c>
      <c r="BA96" s="34" t="e">
        <f t="shared" si="7"/>
        <v>#VALUE!</v>
      </c>
      <c r="BB96" s="30" t="s">
        <v>1142</v>
      </c>
      <c r="BC96" s="30" t="s">
        <v>82</v>
      </c>
      <c r="BD96" s="30" t="s">
        <v>1143</v>
      </c>
      <c r="BE96" s="30" t="s">
        <v>924</v>
      </c>
      <c r="BF96" s="30"/>
      <c r="BG96" s="30"/>
      <c r="BH96" s="30"/>
      <c r="BI96" s="30"/>
      <c r="BJ96" s="39" t="s">
        <v>1141</v>
      </c>
      <c r="BK96" s="37">
        <v>30880082</v>
      </c>
      <c r="BL96" s="39"/>
      <c r="BM96" s="37"/>
      <c r="BN96" s="37">
        <v>1526926000</v>
      </c>
      <c r="BO96" s="34" t="e">
        <f t="shared" si="8"/>
        <v>#VALUE!</v>
      </c>
      <c r="BP96" s="30" t="s">
        <v>1144</v>
      </c>
      <c r="BQ96" s="30" t="s">
        <v>82</v>
      </c>
      <c r="BR96" s="30" t="s">
        <v>1145</v>
      </c>
      <c r="BS96" s="30" t="s">
        <v>924</v>
      </c>
      <c r="BT96" s="30"/>
      <c r="BU96" s="30"/>
      <c r="BV96" s="30"/>
      <c r="BW96" s="30"/>
      <c r="BX96" s="39" t="s">
        <v>1146</v>
      </c>
      <c r="BY96" s="37">
        <v>28952726</v>
      </c>
      <c r="BZ96" s="39"/>
      <c r="CA96" s="37"/>
      <c r="CB96" s="37">
        <v>1640636000</v>
      </c>
      <c r="CC96" s="34" t="e">
        <f t="shared" si="9"/>
        <v>#VALUE!</v>
      </c>
      <c r="CD96" s="30" t="s">
        <v>1147</v>
      </c>
      <c r="CE96" s="30" t="s">
        <v>82</v>
      </c>
      <c r="CF96" s="30" t="s">
        <v>644</v>
      </c>
      <c r="CG96" s="30"/>
      <c r="CH96" s="30"/>
    </row>
    <row r="97" spans="2:86" ht="135" x14ac:dyDescent="0.25">
      <c r="B97" s="30" t="s">
        <v>1148</v>
      </c>
      <c r="C97" s="30" t="s">
        <v>1149</v>
      </c>
      <c r="D97" s="36">
        <v>45142</v>
      </c>
      <c r="E97" s="30" t="s">
        <v>1150</v>
      </c>
      <c r="F97" s="30" t="s">
        <v>1150</v>
      </c>
      <c r="G97" s="30"/>
      <c r="H97" s="30" t="s">
        <v>84</v>
      </c>
      <c r="I97" s="38">
        <v>163</v>
      </c>
      <c r="J97" s="30" t="s">
        <v>70</v>
      </c>
      <c r="K97" s="38">
        <v>116</v>
      </c>
      <c r="L97" s="38"/>
      <c r="M97" s="30" t="s">
        <v>1151</v>
      </c>
      <c r="N97" s="30"/>
      <c r="O97" s="30"/>
      <c r="P97" s="30"/>
      <c r="Q97" s="30"/>
      <c r="R97" s="30" t="s">
        <v>1152</v>
      </c>
      <c r="S97" s="30" t="s">
        <v>1153</v>
      </c>
      <c r="T97" s="30" t="s">
        <v>1154</v>
      </c>
      <c r="U97" s="30" t="s">
        <v>131</v>
      </c>
      <c r="V97" s="30" t="s">
        <v>72</v>
      </c>
      <c r="W97" s="30" t="s">
        <v>73</v>
      </c>
      <c r="X97" s="30" t="s">
        <v>146</v>
      </c>
      <c r="Y97" s="30" t="s">
        <v>75</v>
      </c>
      <c r="Z97" s="36">
        <v>45094</v>
      </c>
      <c r="AA97" s="36">
        <v>45094</v>
      </c>
      <c r="AB97" s="30" t="s">
        <v>91</v>
      </c>
      <c r="AC97" s="30"/>
      <c r="AD97" s="30"/>
      <c r="AE97" s="30"/>
      <c r="AF97" s="30"/>
      <c r="AG97" s="30"/>
      <c r="AH97" s="30"/>
      <c r="AI97" s="30"/>
      <c r="AJ97" s="33">
        <f t="shared" si="5"/>
        <v>163</v>
      </c>
      <c r="AK97" s="37">
        <v>5000000</v>
      </c>
      <c r="AL97" s="33">
        <f t="shared" si="6"/>
        <v>116</v>
      </c>
      <c r="AM97" s="37"/>
      <c r="AN97" s="37" t="s">
        <v>1151</v>
      </c>
      <c r="AO97" s="37">
        <v>912200000</v>
      </c>
      <c r="AP97" s="30" t="s">
        <v>1155</v>
      </c>
      <c r="AQ97" s="30" t="s">
        <v>84</v>
      </c>
      <c r="AR97" s="30"/>
      <c r="AS97" s="30"/>
      <c r="AT97" s="30"/>
      <c r="AU97" s="30"/>
      <c r="AV97" s="38">
        <v>116</v>
      </c>
      <c r="AW97" s="37">
        <v>5072414</v>
      </c>
      <c r="AX97" s="38">
        <v>150</v>
      </c>
      <c r="AY97" s="37"/>
      <c r="AZ97" s="37">
        <v>1300000000</v>
      </c>
      <c r="BA97" s="34">
        <f t="shared" si="7"/>
        <v>588400024</v>
      </c>
      <c r="BB97" s="30" t="s">
        <v>1156</v>
      </c>
      <c r="BC97" s="30" t="s">
        <v>82</v>
      </c>
      <c r="BD97" s="30" t="s">
        <v>1155</v>
      </c>
      <c r="BE97" s="30" t="s">
        <v>84</v>
      </c>
      <c r="BF97" s="30"/>
      <c r="BG97" s="30"/>
      <c r="BH97" s="30"/>
      <c r="BI97" s="30"/>
      <c r="BJ97" s="39">
        <v>491</v>
      </c>
      <c r="BK97" s="37">
        <v>4792744</v>
      </c>
      <c r="BL97" s="39">
        <v>550</v>
      </c>
      <c r="BM97" s="37"/>
      <c r="BN97" s="37">
        <v>5500000000</v>
      </c>
      <c r="BO97" s="34">
        <f t="shared" si="8"/>
        <v>2353237304</v>
      </c>
      <c r="BP97" s="30" t="s">
        <v>1157</v>
      </c>
      <c r="BQ97" s="30" t="s">
        <v>82</v>
      </c>
      <c r="BR97" s="30" t="s">
        <v>1158</v>
      </c>
      <c r="BS97" s="30" t="s">
        <v>84</v>
      </c>
      <c r="BT97" s="30"/>
      <c r="BU97" s="30"/>
      <c r="BV97" s="30"/>
      <c r="BW97" s="30"/>
      <c r="BX97" s="39">
        <v>68</v>
      </c>
      <c r="BY97" s="37">
        <v>4908000</v>
      </c>
      <c r="BZ97" s="39">
        <v>68</v>
      </c>
      <c r="CA97" s="37"/>
      <c r="CB97" s="37">
        <v>500000000</v>
      </c>
      <c r="CC97" s="34">
        <f t="shared" si="9"/>
        <v>333744000</v>
      </c>
      <c r="CD97" s="30" t="s">
        <v>1159</v>
      </c>
      <c r="CE97" s="30" t="s">
        <v>82</v>
      </c>
      <c r="CF97" s="30" t="s">
        <v>1160</v>
      </c>
      <c r="CG97" s="30"/>
      <c r="CH97" s="30"/>
    </row>
    <row r="98" spans="2:86" ht="135" x14ac:dyDescent="0.25">
      <c r="B98" s="66" t="s">
        <v>1148</v>
      </c>
      <c r="C98" s="30" t="s">
        <v>1149</v>
      </c>
      <c r="D98" s="36">
        <v>45142</v>
      </c>
      <c r="E98" s="30" t="s">
        <v>1150</v>
      </c>
      <c r="F98" s="30" t="s">
        <v>1150</v>
      </c>
      <c r="G98" s="30"/>
      <c r="H98" s="30" t="s">
        <v>84</v>
      </c>
      <c r="I98" s="38">
        <v>108</v>
      </c>
      <c r="J98" s="30" t="s">
        <v>70</v>
      </c>
      <c r="K98" s="38">
        <v>98</v>
      </c>
      <c r="L98" s="38"/>
      <c r="M98" s="30"/>
      <c r="N98" s="30"/>
      <c r="O98" s="30"/>
      <c r="P98" s="30"/>
      <c r="Q98" s="30"/>
      <c r="R98" s="30" t="s">
        <v>1161</v>
      </c>
      <c r="S98" s="30" t="s">
        <v>1153</v>
      </c>
      <c r="T98" s="30" t="s">
        <v>1154</v>
      </c>
      <c r="U98" s="30" t="s">
        <v>131</v>
      </c>
      <c r="V98" s="30" t="s">
        <v>72</v>
      </c>
      <c r="W98" s="30" t="s">
        <v>73</v>
      </c>
      <c r="X98" s="30" t="s">
        <v>146</v>
      </c>
      <c r="Y98" s="30" t="s">
        <v>75</v>
      </c>
      <c r="Z98" s="36">
        <v>45094</v>
      </c>
      <c r="AA98" s="36">
        <v>45094</v>
      </c>
      <c r="AB98" s="30" t="s">
        <v>91</v>
      </c>
      <c r="AC98" s="30"/>
      <c r="AD98" s="30"/>
      <c r="AE98" s="30"/>
      <c r="AF98" s="30"/>
      <c r="AG98" s="30"/>
      <c r="AH98" s="30"/>
      <c r="AI98" s="30"/>
      <c r="AJ98" s="33">
        <f t="shared" si="5"/>
        <v>108</v>
      </c>
      <c r="AK98" s="37">
        <v>3200000</v>
      </c>
      <c r="AL98" s="33">
        <f t="shared" si="6"/>
        <v>98</v>
      </c>
      <c r="AM98" s="37"/>
      <c r="AN98" s="37"/>
      <c r="AO98" s="37">
        <v>427700000</v>
      </c>
      <c r="AP98" s="30" t="s">
        <v>1162</v>
      </c>
      <c r="AQ98" s="30" t="s">
        <v>84</v>
      </c>
      <c r="AR98" s="30"/>
      <c r="AS98" s="30"/>
      <c r="AT98" s="30"/>
      <c r="AU98" s="30"/>
      <c r="AV98" s="38">
        <v>68</v>
      </c>
      <c r="AW98" s="37">
        <v>4908000</v>
      </c>
      <c r="AX98" s="38">
        <v>68</v>
      </c>
      <c r="AY98" s="37"/>
      <c r="AZ98" s="37">
        <v>500000000</v>
      </c>
      <c r="BA98" s="34">
        <f t="shared" si="7"/>
        <v>333744000</v>
      </c>
      <c r="BB98" s="30" t="s">
        <v>1163</v>
      </c>
      <c r="BC98" s="30" t="s">
        <v>82</v>
      </c>
      <c r="BD98" s="30" t="s">
        <v>1164</v>
      </c>
      <c r="BE98" s="30" t="s">
        <v>84</v>
      </c>
      <c r="BF98" s="30"/>
      <c r="BG98" s="30"/>
      <c r="BH98" s="30"/>
      <c r="BI98" s="30"/>
      <c r="BJ98" s="39">
        <v>87</v>
      </c>
      <c r="BK98" s="37">
        <v>4094119</v>
      </c>
      <c r="BL98" s="39">
        <v>87</v>
      </c>
      <c r="BM98" s="37"/>
      <c r="BN98" s="37">
        <v>650000000</v>
      </c>
      <c r="BO98" s="34">
        <f t="shared" si="8"/>
        <v>356188353</v>
      </c>
      <c r="BP98" s="30" t="s">
        <v>1165</v>
      </c>
      <c r="BQ98" s="30" t="s">
        <v>82</v>
      </c>
      <c r="BR98" s="30" t="s">
        <v>1164</v>
      </c>
      <c r="BS98" s="30" t="s">
        <v>84</v>
      </c>
      <c r="BT98" s="30"/>
      <c r="BU98" s="30"/>
      <c r="BV98" s="30"/>
      <c r="BW98" s="30"/>
      <c r="BX98" s="39">
        <v>261</v>
      </c>
      <c r="BY98" s="37">
        <v>3810956</v>
      </c>
      <c r="BZ98" s="39">
        <v>261</v>
      </c>
      <c r="CA98" s="37"/>
      <c r="CB98" s="37">
        <v>1700000000</v>
      </c>
      <c r="CC98" s="34">
        <f t="shared" si="9"/>
        <v>994659516</v>
      </c>
      <c r="CD98" s="30" t="s">
        <v>1166</v>
      </c>
      <c r="CE98" s="30" t="s">
        <v>82</v>
      </c>
      <c r="CF98" s="30" t="s">
        <v>1160</v>
      </c>
      <c r="CG98" s="30"/>
      <c r="CH98" s="30"/>
    </row>
    <row r="99" spans="2:86" ht="135" x14ac:dyDescent="0.25">
      <c r="B99" s="30" t="s">
        <v>1148</v>
      </c>
      <c r="C99" s="30" t="s">
        <v>1149</v>
      </c>
      <c r="D99" s="36">
        <v>45142</v>
      </c>
      <c r="E99" s="30" t="s">
        <v>1150</v>
      </c>
      <c r="F99" s="30" t="s">
        <v>1150</v>
      </c>
      <c r="G99" s="30"/>
      <c r="H99" s="30" t="s">
        <v>84</v>
      </c>
      <c r="I99" s="38">
        <v>126</v>
      </c>
      <c r="J99" s="30" t="s">
        <v>70</v>
      </c>
      <c r="K99" s="38">
        <v>374</v>
      </c>
      <c r="L99" s="38"/>
      <c r="M99" s="30"/>
      <c r="N99" s="30"/>
      <c r="O99" s="30"/>
      <c r="P99" s="30"/>
      <c r="Q99" s="30"/>
      <c r="R99" s="30" t="s">
        <v>1167</v>
      </c>
      <c r="S99" s="30" t="s">
        <v>1153</v>
      </c>
      <c r="T99" s="30" t="s">
        <v>1154</v>
      </c>
      <c r="U99" s="30" t="s">
        <v>131</v>
      </c>
      <c r="V99" s="30" t="s">
        <v>72</v>
      </c>
      <c r="W99" s="30" t="s">
        <v>73</v>
      </c>
      <c r="X99" s="30" t="s">
        <v>146</v>
      </c>
      <c r="Y99" s="30" t="s">
        <v>75</v>
      </c>
      <c r="Z99" s="36">
        <v>45094</v>
      </c>
      <c r="AA99" s="36">
        <v>45094</v>
      </c>
      <c r="AB99" s="30" t="s">
        <v>91</v>
      </c>
      <c r="AC99" s="30"/>
      <c r="AD99" s="30"/>
      <c r="AE99" s="30"/>
      <c r="AF99" s="30"/>
      <c r="AG99" s="30"/>
      <c r="AH99" s="30"/>
      <c r="AI99" s="30"/>
      <c r="AJ99" s="33">
        <f t="shared" si="5"/>
        <v>126</v>
      </c>
      <c r="AK99" s="37">
        <v>3300000</v>
      </c>
      <c r="AL99" s="33">
        <f t="shared" si="6"/>
        <v>374</v>
      </c>
      <c r="AM99" s="37"/>
      <c r="AN99" s="37"/>
      <c r="AO99" s="37">
        <v>1126700000</v>
      </c>
      <c r="AP99" s="30" t="s">
        <v>1168</v>
      </c>
      <c r="AQ99" s="30" t="s">
        <v>84</v>
      </c>
      <c r="AR99" s="30"/>
      <c r="AS99" s="30"/>
      <c r="AT99" s="30"/>
      <c r="AU99" s="30"/>
      <c r="AV99" s="38">
        <v>68</v>
      </c>
      <c r="AW99" s="37">
        <v>4908000</v>
      </c>
      <c r="AX99" s="38">
        <v>68</v>
      </c>
      <c r="AY99" s="37"/>
      <c r="AZ99" s="37">
        <v>500000000</v>
      </c>
      <c r="BA99" s="34">
        <f t="shared" si="7"/>
        <v>333744000</v>
      </c>
      <c r="BB99" s="30" t="s">
        <v>1163</v>
      </c>
      <c r="BC99" s="30" t="s">
        <v>82</v>
      </c>
      <c r="BD99" s="30" t="s">
        <v>1164</v>
      </c>
      <c r="BE99" s="30" t="s">
        <v>84</v>
      </c>
      <c r="BF99" s="30"/>
      <c r="BG99" s="30"/>
      <c r="BH99" s="30"/>
      <c r="BI99" s="30"/>
      <c r="BJ99" s="39">
        <v>87</v>
      </c>
      <c r="BK99" s="37">
        <v>4094119</v>
      </c>
      <c r="BL99" s="39">
        <v>87</v>
      </c>
      <c r="BM99" s="37"/>
      <c r="BN99" s="37">
        <v>650000000</v>
      </c>
      <c r="BO99" s="34">
        <f t="shared" si="8"/>
        <v>356188353</v>
      </c>
      <c r="BP99" s="30" t="s">
        <v>1165</v>
      </c>
      <c r="BQ99" s="30" t="s">
        <v>82</v>
      </c>
      <c r="BR99" s="30" t="s">
        <v>1164</v>
      </c>
      <c r="BS99" s="30" t="s">
        <v>84</v>
      </c>
      <c r="BT99" s="30"/>
      <c r="BU99" s="30"/>
      <c r="BV99" s="30"/>
      <c r="BW99" s="30"/>
      <c r="BX99" s="39">
        <v>261</v>
      </c>
      <c r="BY99" s="37">
        <v>3810956</v>
      </c>
      <c r="BZ99" s="39">
        <v>261</v>
      </c>
      <c r="CA99" s="37"/>
      <c r="CB99" s="37">
        <v>1700000000</v>
      </c>
      <c r="CC99" s="34">
        <f t="shared" si="9"/>
        <v>994659516</v>
      </c>
      <c r="CD99" s="30" t="s">
        <v>1166</v>
      </c>
      <c r="CE99" s="30" t="s">
        <v>82</v>
      </c>
      <c r="CF99" s="30" t="s">
        <v>1160</v>
      </c>
      <c r="CG99" s="30"/>
      <c r="CH99" s="30"/>
    </row>
    <row r="100" spans="2:86" ht="135" x14ac:dyDescent="0.25">
      <c r="B100" s="30" t="s">
        <v>1148</v>
      </c>
      <c r="C100" s="30" t="s">
        <v>1149</v>
      </c>
      <c r="D100" s="36">
        <v>45142</v>
      </c>
      <c r="E100" s="30" t="s">
        <v>1150</v>
      </c>
      <c r="F100" s="30" t="s">
        <v>1150</v>
      </c>
      <c r="G100" s="30"/>
      <c r="H100" s="30" t="s">
        <v>84</v>
      </c>
      <c r="I100" s="38">
        <v>82</v>
      </c>
      <c r="J100" s="30" t="s">
        <v>70</v>
      </c>
      <c r="K100" s="38">
        <v>67</v>
      </c>
      <c r="L100" s="38"/>
      <c r="M100" s="30"/>
      <c r="N100" s="30"/>
      <c r="O100" s="30"/>
      <c r="P100" s="30"/>
      <c r="Q100" s="30"/>
      <c r="R100" s="30" t="s">
        <v>1169</v>
      </c>
      <c r="S100" s="30" t="s">
        <v>1153</v>
      </c>
      <c r="T100" s="30" t="s">
        <v>1154</v>
      </c>
      <c r="U100" s="30" t="s">
        <v>131</v>
      </c>
      <c r="V100" s="30" t="s">
        <v>72</v>
      </c>
      <c r="W100" s="30" t="s">
        <v>73</v>
      </c>
      <c r="X100" s="30" t="s">
        <v>146</v>
      </c>
      <c r="Y100" s="30" t="s">
        <v>75</v>
      </c>
      <c r="Z100" s="36">
        <v>45094</v>
      </c>
      <c r="AA100" s="36">
        <v>45094</v>
      </c>
      <c r="AB100" s="30" t="s">
        <v>91</v>
      </c>
      <c r="AC100" s="30"/>
      <c r="AD100" s="30"/>
      <c r="AE100" s="30"/>
      <c r="AF100" s="30"/>
      <c r="AG100" s="30"/>
      <c r="AH100" s="30"/>
      <c r="AI100" s="30"/>
      <c r="AJ100" s="33">
        <f t="shared" si="5"/>
        <v>82</v>
      </c>
      <c r="AK100" s="37">
        <v>4800000</v>
      </c>
      <c r="AL100" s="33">
        <f t="shared" si="6"/>
        <v>67</v>
      </c>
      <c r="AM100" s="37"/>
      <c r="AN100" s="37"/>
      <c r="AO100" s="37">
        <v>421400000</v>
      </c>
      <c r="AP100" s="30" t="s">
        <v>1155</v>
      </c>
      <c r="AQ100" s="30" t="s">
        <v>84</v>
      </c>
      <c r="AR100" s="30"/>
      <c r="AS100" s="30"/>
      <c r="AT100" s="30"/>
      <c r="AU100" s="30"/>
      <c r="AV100" s="38">
        <v>116</v>
      </c>
      <c r="AW100" s="37">
        <v>5072414</v>
      </c>
      <c r="AX100" s="38">
        <v>150</v>
      </c>
      <c r="AY100" s="37"/>
      <c r="AZ100" s="37">
        <v>1300000000</v>
      </c>
      <c r="BA100" s="34">
        <f t="shared" si="7"/>
        <v>588400024</v>
      </c>
      <c r="BB100" s="30" t="s">
        <v>1156</v>
      </c>
      <c r="BC100" s="30" t="s">
        <v>82</v>
      </c>
      <c r="BD100" s="30" t="s">
        <v>1155</v>
      </c>
      <c r="BE100" s="30" t="s">
        <v>84</v>
      </c>
      <c r="BF100" s="30"/>
      <c r="BG100" s="30"/>
      <c r="BH100" s="30"/>
      <c r="BI100" s="30"/>
      <c r="BJ100" s="39">
        <v>491</v>
      </c>
      <c r="BK100" s="37">
        <v>4792744</v>
      </c>
      <c r="BL100" s="39">
        <v>550</v>
      </c>
      <c r="BM100" s="37"/>
      <c r="BN100" s="37">
        <v>5500000000</v>
      </c>
      <c r="BO100" s="34">
        <f t="shared" si="8"/>
        <v>2353237304</v>
      </c>
      <c r="BP100" s="30" t="s">
        <v>1157</v>
      </c>
      <c r="BQ100" s="30" t="s">
        <v>82</v>
      </c>
      <c r="BR100" s="30" t="s">
        <v>1158</v>
      </c>
      <c r="BS100" s="30" t="s">
        <v>84</v>
      </c>
      <c r="BT100" s="30"/>
      <c r="BU100" s="30"/>
      <c r="BV100" s="30"/>
      <c r="BW100" s="30"/>
      <c r="BX100" s="39">
        <v>68</v>
      </c>
      <c r="BY100" s="37">
        <v>4908000</v>
      </c>
      <c r="BZ100" s="39">
        <v>68</v>
      </c>
      <c r="CA100" s="37"/>
      <c r="CB100" s="37">
        <v>500000000</v>
      </c>
      <c r="CC100" s="34">
        <f t="shared" si="9"/>
        <v>333744000</v>
      </c>
      <c r="CD100" s="30" t="s">
        <v>1159</v>
      </c>
      <c r="CE100" s="30" t="s">
        <v>82</v>
      </c>
      <c r="CF100" s="30" t="s">
        <v>1160</v>
      </c>
      <c r="CG100" s="30"/>
      <c r="CH100" s="30"/>
    </row>
    <row r="101" spans="2:86" ht="180" x14ac:dyDescent="0.25">
      <c r="B101" s="40" t="s">
        <v>1170</v>
      </c>
      <c r="C101" s="40" t="s">
        <v>1171</v>
      </c>
      <c r="D101" s="41">
        <v>45148</v>
      </c>
      <c r="E101" s="40" t="s">
        <v>1172</v>
      </c>
      <c r="F101" s="40" t="s">
        <v>1173</v>
      </c>
      <c r="G101" s="40"/>
      <c r="H101" s="40" t="s">
        <v>823</v>
      </c>
      <c r="I101" s="42"/>
      <c r="J101" s="40"/>
      <c r="K101" s="42"/>
      <c r="L101" s="42"/>
      <c r="M101" s="40" t="s">
        <v>1174</v>
      </c>
      <c r="N101" s="40"/>
      <c r="O101" s="40">
        <v>1</v>
      </c>
      <c r="P101" s="40" t="s">
        <v>164</v>
      </c>
      <c r="Q101" s="40"/>
      <c r="R101" s="40" t="s">
        <v>1175</v>
      </c>
      <c r="S101" s="40" t="s">
        <v>94</v>
      </c>
      <c r="T101" s="40" t="s">
        <v>683</v>
      </c>
      <c r="U101" s="40" t="s">
        <v>114</v>
      </c>
      <c r="V101" s="40" t="s">
        <v>95</v>
      </c>
      <c r="W101" s="40" t="s">
        <v>73</v>
      </c>
      <c r="X101" s="40" t="s">
        <v>86</v>
      </c>
      <c r="Y101" s="40" t="s">
        <v>75</v>
      </c>
      <c r="Z101" s="41">
        <v>45134</v>
      </c>
      <c r="AA101" s="41">
        <v>45134</v>
      </c>
      <c r="AB101" s="40" t="s">
        <v>91</v>
      </c>
      <c r="AC101" s="40"/>
      <c r="AD101" s="40"/>
      <c r="AE101" s="40"/>
      <c r="AF101" s="40"/>
      <c r="AG101" s="40"/>
      <c r="AH101" s="40"/>
      <c r="AI101" s="40"/>
      <c r="AJ101" s="33">
        <f t="shared" si="5"/>
        <v>0</v>
      </c>
      <c r="AK101" s="43"/>
      <c r="AL101" s="33">
        <f t="shared" si="6"/>
        <v>0</v>
      </c>
      <c r="AM101" s="43"/>
      <c r="AN101" s="43"/>
      <c r="AO101" s="43">
        <v>19958000000</v>
      </c>
      <c r="AP101" s="40"/>
      <c r="AQ101" s="40"/>
      <c r="AR101" s="40"/>
      <c r="AS101" s="40"/>
      <c r="AT101" s="40"/>
      <c r="AU101" s="40"/>
      <c r="AV101" s="42"/>
      <c r="AW101" s="43"/>
      <c r="AX101" s="42"/>
      <c r="AY101" s="43"/>
      <c r="AZ101" s="43"/>
      <c r="BA101" s="34">
        <f t="shared" si="7"/>
        <v>0</v>
      </c>
      <c r="BB101" s="40"/>
      <c r="BC101" s="40"/>
      <c r="BD101" s="40"/>
      <c r="BE101" s="40"/>
      <c r="BF101" s="40"/>
      <c r="BG101" s="40"/>
      <c r="BH101" s="40"/>
      <c r="BI101" s="40"/>
      <c r="BJ101" s="44"/>
      <c r="BK101" s="43"/>
      <c r="BL101" s="44"/>
      <c r="BM101" s="43"/>
      <c r="BN101" s="43"/>
      <c r="BO101" s="34">
        <f t="shared" si="8"/>
        <v>0</v>
      </c>
      <c r="BP101" s="40"/>
      <c r="BQ101" s="40"/>
      <c r="BR101" s="40"/>
      <c r="BS101" s="40"/>
      <c r="BT101" s="40"/>
      <c r="BU101" s="40"/>
      <c r="BV101" s="40"/>
      <c r="BW101" s="40"/>
      <c r="BX101" s="44"/>
      <c r="BY101" s="43"/>
      <c r="BZ101" s="44"/>
      <c r="CA101" s="43"/>
      <c r="CB101" s="43"/>
      <c r="CC101" s="34">
        <f t="shared" si="9"/>
        <v>0</v>
      </c>
      <c r="CD101" s="40"/>
      <c r="CE101" s="40"/>
      <c r="CF101" s="40" t="s">
        <v>1176</v>
      </c>
      <c r="CG101" s="40"/>
      <c r="CH101" s="40"/>
    </row>
    <row r="102" spans="2:86" ht="120" x14ac:dyDescent="0.25">
      <c r="B102" s="30" t="s">
        <v>1177</v>
      </c>
      <c r="C102" s="30" t="s">
        <v>1178</v>
      </c>
      <c r="D102" s="36">
        <v>45153</v>
      </c>
      <c r="E102" s="30" t="s">
        <v>1179</v>
      </c>
      <c r="F102" s="30" t="s">
        <v>1179</v>
      </c>
      <c r="G102" s="30"/>
      <c r="H102" s="30" t="s">
        <v>101</v>
      </c>
      <c r="I102" s="38">
        <v>12276</v>
      </c>
      <c r="J102" s="30" t="s">
        <v>70</v>
      </c>
      <c r="K102" s="38">
        <v>5477</v>
      </c>
      <c r="L102" s="38"/>
      <c r="M102" s="30"/>
      <c r="N102" s="30"/>
      <c r="O102" s="30"/>
      <c r="P102" s="30"/>
      <c r="Q102" s="30"/>
      <c r="R102" s="30" t="s">
        <v>1180</v>
      </c>
      <c r="S102" s="30" t="s">
        <v>1181</v>
      </c>
      <c r="T102" s="30" t="s">
        <v>1182</v>
      </c>
      <c r="U102" s="30" t="s">
        <v>1183</v>
      </c>
      <c r="V102" s="30" t="s">
        <v>72</v>
      </c>
      <c r="W102" s="30" t="s">
        <v>73</v>
      </c>
      <c r="X102" s="30" t="s">
        <v>146</v>
      </c>
      <c r="Y102" s="30" t="s">
        <v>75</v>
      </c>
      <c r="Z102" s="36">
        <v>45081</v>
      </c>
      <c r="AA102" s="36">
        <v>45082</v>
      </c>
      <c r="AB102" s="30" t="s">
        <v>91</v>
      </c>
      <c r="AC102" s="30"/>
      <c r="AD102" s="30"/>
      <c r="AE102" s="30"/>
      <c r="AF102" s="30"/>
      <c r="AG102" s="30"/>
      <c r="AH102" s="30"/>
      <c r="AI102" s="30"/>
      <c r="AJ102" s="33">
        <f t="shared" si="5"/>
        <v>12276</v>
      </c>
      <c r="AK102" s="37">
        <v>2500000</v>
      </c>
      <c r="AL102" s="33">
        <f t="shared" si="6"/>
        <v>5477</v>
      </c>
      <c r="AM102" s="37"/>
      <c r="AN102" s="37"/>
      <c r="AO102" s="37">
        <v>43529000000</v>
      </c>
      <c r="AP102" s="30" t="s">
        <v>1184</v>
      </c>
      <c r="AQ102" s="30" t="s">
        <v>78</v>
      </c>
      <c r="AR102" s="30"/>
      <c r="AS102" s="30"/>
      <c r="AT102" s="30"/>
      <c r="AU102" s="30"/>
      <c r="AV102" s="38">
        <v>2303</v>
      </c>
      <c r="AW102" s="37">
        <v>2600000</v>
      </c>
      <c r="AX102" s="38"/>
      <c r="AY102" s="37"/>
      <c r="AZ102" s="37">
        <v>6909000000</v>
      </c>
      <c r="BA102" s="34">
        <f t="shared" si="7"/>
        <v>5987800000</v>
      </c>
      <c r="BB102" s="30" t="s">
        <v>1185</v>
      </c>
      <c r="BC102" s="30" t="s">
        <v>82</v>
      </c>
      <c r="BD102" s="30" t="s">
        <v>1184</v>
      </c>
      <c r="BE102" s="30" t="s">
        <v>101</v>
      </c>
      <c r="BF102" s="30"/>
      <c r="BG102" s="30"/>
      <c r="BH102" s="30"/>
      <c r="BI102" s="30"/>
      <c r="BJ102" s="39">
        <v>1200</v>
      </c>
      <c r="BK102" s="37">
        <v>2724792</v>
      </c>
      <c r="BL102" s="39">
        <v>500</v>
      </c>
      <c r="BM102" s="37"/>
      <c r="BN102" s="37">
        <v>5000000000</v>
      </c>
      <c r="BO102" s="34">
        <f t="shared" si="8"/>
        <v>3269750400</v>
      </c>
      <c r="BP102" s="30">
        <v>81227370569</v>
      </c>
      <c r="BQ102" s="30" t="s">
        <v>82</v>
      </c>
      <c r="BR102" s="30" t="s">
        <v>1184</v>
      </c>
      <c r="BS102" s="30" t="s">
        <v>78</v>
      </c>
      <c r="BT102" s="30"/>
      <c r="BU102" s="30"/>
      <c r="BV102" s="30"/>
      <c r="BW102" s="30"/>
      <c r="BX102" s="39">
        <v>7000</v>
      </c>
      <c r="BY102" s="37">
        <v>2500000</v>
      </c>
      <c r="BZ102" s="39"/>
      <c r="CA102" s="37"/>
      <c r="CB102" s="37">
        <v>21000000000</v>
      </c>
      <c r="CC102" s="34">
        <f t="shared" si="9"/>
        <v>17500000000</v>
      </c>
      <c r="CD102" s="30" t="s">
        <v>1186</v>
      </c>
      <c r="CE102" s="30" t="s">
        <v>82</v>
      </c>
      <c r="CF102" s="30" t="s">
        <v>1187</v>
      </c>
      <c r="CG102" s="30"/>
      <c r="CH102" s="30"/>
    </row>
    <row r="103" spans="2:86" ht="105" x14ac:dyDescent="0.25">
      <c r="B103" s="30" t="s">
        <v>1188</v>
      </c>
      <c r="C103" s="30" t="s">
        <v>1189</v>
      </c>
      <c r="D103" s="36">
        <v>45153</v>
      </c>
      <c r="E103" s="30" t="s">
        <v>1179</v>
      </c>
      <c r="F103" s="30" t="s">
        <v>694</v>
      </c>
      <c r="G103" s="30"/>
      <c r="H103" s="30" t="s">
        <v>1190</v>
      </c>
      <c r="I103" s="38">
        <v>3091</v>
      </c>
      <c r="J103" s="30" t="s">
        <v>70</v>
      </c>
      <c r="K103" s="38">
        <v>2413</v>
      </c>
      <c r="L103" s="38"/>
      <c r="M103" s="30"/>
      <c r="N103" s="30"/>
      <c r="O103" s="30"/>
      <c r="P103" s="30"/>
      <c r="Q103" s="30"/>
      <c r="R103" s="30" t="s">
        <v>1191</v>
      </c>
      <c r="S103" s="30" t="s">
        <v>1192</v>
      </c>
      <c r="T103" s="30" t="s">
        <v>1193</v>
      </c>
      <c r="U103" s="30" t="s">
        <v>99</v>
      </c>
      <c r="V103" s="30" t="s">
        <v>80</v>
      </c>
      <c r="W103" s="30" t="s">
        <v>73</v>
      </c>
      <c r="X103" s="30" t="s">
        <v>86</v>
      </c>
      <c r="Y103" s="30" t="s">
        <v>75</v>
      </c>
      <c r="Z103" s="36">
        <v>45068</v>
      </c>
      <c r="AA103" s="36">
        <v>45068</v>
      </c>
      <c r="AB103" s="30" t="s">
        <v>91</v>
      </c>
      <c r="AC103" s="30"/>
      <c r="AD103" s="30"/>
      <c r="AE103" s="30"/>
      <c r="AF103" s="30"/>
      <c r="AG103" s="30"/>
      <c r="AH103" s="30"/>
      <c r="AI103" s="30"/>
      <c r="AJ103" s="33">
        <f t="shared" si="5"/>
        <v>3091</v>
      </c>
      <c r="AK103" s="37">
        <v>12500000</v>
      </c>
      <c r="AL103" s="33">
        <f t="shared" si="6"/>
        <v>2413</v>
      </c>
      <c r="AM103" s="37"/>
      <c r="AN103" s="37"/>
      <c r="AO103" s="37">
        <v>42766100000</v>
      </c>
      <c r="AP103" s="30" t="s">
        <v>1194</v>
      </c>
      <c r="AQ103" s="30" t="s">
        <v>101</v>
      </c>
      <c r="AR103" s="30"/>
      <c r="AS103" s="30"/>
      <c r="AT103" s="30"/>
      <c r="AU103" s="30"/>
      <c r="AV103" s="38">
        <v>3000</v>
      </c>
      <c r="AW103" s="37">
        <v>12497333</v>
      </c>
      <c r="AX103" s="38">
        <v>1000</v>
      </c>
      <c r="AY103" s="37"/>
      <c r="AZ103" s="37">
        <v>52500000000</v>
      </c>
      <c r="BA103" s="34">
        <f t="shared" si="7"/>
        <v>37491999000</v>
      </c>
      <c r="BB103" s="30" t="s">
        <v>1195</v>
      </c>
      <c r="BC103" s="30" t="s">
        <v>82</v>
      </c>
      <c r="BD103" s="30" t="s">
        <v>1194</v>
      </c>
      <c r="BE103" s="30" t="s">
        <v>101</v>
      </c>
      <c r="BF103" s="30"/>
      <c r="BG103" s="30"/>
      <c r="BH103" s="30"/>
      <c r="BI103" s="30"/>
      <c r="BJ103" s="39">
        <v>480</v>
      </c>
      <c r="BK103" s="37">
        <v>13849157</v>
      </c>
      <c r="BL103" s="39">
        <v>300</v>
      </c>
      <c r="BM103" s="37"/>
      <c r="BN103" s="37">
        <v>9600000000</v>
      </c>
      <c r="BO103" s="34">
        <f t="shared" si="8"/>
        <v>6647595360</v>
      </c>
      <c r="BP103" s="30" t="s">
        <v>1196</v>
      </c>
      <c r="BQ103" s="30" t="s">
        <v>82</v>
      </c>
      <c r="BR103" s="30" t="s">
        <v>1194</v>
      </c>
      <c r="BS103" s="30" t="s">
        <v>101</v>
      </c>
      <c r="BT103" s="30"/>
      <c r="BU103" s="30"/>
      <c r="BV103" s="30"/>
      <c r="BW103" s="30"/>
      <c r="BX103" s="39">
        <v>250</v>
      </c>
      <c r="BY103" s="37">
        <v>14492000</v>
      </c>
      <c r="BZ103" s="39">
        <v>250</v>
      </c>
      <c r="CA103" s="37"/>
      <c r="CB103" s="37">
        <v>5500000000</v>
      </c>
      <c r="CC103" s="34">
        <f t="shared" si="9"/>
        <v>3623000000</v>
      </c>
      <c r="CD103" s="30" t="s">
        <v>1197</v>
      </c>
      <c r="CE103" s="30" t="s">
        <v>82</v>
      </c>
      <c r="CF103" s="30" t="s">
        <v>1198</v>
      </c>
      <c r="CG103" s="30"/>
      <c r="CH103" s="30"/>
    </row>
    <row r="104" spans="2:86" ht="105" x14ac:dyDescent="0.25">
      <c r="B104" s="30" t="s">
        <v>1188</v>
      </c>
      <c r="C104" s="30" t="s">
        <v>1189</v>
      </c>
      <c r="D104" s="36">
        <v>45153</v>
      </c>
      <c r="E104" s="30" t="s">
        <v>1179</v>
      </c>
      <c r="F104" s="30" t="s">
        <v>694</v>
      </c>
      <c r="G104" s="30"/>
      <c r="H104" s="30" t="s">
        <v>1199</v>
      </c>
      <c r="I104" s="38">
        <v>10820</v>
      </c>
      <c r="J104" s="30" t="s">
        <v>70</v>
      </c>
      <c r="K104" s="38">
        <v>1362</v>
      </c>
      <c r="L104" s="38"/>
      <c r="M104" s="30"/>
      <c r="N104" s="30"/>
      <c r="O104" s="30"/>
      <c r="P104" s="30"/>
      <c r="Q104" s="30"/>
      <c r="R104" s="30" t="s">
        <v>1200</v>
      </c>
      <c r="S104" s="30" t="s">
        <v>1201</v>
      </c>
      <c r="T104" s="30" t="s">
        <v>1202</v>
      </c>
      <c r="U104" s="30" t="s">
        <v>1203</v>
      </c>
      <c r="V104" s="30" t="s">
        <v>72</v>
      </c>
      <c r="W104" s="30" t="s">
        <v>73</v>
      </c>
      <c r="X104" s="30" t="s">
        <v>86</v>
      </c>
      <c r="Y104" s="30" t="s">
        <v>75</v>
      </c>
      <c r="Z104" s="36">
        <v>45080</v>
      </c>
      <c r="AA104" s="36">
        <v>45080</v>
      </c>
      <c r="AB104" s="30" t="s">
        <v>91</v>
      </c>
      <c r="AC104" s="30"/>
      <c r="AD104" s="30"/>
      <c r="AE104" s="30"/>
      <c r="AF104" s="30"/>
      <c r="AG104" s="30"/>
      <c r="AH104" s="30"/>
      <c r="AI104" s="30"/>
      <c r="AJ104" s="33">
        <f t="shared" si="5"/>
        <v>10820</v>
      </c>
      <c r="AK104" s="37">
        <v>1620000</v>
      </c>
      <c r="AL104" s="33">
        <f t="shared" si="6"/>
        <v>1362</v>
      </c>
      <c r="AM104" s="37"/>
      <c r="AN104" s="37"/>
      <c r="AO104" s="37">
        <v>20587000000</v>
      </c>
      <c r="AP104" s="30" t="s">
        <v>1204</v>
      </c>
      <c r="AQ104" s="30" t="s">
        <v>1205</v>
      </c>
      <c r="AR104" s="30"/>
      <c r="AS104" s="30"/>
      <c r="AT104" s="30"/>
      <c r="AU104" s="30"/>
      <c r="AV104" s="38">
        <v>4260</v>
      </c>
      <c r="AW104" s="37">
        <v>1636298</v>
      </c>
      <c r="AX104" s="38">
        <v>1100</v>
      </c>
      <c r="AY104" s="37"/>
      <c r="AZ104" s="37">
        <v>11076000000</v>
      </c>
      <c r="BA104" s="34">
        <f t="shared" si="7"/>
        <v>6970629480</v>
      </c>
      <c r="BB104" s="30" t="s">
        <v>1206</v>
      </c>
      <c r="BC104" s="30" t="s">
        <v>82</v>
      </c>
      <c r="BD104" s="30" t="s">
        <v>1204</v>
      </c>
      <c r="BE104" s="30" t="s">
        <v>78</v>
      </c>
      <c r="BF104" s="30"/>
      <c r="BG104" s="30"/>
      <c r="BH104" s="30"/>
      <c r="BI104" s="30"/>
      <c r="BJ104" s="39">
        <v>3600</v>
      </c>
      <c r="BK104" s="37">
        <v>1750000</v>
      </c>
      <c r="BL104" s="39"/>
      <c r="BM104" s="37"/>
      <c r="BN104" s="37">
        <v>7200000000</v>
      </c>
      <c r="BO104" s="34">
        <f t="shared" si="8"/>
        <v>6300000000</v>
      </c>
      <c r="BP104" s="30" t="s">
        <v>1207</v>
      </c>
      <c r="BQ104" s="30" t="s">
        <v>82</v>
      </c>
      <c r="BR104" s="30" t="s">
        <v>1208</v>
      </c>
      <c r="BS104" s="30" t="s">
        <v>78</v>
      </c>
      <c r="BT104" s="30"/>
      <c r="BU104" s="30"/>
      <c r="BV104" s="30"/>
      <c r="BW104" s="30"/>
      <c r="BX104" s="39">
        <v>5513</v>
      </c>
      <c r="BY104" s="37">
        <v>2000000</v>
      </c>
      <c r="BZ104" s="39"/>
      <c r="CA104" s="37"/>
      <c r="CB104" s="37">
        <v>13700000000</v>
      </c>
      <c r="CC104" s="34">
        <f t="shared" si="9"/>
        <v>11026000000</v>
      </c>
      <c r="CD104" s="30" t="s">
        <v>1209</v>
      </c>
      <c r="CE104" s="30" t="s">
        <v>82</v>
      </c>
      <c r="CF104" s="30"/>
      <c r="CG104" s="30"/>
      <c r="CH104" s="30"/>
    </row>
    <row r="105" spans="2:86" ht="135" x14ac:dyDescent="0.25">
      <c r="B105" s="30" t="s">
        <v>1188</v>
      </c>
      <c r="C105" s="30" t="s">
        <v>1189</v>
      </c>
      <c r="D105" s="36">
        <v>45153</v>
      </c>
      <c r="E105" s="30" t="s">
        <v>1179</v>
      </c>
      <c r="F105" s="30" t="s">
        <v>694</v>
      </c>
      <c r="G105" s="30"/>
      <c r="H105" s="30" t="s">
        <v>101</v>
      </c>
      <c r="I105" s="38">
        <v>16408</v>
      </c>
      <c r="J105" s="30" t="s">
        <v>70</v>
      </c>
      <c r="K105" s="38">
        <v>2926</v>
      </c>
      <c r="L105" s="38"/>
      <c r="M105" s="30"/>
      <c r="N105" s="30"/>
      <c r="O105" s="30"/>
      <c r="P105" s="30"/>
      <c r="Q105" s="30"/>
      <c r="R105" s="30" t="s">
        <v>1210</v>
      </c>
      <c r="S105" s="30" t="s">
        <v>1211</v>
      </c>
      <c r="T105" s="30" t="s">
        <v>1212</v>
      </c>
      <c r="U105" s="30" t="s">
        <v>1035</v>
      </c>
      <c r="V105" s="30" t="s">
        <v>95</v>
      </c>
      <c r="W105" s="30" t="s">
        <v>73</v>
      </c>
      <c r="X105" s="30" t="s">
        <v>86</v>
      </c>
      <c r="Y105" s="30" t="s">
        <v>75</v>
      </c>
      <c r="Z105" s="36">
        <v>45092</v>
      </c>
      <c r="AA105" s="36">
        <v>45094</v>
      </c>
      <c r="AB105" s="30" t="s">
        <v>91</v>
      </c>
      <c r="AC105" s="30"/>
      <c r="AD105" s="30"/>
      <c r="AE105" s="30"/>
      <c r="AF105" s="30"/>
      <c r="AG105" s="30"/>
      <c r="AH105" s="30"/>
      <c r="AI105" s="30"/>
      <c r="AJ105" s="33">
        <f t="shared" si="5"/>
        <v>16408</v>
      </c>
      <c r="AK105" s="37">
        <v>1660000</v>
      </c>
      <c r="AL105" s="33">
        <f t="shared" si="6"/>
        <v>2926</v>
      </c>
      <c r="AM105" s="37"/>
      <c r="AN105" s="37"/>
      <c r="AO105" s="37">
        <v>33109000000</v>
      </c>
      <c r="AP105" s="30" t="s">
        <v>1213</v>
      </c>
      <c r="AQ105" s="30" t="s">
        <v>78</v>
      </c>
      <c r="AR105" s="30"/>
      <c r="AS105" s="30"/>
      <c r="AT105" s="30"/>
      <c r="AU105" s="30"/>
      <c r="AV105" s="38">
        <v>11300</v>
      </c>
      <c r="AW105" s="37">
        <v>1500000</v>
      </c>
      <c r="AX105" s="38"/>
      <c r="AY105" s="37"/>
      <c r="AZ105" s="37">
        <v>19210000000</v>
      </c>
      <c r="BA105" s="34">
        <f t="shared" si="7"/>
        <v>16950000000</v>
      </c>
      <c r="BB105" s="30" t="s">
        <v>1214</v>
      </c>
      <c r="BC105" s="30" t="s">
        <v>82</v>
      </c>
      <c r="BD105" s="30" t="s">
        <v>1213</v>
      </c>
      <c r="BE105" s="30" t="s">
        <v>78</v>
      </c>
      <c r="BF105" s="30"/>
      <c r="BG105" s="30"/>
      <c r="BH105" s="30"/>
      <c r="BI105" s="30"/>
      <c r="BJ105" s="39">
        <v>30000</v>
      </c>
      <c r="BK105" s="37">
        <v>1466667</v>
      </c>
      <c r="BL105" s="39"/>
      <c r="BM105" s="37"/>
      <c r="BN105" s="37">
        <v>51000000000</v>
      </c>
      <c r="BO105" s="34">
        <f t="shared" si="8"/>
        <v>44000010000</v>
      </c>
      <c r="BP105" s="30" t="s">
        <v>1215</v>
      </c>
      <c r="BQ105" s="30" t="s">
        <v>82</v>
      </c>
      <c r="BR105" s="30" t="s">
        <v>1213</v>
      </c>
      <c r="BS105" s="30" t="s">
        <v>78</v>
      </c>
      <c r="BT105" s="30"/>
      <c r="BU105" s="30"/>
      <c r="BV105" s="30"/>
      <c r="BW105" s="30"/>
      <c r="BX105" s="39">
        <v>16000</v>
      </c>
      <c r="BY105" s="37">
        <v>1625000</v>
      </c>
      <c r="BZ105" s="39"/>
      <c r="CA105" s="37"/>
      <c r="CB105" s="37">
        <v>30400000000</v>
      </c>
      <c r="CC105" s="34">
        <f t="shared" si="9"/>
        <v>26000000000</v>
      </c>
      <c r="CD105" s="30" t="s">
        <v>1216</v>
      </c>
      <c r="CE105" s="30" t="s">
        <v>82</v>
      </c>
      <c r="CF105" s="30" t="s">
        <v>1217</v>
      </c>
      <c r="CG105" s="30"/>
      <c r="CH105" s="30"/>
    </row>
    <row r="106" spans="2:86" ht="120" x14ac:dyDescent="0.25">
      <c r="B106" s="30" t="s">
        <v>1188</v>
      </c>
      <c r="C106" s="30" t="s">
        <v>1189</v>
      </c>
      <c r="D106" s="36">
        <v>45153</v>
      </c>
      <c r="E106" s="30" t="s">
        <v>1179</v>
      </c>
      <c r="F106" s="30" t="s">
        <v>694</v>
      </c>
      <c r="G106" s="30"/>
      <c r="H106" s="30" t="s">
        <v>1218</v>
      </c>
      <c r="I106" s="38">
        <v>8213</v>
      </c>
      <c r="J106" s="30" t="s">
        <v>70</v>
      </c>
      <c r="K106" s="38">
        <v>1309</v>
      </c>
      <c r="L106" s="38"/>
      <c r="M106" s="30"/>
      <c r="N106" s="30"/>
      <c r="O106" s="30"/>
      <c r="P106" s="30"/>
      <c r="Q106" s="30"/>
      <c r="R106" s="30" t="s">
        <v>1219</v>
      </c>
      <c r="S106" s="30" t="s">
        <v>1220</v>
      </c>
      <c r="T106" s="30" t="s">
        <v>1221</v>
      </c>
      <c r="U106" s="30" t="s">
        <v>1222</v>
      </c>
      <c r="V106" s="30" t="s">
        <v>72</v>
      </c>
      <c r="W106" s="30" t="s">
        <v>73</v>
      </c>
      <c r="X106" s="30" t="s">
        <v>86</v>
      </c>
      <c r="Y106" s="30" t="s">
        <v>75</v>
      </c>
      <c r="Z106" s="36">
        <v>45080</v>
      </c>
      <c r="AA106" s="36">
        <v>45080</v>
      </c>
      <c r="AB106" s="30" t="s">
        <v>91</v>
      </c>
      <c r="AC106" s="30"/>
      <c r="AD106" s="30"/>
      <c r="AE106" s="30"/>
      <c r="AF106" s="30"/>
      <c r="AG106" s="30"/>
      <c r="AH106" s="30"/>
      <c r="AI106" s="30"/>
      <c r="AJ106" s="33">
        <f t="shared" si="5"/>
        <v>8213</v>
      </c>
      <c r="AK106" s="37">
        <v>2410000</v>
      </c>
      <c r="AL106" s="33">
        <f t="shared" si="6"/>
        <v>1309</v>
      </c>
      <c r="AM106" s="37"/>
      <c r="AN106" s="37"/>
      <c r="AO106" s="37">
        <v>24856000000</v>
      </c>
      <c r="AP106" s="30" t="s">
        <v>1223</v>
      </c>
      <c r="AQ106" s="30" t="s">
        <v>1205</v>
      </c>
      <c r="AR106" s="30"/>
      <c r="AS106" s="30"/>
      <c r="AT106" s="30"/>
      <c r="AU106" s="30"/>
      <c r="AV106" s="38">
        <v>7800</v>
      </c>
      <c r="AW106" s="37">
        <v>2211864</v>
      </c>
      <c r="AX106" s="38">
        <v>210</v>
      </c>
      <c r="AY106" s="37"/>
      <c r="AZ106" s="37">
        <v>19500000000</v>
      </c>
      <c r="BA106" s="34">
        <f t="shared" si="7"/>
        <v>17252539200</v>
      </c>
      <c r="BB106" s="30" t="s">
        <v>1224</v>
      </c>
      <c r="BC106" s="30" t="s">
        <v>82</v>
      </c>
      <c r="BD106" s="30" t="s">
        <v>1223</v>
      </c>
      <c r="BE106" s="30" t="s">
        <v>78</v>
      </c>
      <c r="BF106" s="30"/>
      <c r="BG106" s="30"/>
      <c r="BH106" s="30"/>
      <c r="BI106" s="30"/>
      <c r="BJ106" s="39">
        <v>2908</v>
      </c>
      <c r="BK106" s="37">
        <v>2250000</v>
      </c>
      <c r="BL106" s="39"/>
      <c r="BM106" s="37"/>
      <c r="BN106" s="37">
        <v>7270000000</v>
      </c>
      <c r="BO106" s="34">
        <f t="shared" si="8"/>
        <v>6543000000</v>
      </c>
      <c r="BP106" s="30" t="s">
        <v>1225</v>
      </c>
      <c r="BQ106" s="30" t="s">
        <v>82</v>
      </c>
      <c r="BR106" s="30" t="s">
        <v>1223</v>
      </c>
      <c r="BS106" s="30" t="s">
        <v>78</v>
      </c>
      <c r="BT106" s="30"/>
      <c r="BU106" s="30"/>
      <c r="BV106" s="30"/>
      <c r="BW106" s="30"/>
      <c r="BX106" s="39">
        <v>10750</v>
      </c>
      <c r="BY106" s="37">
        <v>2050000</v>
      </c>
      <c r="BZ106" s="39"/>
      <c r="CA106" s="37"/>
      <c r="CB106" s="37">
        <v>24280000000</v>
      </c>
      <c r="CC106" s="34">
        <f t="shared" si="9"/>
        <v>22037500000</v>
      </c>
      <c r="CD106" s="30" t="s">
        <v>1226</v>
      </c>
      <c r="CE106" s="30" t="s">
        <v>82</v>
      </c>
      <c r="CF106" s="30" t="s">
        <v>1217</v>
      </c>
      <c r="CG106" s="30"/>
      <c r="CH106" s="30"/>
    </row>
    <row r="107" spans="2:86" ht="120" x14ac:dyDescent="0.25">
      <c r="B107" s="30" t="s">
        <v>1188</v>
      </c>
      <c r="C107" s="30" t="s">
        <v>1189</v>
      </c>
      <c r="D107" s="36">
        <v>45153</v>
      </c>
      <c r="E107" s="30" t="s">
        <v>1179</v>
      </c>
      <c r="F107" s="30" t="s">
        <v>694</v>
      </c>
      <c r="G107" s="30"/>
      <c r="H107" s="30" t="s">
        <v>328</v>
      </c>
      <c r="I107" s="38">
        <v>2000</v>
      </c>
      <c r="J107" s="30" t="s">
        <v>70</v>
      </c>
      <c r="K107" s="38">
        <v>2625</v>
      </c>
      <c r="L107" s="38"/>
      <c r="M107" s="30"/>
      <c r="N107" s="30"/>
      <c r="O107" s="30"/>
      <c r="P107" s="30"/>
      <c r="Q107" s="30"/>
      <c r="R107" s="30" t="s">
        <v>1227</v>
      </c>
      <c r="S107" s="30" t="s">
        <v>1228</v>
      </c>
      <c r="T107" s="30" t="s">
        <v>1229</v>
      </c>
      <c r="U107" s="30" t="s">
        <v>1230</v>
      </c>
      <c r="V107" s="30" t="s">
        <v>72</v>
      </c>
      <c r="W107" s="30" t="s">
        <v>73</v>
      </c>
      <c r="X107" s="30" t="s">
        <v>86</v>
      </c>
      <c r="Y107" s="30" t="s">
        <v>75</v>
      </c>
      <c r="Z107" s="36">
        <v>45082</v>
      </c>
      <c r="AA107" s="36">
        <v>45081</v>
      </c>
      <c r="AB107" s="30" t="s">
        <v>91</v>
      </c>
      <c r="AC107" s="30"/>
      <c r="AD107" s="30"/>
      <c r="AE107" s="30"/>
      <c r="AF107" s="30"/>
      <c r="AG107" s="30"/>
      <c r="AH107" s="30"/>
      <c r="AI107" s="30"/>
      <c r="AJ107" s="33">
        <f t="shared" si="5"/>
        <v>2000</v>
      </c>
      <c r="AK107" s="37">
        <v>3300000</v>
      </c>
      <c r="AL107" s="33">
        <f t="shared" si="6"/>
        <v>2625</v>
      </c>
      <c r="AM107" s="37"/>
      <c r="AN107" s="37"/>
      <c r="AO107" s="37">
        <v>14521000000</v>
      </c>
      <c r="AP107" s="30" t="s">
        <v>1231</v>
      </c>
      <c r="AQ107" s="30" t="s">
        <v>101</v>
      </c>
      <c r="AR107" s="30"/>
      <c r="AS107" s="30"/>
      <c r="AT107" s="30"/>
      <c r="AU107" s="30"/>
      <c r="AV107" s="38">
        <v>800</v>
      </c>
      <c r="AW107" s="37">
        <v>3111500</v>
      </c>
      <c r="AX107" s="38">
        <v>400</v>
      </c>
      <c r="AY107" s="37"/>
      <c r="AZ107" s="37">
        <v>3500000000</v>
      </c>
      <c r="BA107" s="34">
        <f t="shared" si="7"/>
        <v>2489200000</v>
      </c>
      <c r="BB107" s="30" t="s">
        <v>1232</v>
      </c>
      <c r="BC107" s="30" t="s">
        <v>82</v>
      </c>
      <c r="BD107" s="30" t="s">
        <v>1233</v>
      </c>
      <c r="BE107" s="30" t="s">
        <v>101</v>
      </c>
      <c r="BF107" s="30"/>
      <c r="BG107" s="30"/>
      <c r="BH107" s="30"/>
      <c r="BI107" s="30"/>
      <c r="BJ107" s="39">
        <v>750</v>
      </c>
      <c r="BK107" s="37">
        <v>3133333</v>
      </c>
      <c r="BL107" s="39"/>
      <c r="BM107" s="37"/>
      <c r="BN107" s="37">
        <v>2650000000</v>
      </c>
      <c r="BO107" s="34">
        <f t="shared" si="8"/>
        <v>2349999750</v>
      </c>
      <c r="BP107" s="30" t="s">
        <v>1234</v>
      </c>
      <c r="BQ107" s="30" t="s">
        <v>82</v>
      </c>
      <c r="BR107" s="30" t="s">
        <v>1235</v>
      </c>
      <c r="BS107" s="30" t="s">
        <v>78</v>
      </c>
      <c r="BT107" s="30"/>
      <c r="BU107" s="30"/>
      <c r="BV107" s="30"/>
      <c r="BW107" s="30"/>
      <c r="BX107" s="39">
        <v>1400</v>
      </c>
      <c r="BY107" s="37">
        <v>2857143</v>
      </c>
      <c r="BZ107" s="39"/>
      <c r="CA107" s="37"/>
      <c r="CB107" s="37">
        <v>4500000000</v>
      </c>
      <c r="CC107" s="34">
        <f t="shared" si="9"/>
        <v>4000000200</v>
      </c>
      <c r="CD107" s="30" t="s">
        <v>1236</v>
      </c>
      <c r="CE107" s="30" t="s">
        <v>82</v>
      </c>
      <c r="CF107" s="30" t="s">
        <v>1217</v>
      </c>
      <c r="CG107" s="30"/>
      <c r="CH107" s="30"/>
    </row>
    <row r="108" spans="2:86" ht="120" x14ac:dyDescent="0.25">
      <c r="B108" s="30" t="s">
        <v>1188</v>
      </c>
      <c r="C108" s="30" t="s">
        <v>1189</v>
      </c>
      <c r="D108" s="36">
        <v>45153</v>
      </c>
      <c r="E108" s="30" t="s">
        <v>1179</v>
      </c>
      <c r="F108" s="30" t="s">
        <v>694</v>
      </c>
      <c r="G108" s="30"/>
      <c r="H108" s="30" t="s">
        <v>1237</v>
      </c>
      <c r="I108" s="38">
        <v>1057</v>
      </c>
      <c r="J108" s="30" t="s">
        <v>70</v>
      </c>
      <c r="K108" s="38">
        <v>1036</v>
      </c>
      <c r="L108" s="38"/>
      <c r="M108" s="30"/>
      <c r="N108" s="30"/>
      <c r="O108" s="30"/>
      <c r="P108" s="30"/>
      <c r="Q108" s="30"/>
      <c r="R108" s="30" t="s">
        <v>1238</v>
      </c>
      <c r="S108" s="30" t="s">
        <v>1239</v>
      </c>
      <c r="T108" s="30" t="s">
        <v>1229</v>
      </c>
      <c r="U108" s="30" t="s">
        <v>1240</v>
      </c>
      <c r="V108" s="30" t="s">
        <v>72</v>
      </c>
      <c r="W108" s="30" t="s">
        <v>73</v>
      </c>
      <c r="X108" s="30" t="s">
        <v>86</v>
      </c>
      <c r="Y108" s="30" t="s">
        <v>75</v>
      </c>
      <c r="Z108" s="36">
        <v>45082</v>
      </c>
      <c r="AA108" s="36">
        <v>45082</v>
      </c>
      <c r="AB108" s="30" t="s">
        <v>91</v>
      </c>
      <c r="AC108" s="30"/>
      <c r="AD108" s="30"/>
      <c r="AE108" s="30"/>
      <c r="AF108" s="30"/>
      <c r="AG108" s="30"/>
      <c r="AH108" s="30"/>
      <c r="AI108" s="30"/>
      <c r="AJ108" s="33">
        <f t="shared" si="5"/>
        <v>1057</v>
      </c>
      <c r="AK108" s="37">
        <v>3300000</v>
      </c>
      <c r="AL108" s="33">
        <f t="shared" si="6"/>
        <v>1036</v>
      </c>
      <c r="AM108" s="37"/>
      <c r="AN108" s="37"/>
      <c r="AO108" s="37">
        <v>5399000000</v>
      </c>
      <c r="AP108" s="30" t="s">
        <v>1231</v>
      </c>
      <c r="AQ108" s="30" t="s">
        <v>101</v>
      </c>
      <c r="AR108" s="30"/>
      <c r="AS108" s="30"/>
      <c r="AT108" s="30"/>
      <c r="AU108" s="30"/>
      <c r="AV108" s="38">
        <v>800</v>
      </c>
      <c r="AW108" s="37">
        <v>3111500</v>
      </c>
      <c r="AX108" s="38">
        <v>400</v>
      </c>
      <c r="AY108" s="37"/>
      <c r="AZ108" s="37">
        <v>3500000000</v>
      </c>
      <c r="BA108" s="34">
        <f t="shared" si="7"/>
        <v>2489200000</v>
      </c>
      <c r="BB108" s="30" t="s">
        <v>1232</v>
      </c>
      <c r="BC108" s="30" t="s">
        <v>82</v>
      </c>
      <c r="BD108" s="30" t="s">
        <v>1233</v>
      </c>
      <c r="BE108" s="30" t="s">
        <v>101</v>
      </c>
      <c r="BF108" s="30"/>
      <c r="BG108" s="30"/>
      <c r="BH108" s="30"/>
      <c r="BI108" s="30"/>
      <c r="BJ108" s="39">
        <v>750</v>
      </c>
      <c r="BK108" s="37">
        <v>3133333</v>
      </c>
      <c r="BL108" s="39"/>
      <c r="BM108" s="37"/>
      <c r="BN108" s="37">
        <v>2650000000</v>
      </c>
      <c r="BO108" s="34">
        <f t="shared" si="8"/>
        <v>2349999750</v>
      </c>
      <c r="BP108" s="30" t="s">
        <v>1234</v>
      </c>
      <c r="BQ108" s="30" t="s">
        <v>82</v>
      </c>
      <c r="BR108" s="30" t="s">
        <v>1235</v>
      </c>
      <c r="BS108" s="30" t="s">
        <v>78</v>
      </c>
      <c r="BT108" s="30"/>
      <c r="BU108" s="30"/>
      <c r="BV108" s="30"/>
      <c r="BW108" s="30"/>
      <c r="BX108" s="39">
        <v>1400</v>
      </c>
      <c r="BY108" s="37">
        <v>2857143</v>
      </c>
      <c r="BZ108" s="39"/>
      <c r="CA108" s="37"/>
      <c r="CB108" s="37">
        <v>4500000000</v>
      </c>
      <c r="CC108" s="34">
        <f t="shared" si="9"/>
        <v>4000000200</v>
      </c>
      <c r="CD108" s="30" t="s">
        <v>1236</v>
      </c>
      <c r="CE108" s="30" t="s">
        <v>82</v>
      </c>
      <c r="CF108" s="30" t="s">
        <v>1217</v>
      </c>
      <c r="CG108" s="30"/>
      <c r="CH108" s="30"/>
    </row>
    <row r="109" spans="2:86" ht="409.5" x14ac:dyDescent="0.25">
      <c r="B109" s="30" t="s">
        <v>1188</v>
      </c>
      <c r="C109" s="30" t="s">
        <v>1189</v>
      </c>
      <c r="D109" s="36">
        <v>45153</v>
      </c>
      <c r="E109" s="30" t="s">
        <v>1179</v>
      </c>
      <c r="F109" s="30" t="s">
        <v>694</v>
      </c>
      <c r="G109" s="30"/>
      <c r="H109" s="30" t="s">
        <v>1241</v>
      </c>
      <c r="I109" s="38"/>
      <c r="J109" s="30"/>
      <c r="K109" s="38"/>
      <c r="L109" s="38"/>
      <c r="M109" s="30" t="s">
        <v>1242</v>
      </c>
      <c r="N109" s="30"/>
      <c r="O109" s="30">
        <v>1</v>
      </c>
      <c r="P109" s="30" t="s">
        <v>164</v>
      </c>
      <c r="Q109" s="30"/>
      <c r="R109" s="30"/>
      <c r="S109" s="30" t="s">
        <v>1243</v>
      </c>
      <c r="T109" s="30" t="s">
        <v>1244</v>
      </c>
      <c r="U109" s="30" t="s">
        <v>1245</v>
      </c>
      <c r="V109" s="30" t="s">
        <v>72</v>
      </c>
      <c r="W109" s="30" t="s">
        <v>73</v>
      </c>
      <c r="X109" s="30" t="s">
        <v>86</v>
      </c>
      <c r="Y109" s="30" t="s">
        <v>75</v>
      </c>
      <c r="Z109" s="36">
        <v>45080</v>
      </c>
      <c r="AA109" s="36">
        <v>45080</v>
      </c>
      <c r="AB109" s="30" t="s">
        <v>91</v>
      </c>
      <c r="AC109" s="30" t="s">
        <v>1246</v>
      </c>
      <c r="AD109" s="30"/>
      <c r="AE109" s="30" t="s">
        <v>1247</v>
      </c>
      <c r="AF109" s="30"/>
      <c r="AG109" s="30" t="s">
        <v>1248</v>
      </c>
      <c r="AH109" s="30"/>
      <c r="AI109" s="30"/>
      <c r="AJ109" s="33">
        <f t="shared" si="5"/>
        <v>0</v>
      </c>
      <c r="AK109" s="37"/>
      <c r="AL109" s="33">
        <f t="shared" si="6"/>
        <v>0</v>
      </c>
      <c r="AM109" s="37"/>
      <c r="AN109" s="37"/>
      <c r="AO109" s="37">
        <v>17393000000</v>
      </c>
      <c r="AP109" s="30" t="s">
        <v>1249</v>
      </c>
      <c r="AQ109" s="30" t="s">
        <v>144</v>
      </c>
      <c r="AR109" s="30"/>
      <c r="AS109" s="30"/>
      <c r="AT109" s="30" t="s">
        <v>1250</v>
      </c>
      <c r="AU109" s="30">
        <v>2019</v>
      </c>
      <c r="AV109" s="38"/>
      <c r="AW109" s="37"/>
      <c r="AX109" s="38"/>
      <c r="AY109" s="37"/>
      <c r="AZ109" s="37">
        <v>2000000000</v>
      </c>
      <c r="BA109" s="34">
        <f t="shared" si="7"/>
        <v>0</v>
      </c>
      <c r="BB109" s="30" t="s">
        <v>1251</v>
      </c>
      <c r="BC109" s="30" t="s">
        <v>82</v>
      </c>
      <c r="BD109" s="30" t="s">
        <v>1252</v>
      </c>
      <c r="BE109" s="30" t="s">
        <v>144</v>
      </c>
      <c r="BF109" s="30"/>
      <c r="BG109" s="30"/>
      <c r="BH109" s="30" t="s">
        <v>1253</v>
      </c>
      <c r="BI109" s="30">
        <v>2019</v>
      </c>
      <c r="BJ109" s="39"/>
      <c r="BK109" s="37"/>
      <c r="BL109" s="39"/>
      <c r="BM109" s="37"/>
      <c r="BN109" s="37">
        <v>1950000000</v>
      </c>
      <c r="BO109" s="34">
        <f t="shared" si="8"/>
        <v>0</v>
      </c>
      <c r="BP109" s="30" t="s">
        <v>1254</v>
      </c>
      <c r="BQ109" s="30" t="s">
        <v>82</v>
      </c>
      <c r="BR109" s="30" t="s">
        <v>121</v>
      </c>
      <c r="BS109" s="30" t="s">
        <v>144</v>
      </c>
      <c r="BT109" s="30"/>
      <c r="BU109" s="30"/>
      <c r="BV109" s="30" t="s">
        <v>1253</v>
      </c>
      <c r="BW109" s="30">
        <v>2016</v>
      </c>
      <c r="BX109" s="39"/>
      <c r="BY109" s="37"/>
      <c r="BZ109" s="39"/>
      <c r="CA109" s="37"/>
      <c r="CB109" s="37">
        <v>1700000000</v>
      </c>
      <c r="CC109" s="34">
        <f t="shared" si="9"/>
        <v>0</v>
      </c>
      <c r="CD109" s="30" t="s">
        <v>1255</v>
      </c>
      <c r="CE109" s="30" t="s">
        <v>82</v>
      </c>
      <c r="CF109" s="30" t="s">
        <v>1256</v>
      </c>
      <c r="CG109" s="30"/>
      <c r="CH109" s="30"/>
    </row>
    <row r="110" spans="2:86" x14ac:dyDescent="0.25">
      <c r="B110" s="30"/>
      <c r="C110" s="30"/>
      <c r="D110" s="36"/>
      <c r="E110" s="30"/>
      <c r="F110" s="30"/>
      <c r="G110" s="30"/>
      <c r="H110" s="30"/>
      <c r="I110" s="38"/>
      <c r="J110" s="30"/>
      <c r="K110" s="38"/>
      <c r="L110" s="38"/>
      <c r="M110" s="30"/>
      <c r="N110" s="30"/>
      <c r="O110" s="30"/>
      <c r="P110" s="30"/>
      <c r="Q110" s="30"/>
      <c r="R110" s="30"/>
      <c r="S110" s="30"/>
      <c r="T110" s="30"/>
      <c r="U110" s="30"/>
      <c r="V110" s="30"/>
      <c r="W110" s="30"/>
      <c r="X110" s="30"/>
      <c r="Y110" s="30"/>
      <c r="Z110" s="36"/>
      <c r="AA110" s="36"/>
      <c r="AB110" s="30"/>
      <c r="AC110" s="30"/>
      <c r="AD110" s="30"/>
      <c r="AE110" s="30"/>
      <c r="AF110" s="30"/>
      <c r="AG110" s="30"/>
      <c r="AH110" s="30"/>
      <c r="AI110" s="30"/>
      <c r="AJ110" s="33">
        <f t="shared" si="5"/>
        <v>0</v>
      </c>
      <c r="AK110" s="37"/>
      <c r="AL110" s="33">
        <f t="shared" si="6"/>
        <v>0</v>
      </c>
      <c r="AM110" s="37"/>
      <c r="AN110" s="37"/>
      <c r="AO110" s="37"/>
      <c r="AP110" s="30"/>
      <c r="AQ110" s="30"/>
      <c r="AR110" s="30"/>
      <c r="AS110" s="30"/>
      <c r="AT110" s="30"/>
      <c r="AU110" s="30"/>
      <c r="AV110" s="38"/>
      <c r="AW110" s="37"/>
      <c r="AX110" s="38"/>
      <c r="AY110" s="37"/>
      <c r="AZ110" s="37"/>
      <c r="BA110" s="34">
        <f t="shared" si="7"/>
        <v>0</v>
      </c>
      <c r="BB110" s="30"/>
      <c r="BC110" s="30"/>
      <c r="BD110" s="30"/>
      <c r="BE110" s="30"/>
      <c r="BF110" s="30"/>
      <c r="BG110" s="30"/>
      <c r="BH110" s="30"/>
      <c r="BI110" s="30"/>
      <c r="BJ110" s="39"/>
      <c r="BK110" s="37"/>
      <c r="BL110" s="39"/>
      <c r="BM110" s="37"/>
      <c r="BN110" s="37"/>
      <c r="BO110" s="34">
        <f t="shared" si="8"/>
        <v>0</v>
      </c>
      <c r="BP110" s="30"/>
      <c r="BQ110" s="30"/>
      <c r="BR110" s="30"/>
      <c r="BS110" s="30"/>
      <c r="BT110" s="30"/>
      <c r="BU110" s="30"/>
      <c r="BV110" s="30"/>
      <c r="BW110" s="30"/>
      <c r="BX110" s="39"/>
      <c r="BY110" s="37"/>
      <c r="BZ110" s="39"/>
      <c r="CA110" s="37"/>
      <c r="CB110" s="37"/>
      <c r="CC110" s="34">
        <f t="shared" si="9"/>
        <v>0</v>
      </c>
      <c r="CD110" s="30"/>
      <c r="CE110" s="30"/>
      <c r="CF110" s="30"/>
      <c r="CG110" s="30"/>
      <c r="CH110" s="30"/>
    </row>
    <row r="111" spans="2:86" x14ac:dyDescent="0.25">
      <c r="B111" s="30"/>
      <c r="C111" s="30"/>
      <c r="D111" s="36"/>
      <c r="E111" s="30"/>
      <c r="F111" s="30"/>
      <c r="G111" s="30"/>
      <c r="H111" s="30"/>
      <c r="I111" s="38"/>
      <c r="J111" s="30"/>
      <c r="K111" s="38"/>
      <c r="L111" s="38"/>
      <c r="M111" s="30"/>
      <c r="N111" s="30"/>
      <c r="O111" s="30"/>
      <c r="P111" s="30"/>
      <c r="Q111" s="30"/>
      <c r="R111" s="30"/>
      <c r="S111" s="30"/>
      <c r="T111" s="30"/>
      <c r="U111" s="30"/>
      <c r="V111" s="30"/>
      <c r="W111" s="30"/>
      <c r="X111" s="30"/>
      <c r="Y111" s="30"/>
      <c r="Z111" s="36"/>
      <c r="AA111" s="36"/>
      <c r="AB111" s="30"/>
      <c r="AC111" s="30"/>
      <c r="AD111" s="30"/>
      <c r="AE111" s="30"/>
      <c r="AF111" s="30"/>
      <c r="AG111" s="30"/>
      <c r="AH111" s="30"/>
      <c r="AI111" s="30"/>
      <c r="AJ111" s="33">
        <f t="shared" si="5"/>
        <v>0</v>
      </c>
      <c r="AK111" s="37"/>
      <c r="AL111" s="33">
        <f t="shared" si="6"/>
        <v>0</v>
      </c>
      <c r="AM111" s="37"/>
      <c r="AN111" s="37"/>
      <c r="AO111" s="37"/>
      <c r="AP111" s="30"/>
      <c r="AQ111" s="30"/>
      <c r="AR111" s="30"/>
      <c r="AS111" s="30"/>
      <c r="AT111" s="30"/>
      <c r="AU111" s="30"/>
      <c r="AV111" s="38"/>
      <c r="AW111" s="37"/>
      <c r="AX111" s="38"/>
      <c r="AY111" s="37"/>
      <c r="AZ111" s="37"/>
      <c r="BA111" s="34">
        <f t="shared" si="7"/>
        <v>0</v>
      </c>
      <c r="BB111" s="30"/>
      <c r="BC111" s="30"/>
      <c r="BD111" s="30"/>
      <c r="BE111" s="30"/>
      <c r="BF111" s="30"/>
      <c r="BG111" s="30"/>
      <c r="BH111" s="30"/>
      <c r="BI111" s="30"/>
      <c r="BJ111" s="39"/>
      <c r="BK111" s="37"/>
      <c r="BL111" s="39"/>
      <c r="BM111" s="37"/>
      <c r="BN111" s="37"/>
      <c r="BO111" s="34">
        <f t="shared" si="8"/>
        <v>0</v>
      </c>
      <c r="BP111" s="30"/>
      <c r="BQ111" s="30"/>
      <c r="BR111" s="30"/>
      <c r="BS111" s="30"/>
      <c r="BT111" s="30"/>
      <c r="BU111" s="30"/>
      <c r="BV111" s="30"/>
      <c r="BW111" s="30"/>
      <c r="BX111" s="39"/>
      <c r="BY111" s="37"/>
      <c r="BZ111" s="39"/>
      <c r="CA111" s="37"/>
      <c r="CB111" s="37"/>
      <c r="CC111" s="34">
        <f t="shared" si="9"/>
        <v>0</v>
      </c>
      <c r="CD111" s="30"/>
      <c r="CE111" s="30"/>
      <c r="CF111" s="30"/>
      <c r="CG111" s="30"/>
      <c r="CH111" s="30"/>
    </row>
    <row r="112" spans="2:86" ht="120" x14ac:dyDescent="0.25">
      <c r="B112" s="30" t="s">
        <v>1257</v>
      </c>
      <c r="C112" s="30" t="s">
        <v>1258</v>
      </c>
      <c r="D112" s="36">
        <v>45154</v>
      </c>
      <c r="E112" s="30" t="s">
        <v>743</v>
      </c>
      <c r="F112" s="30" t="s">
        <v>743</v>
      </c>
      <c r="G112" s="30"/>
      <c r="H112" s="30" t="s">
        <v>78</v>
      </c>
      <c r="I112" s="38">
        <v>8030</v>
      </c>
      <c r="J112" s="30" t="s">
        <v>70</v>
      </c>
      <c r="K112" s="38"/>
      <c r="L112" s="38"/>
      <c r="M112" s="30"/>
      <c r="N112" s="30"/>
      <c r="O112" s="30"/>
      <c r="P112" s="30"/>
      <c r="Q112" s="30"/>
      <c r="R112" s="30" t="s">
        <v>1259</v>
      </c>
      <c r="S112" s="30" t="s">
        <v>1260</v>
      </c>
      <c r="T112" s="30" t="s">
        <v>1261</v>
      </c>
      <c r="U112" s="30" t="s">
        <v>1262</v>
      </c>
      <c r="V112" s="30" t="s">
        <v>80</v>
      </c>
      <c r="W112" s="30" t="s">
        <v>73</v>
      </c>
      <c r="X112" s="30" t="s">
        <v>638</v>
      </c>
      <c r="Y112" s="30" t="s">
        <v>1263</v>
      </c>
      <c r="Z112" s="36">
        <v>45146</v>
      </c>
      <c r="AA112" s="36">
        <v>45146</v>
      </c>
      <c r="AB112" s="30" t="s">
        <v>91</v>
      </c>
      <c r="AC112" s="30"/>
      <c r="AD112" s="30"/>
      <c r="AE112" s="30"/>
      <c r="AF112" s="30"/>
      <c r="AG112" s="30"/>
      <c r="AH112" s="30"/>
      <c r="AI112" s="30"/>
      <c r="AJ112" s="33">
        <f t="shared" si="5"/>
        <v>8030</v>
      </c>
      <c r="AK112" s="37">
        <v>620000</v>
      </c>
      <c r="AL112" s="33">
        <f t="shared" si="6"/>
        <v>0</v>
      </c>
      <c r="AM112" s="37"/>
      <c r="AN112" s="37"/>
      <c r="AO112" s="37">
        <v>4979000000</v>
      </c>
      <c r="AP112" s="30" t="s">
        <v>1264</v>
      </c>
      <c r="AQ112" s="30" t="s">
        <v>78</v>
      </c>
      <c r="AR112" s="30"/>
      <c r="AS112" s="30"/>
      <c r="AT112" s="30"/>
      <c r="AU112" s="30"/>
      <c r="AV112" s="38">
        <v>1000</v>
      </c>
      <c r="AW112" s="37">
        <v>1020000</v>
      </c>
      <c r="AX112" s="38"/>
      <c r="AY112" s="37"/>
      <c r="AZ112" s="37">
        <v>1200000000</v>
      </c>
      <c r="BA112" s="34">
        <f t="shared" si="7"/>
        <v>1020000000</v>
      </c>
      <c r="BB112" s="30" t="s">
        <v>1265</v>
      </c>
      <c r="BC112" s="30" t="s">
        <v>82</v>
      </c>
      <c r="BD112" s="30" t="s">
        <v>1266</v>
      </c>
      <c r="BE112" s="30" t="s">
        <v>78</v>
      </c>
      <c r="BF112" s="30"/>
      <c r="BG112" s="30"/>
      <c r="BH112" s="30"/>
      <c r="BI112" s="30"/>
      <c r="BJ112" s="39">
        <v>2265</v>
      </c>
      <c r="BK112" s="37">
        <v>680000</v>
      </c>
      <c r="BL112" s="39"/>
      <c r="BM112" s="37"/>
      <c r="BN112" s="37">
        <v>1812000000</v>
      </c>
      <c r="BO112" s="34">
        <f t="shared" si="8"/>
        <v>1540200000</v>
      </c>
      <c r="BP112" s="30" t="s">
        <v>1267</v>
      </c>
      <c r="BQ112" s="30" t="s">
        <v>82</v>
      </c>
      <c r="BR112" s="30" t="s">
        <v>1268</v>
      </c>
      <c r="BS112" s="30" t="s">
        <v>78</v>
      </c>
      <c r="BT112" s="30"/>
      <c r="BU112" s="30"/>
      <c r="BV112" s="30"/>
      <c r="BW112" s="30"/>
      <c r="BX112" s="39">
        <v>3000</v>
      </c>
      <c r="BY112" s="37">
        <v>637500</v>
      </c>
      <c r="BZ112" s="39"/>
      <c r="CA112" s="37"/>
      <c r="CB112" s="37">
        <v>2250000000</v>
      </c>
      <c r="CC112" s="34">
        <f t="shared" si="9"/>
        <v>1912500000</v>
      </c>
      <c r="CD112" s="30" t="s">
        <v>1269</v>
      </c>
      <c r="CE112" s="30" t="s">
        <v>82</v>
      </c>
      <c r="CF112" s="30" t="s">
        <v>1270</v>
      </c>
      <c r="CG112" s="30"/>
      <c r="CH112" s="30"/>
    </row>
    <row r="113" spans="2:86" ht="120" x14ac:dyDescent="0.25">
      <c r="B113" s="30" t="s">
        <v>1271</v>
      </c>
      <c r="C113" s="30" t="s">
        <v>1272</v>
      </c>
      <c r="D113" s="36">
        <v>45154</v>
      </c>
      <c r="E113" s="30" t="s">
        <v>1273</v>
      </c>
      <c r="F113" s="30" t="s">
        <v>97</v>
      </c>
      <c r="G113" s="30"/>
      <c r="H113" s="30" t="s">
        <v>1274</v>
      </c>
      <c r="I113" s="38">
        <v>8030</v>
      </c>
      <c r="J113" s="30" t="s">
        <v>70</v>
      </c>
      <c r="K113" s="38">
        <v>6900</v>
      </c>
      <c r="L113" s="38"/>
      <c r="M113" s="30"/>
      <c r="N113" s="30"/>
      <c r="O113" s="30"/>
      <c r="P113" s="30"/>
      <c r="Q113" s="30"/>
      <c r="R113" s="30" t="s">
        <v>1275</v>
      </c>
      <c r="S113" s="30" t="s">
        <v>1276</v>
      </c>
      <c r="T113" s="30" t="s">
        <v>1277</v>
      </c>
      <c r="U113" s="30" t="s">
        <v>895</v>
      </c>
      <c r="V113" s="30" t="s">
        <v>95</v>
      </c>
      <c r="W113" s="30" t="s">
        <v>73</v>
      </c>
      <c r="X113" s="30" t="s">
        <v>86</v>
      </c>
      <c r="Y113" s="30" t="s">
        <v>75</v>
      </c>
      <c r="Z113" s="36">
        <v>45063</v>
      </c>
      <c r="AA113" s="36">
        <v>45063</v>
      </c>
      <c r="AB113" s="30" t="s">
        <v>91</v>
      </c>
      <c r="AC113" s="30"/>
      <c r="AD113" s="30"/>
      <c r="AE113" s="30"/>
      <c r="AF113" s="30"/>
      <c r="AG113" s="30"/>
      <c r="AH113" s="30"/>
      <c r="AI113" s="30"/>
      <c r="AJ113" s="33">
        <f t="shared" si="5"/>
        <v>8030</v>
      </c>
      <c r="AK113" s="37">
        <v>7500000</v>
      </c>
      <c r="AL113" s="33">
        <f t="shared" si="6"/>
        <v>6900</v>
      </c>
      <c r="AM113" s="37"/>
      <c r="AN113" s="37"/>
      <c r="AO113" s="37">
        <v>94705000000</v>
      </c>
      <c r="AP113" s="30" t="s">
        <v>1278</v>
      </c>
      <c r="AQ113" s="30" t="s">
        <v>101</v>
      </c>
      <c r="AR113" s="30"/>
      <c r="AS113" s="30"/>
      <c r="AT113" s="30"/>
      <c r="AU113" s="30"/>
      <c r="AV113" s="38">
        <v>4000</v>
      </c>
      <c r="AW113" s="37">
        <v>7863042</v>
      </c>
      <c r="AX113" s="38">
        <v>216</v>
      </c>
      <c r="AY113" s="37"/>
      <c r="AZ113" s="37">
        <v>40000000000</v>
      </c>
      <c r="BA113" s="34">
        <f t="shared" si="7"/>
        <v>31452168000</v>
      </c>
      <c r="BB113" s="30" t="s">
        <v>1279</v>
      </c>
      <c r="BC113" s="30" t="s">
        <v>82</v>
      </c>
      <c r="BD113" s="30" t="s">
        <v>1278</v>
      </c>
      <c r="BE113" s="30" t="s">
        <v>1280</v>
      </c>
      <c r="BF113" s="30"/>
      <c r="BG113" s="30"/>
      <c r="BH113" s="30"/>
      <c r="BI113" s="30"/>
      <c r="BJ113" s="39">
        <v>14530</v>
      </c>
      <c r="BK113" s="37">
        <v>7316431</v>
      </c>
      <c r="BL113" s="39">
        <v>10500</v>
      </c>
      <c r="BM113" s="37"/>
      <c r="BN113" s="37">
        <v>188000000000</v>
      </c>
      <c r="BO113" s="34">
        <f t="shared" si="8"/>
        <v>106307742430</v>
      </c>
      <c r="BP113" s="30" t="s">
        <v>1281</v>
      </c>
      <c r="BQ113" s="30" t="s">
        <v>82</v>
      </c>
      <c r="BR113" s="30" t="s">
        <v>1278</v>
      </c>
      <c r="BS113" s="30" t="s">
        <v>78</v>
      </c>
      <c r="BT113" s="30"/>
      <c r="BU113" s="30"/>
      <c r="BV113" s="30"/>
      <c r="BW113" s="30"/>
      <c r="BX113" s="39">
        <v>7800</v>
      </c>
      <c r="BY113" s="37">
        <v>7500000</v>
      </c>
      <c r="BZ113" s="39"/>
      <c r="CA113" s="37"/>
      <c r="CB113" s="37">
        <v>70200000000</v>
      </c>
      <c r="CC113" s="34">
        <f t="shared" si="9"/>
        <v>58500000000</v>
      </c>
      <c r="CD113" s="30" t="s">
        <v>1282</v>
      </c>
      <c r="CE113" s="30" t="s">
        <v>82</v>
      </c>
      <c r="CF113" s="30" t="s">
        <v>1198</v>
      </c>
      <c r="CG113" s="30"/>
      <c r="CH113" s="30"/>
    </row>
    <row r="114" spans="2:86" ht="135" x14ac:dyDescent="0.25">
      <c r="B114" s="30" t="s">
        <v>1283</v>
      </c>
      <c r="C114" s="30" t="s">
        <v>1284</v>
      </c>
      <c r="D114" s="36">
        <v>45161</v>
      </c>
      <c r="E114" s="30" t="s">
        <v>694</v>
      </c>
      <c r="F114" s="30" t="s">
        <v>694</v>
      </c>
      <c r="G114" s="30"/>
      <c r="H114" s="30" t="s">
        <v>84</v>
      </c>
      <c r="I114" s="38">
        <v>350</v>
      </c>
      <c r="J114" s="30" t="s">
        <v>70</v>
      </c>
      <c r="K114" s="38">
        <v>186</v>
      </c>
      <c r="L114" s="38"/>
      <c r="M114" s="30"/>
      <c r="N114" s="30"/>
      <c r="O114" s="30"/>
      <c r="P114" s="30"/>
      <c r="Q114" s="30"/>
      <c r="R114" s="30" t="s">
        <v>1285</v>
      </c>
      <c r="S114" s="30" t="s">
        <v>649</v>
      </c>
      <c r="T114" s="30" t="s">
        <v>636</v>
      </c>
      <c r="U114" s="30" t="s">
        <v>387</v>
      </c>
      <c r="V114" s="30" t="s">
        <v>85</v>
      </c>
      <c r="W114" s="30" t="s">
        <v>73</v>
      </c>
      <c r="X114" s="30" t="s">
        <v>638</v>
      </c>
      <c r="Y114" s="30" t="s">
        <v>1286</v>
      </c>
      <c r="Z114" s="36">
        <v>45135</v>
      </c>
      <c r="AA114" s="36">
        <v>45135</v>
      </c>
      <c r="AB114" s="30" t="s">
        <v>91</v>
      </c>
      <c r="AC114" s="30"/>
      <c r="AD114" s="30"/>
      <c r="AE114" s="30"/>
      <c r="AF114" s="30"/>
      <c r="AG114" s="30"/>
      <c r="AH114" s="30"/>
      <c r="AI114" s="30"/>
      <c r="AJ114" s="33">
        <f t="shared" si="5"/>
        <v>350</v>
      </c>
      <c r="AK114" s="37">
        <v>7600000</v>
      </c>
      <c r="AL114" s="33">
        <f t="shared" si="6"/>
        <v>186</v>
      </c>
      <c r="AM114" s="37"/>
      <c r="AN114" s="37"/>
      <c r="AO114" s="37">
        <v>3428000000</v>
      </c>
      <c r="AP114" s="30" t="s">
        <v>1287</v>
      </c>
      <c r="AQ114" s="30" t="s">
        <v>84</v>
      </c>
      <c r="AR114" s="30"/>
      <c r="AS114" s="30"/>
      <c r="AT114" s="30"/>
      <c r="AU114" s="30"/>
      <c r="AV114" s="38">
        <v>120</v>
      </c>
      <c r="AW114" s="37">
        <v>7552213</v>
      </c>
      <c r="AX114" s="38">
        <v>90</v>
      </c>
      <c r="AY114" s="37"/>
      <c r="AZ114" s="37">
        <v>1200000000</v>
      </c>
      <c r="BA114" s="34">
        <f t="shared" si="7"/>
        <v>906265560</v>
      </c>
      <c r="BB114" s="30" t="s">
        <v>1288</v>
      </c>
      <c r="BC114" s="30" t="s">
        <v>82</v>
      </c>
      <c r="BD114" s="30" t="s">
        <v>1289</v>
      </c>
      <c r="BE114" s="30" t="s">
        <v>84</v>
      </c>
      <c r="BF114" s="30"/>
      <c r="BG114" s="30"/>
      <c r="BH114" s="30"/>
      <c r="BI114" s="30"/>
      <c r="BJ114" s="39">
        <v>81</v>
      </c>
      <c r="BK114" s="37">
        <v>7681451</v>
      </c>
      <c r="BL114" s="39">
        <v>50</v>
      </c>
      <c r="BM114" s="37"/>
      <c r="BN114" s="37">
        <v>750000000</v>
      </c>
      <c r="BO114" s="34">
        <f t="shared" si="8"/>
        <v>622197531</v>
      </c>
      <c r="BP114" s="30" t="s">
        <v>1290</v>
      </c>
      <c r="BQ114" s="30" t="s">
        <v>82</v>
      </c>
      <c r="BR114" s="30" t="s">
        <v>1291</v>
      </c>
      <c r="BS114" s="30" t="s">
        <v>84</v>
      </c>
      <c r="BT114" s="30"/>
      <c r="BU114" s="30"/>
      <c r="BV114" s="30"/>
      <c r="BW114" s="30"/>
      <c r="BX114" s="39">
        <v>150</v>
      </c>
      <c r="BY114" s="37">
        <v>8129833</v>
      </c>
      <c r="BZ114" s="39">
        <v>250</v>
      </c>
      <c r="CA114" s="37"/>
      <c r="CB114" s="37">
        <v>2800000000</v>
      </c>
      <c r="CC114" s="34">
        <f t="shared" si="9"/>
        <v>1219474950</v>
      </c>
      <c r="CD114" s="30" t="s">
        <v>1292</v>
      </c>
      <c r="CE114" s="30" t="s">
        <v>82</v>
      </c>
      <c r="CF114" s="30" t="s">
        <v>644</v>
      </c>
      <c r="CG114" s="30"/>
      <c r="CH114" s="30"/>
    </row>
    <row r="115" spans="2:86" ht="150" x14ac:dyDescent="0.25">
      <c r="B115" s="30" t="s">
        <v>1293</v>
      </c>
      <c r="C115" s="30" t="s">
        <v>1294</v>
      </c>
      <c r="D115" s="36">
        <v>45161</v>
      </c>
      <c r="E115" s="30" t="s">
        <v>1295</v>
      </c>
      <c r="F115" s="30" t="s">
        <v>1295</v>
      </c>
      <c r="G115" s="30"/>
      <c r="H115" s="30" t="s">
        <v>1296</v>
      </c>
      <c r="I115" s="38" t="s">
        <v>1297</v>
      </c>
      <c r="J115" s="30" t="s">
        <v>1298</v>
      </c>
      <c r="K115" s="38"/>
      <c r="L115" s="38"/>
      <c r="M115" s="30"/>
      <c r="N115" s="30"/>
      <c r="O115" s="30"/>
      <c r="P115" s="30"/>
      <c r="Q115" s="30"/>
      <c r="R115" s="30"/>
      <c r="S115" s="30" t="s">
        <v>1299</v>
      </c>
      <c r="T115" s="30" t="s">
        <v>1300</v>
      </c>
      <c r="U115" s="30" t="s">
        <v>1301</v>
      </c>
      <c r="V115" s="30" t="s">
        <v>1302</v>
      </c>
      <c r="W115" s="30" t="s">
        <v>73</v>
      </c>
      <c r="X115" s="30" t="s">
        <v>170</v>
      </c>
      <c r="Y115" s="30" t="s">
        <v>90</v>
      </c>
      <c r="Z115" s="36">
        <v>45091</v>
      </c>
      <c r="AA115" s="36">
        <v>44196</v>
      </c>
      <c r="AB115" s="30" t="s">
        <v>91</v>
      </c>
      <c r="AC115" s="30"/>
      <c r="AD115" s="30"/>
      <c r="AE115" s="30"/>
      <c r="AF115" s="30"/>
      <c r="AG115" s="30"/>
      <c r="AH115" s="30"/>
      <c r="AI115" s="30"/>
      <c r="AJ115" s="33" t="str">
        <f t="shared" si="5"/>
        <v>9.512,79</v>
      </c>
      <c r="AK115" s="37"/>
      <c r="AL115" s="33">
        <f t="shared" si="6"/>
        <v>0</v>
      </c>
      <c r="AM115" s="37"/>
      <c r="AN115" s="37" t="s">
        <v>1303</v>
      </c>
      <c r="AO115" s="37">
        <v>543123686000</v>
      </c>
      <c r="AP115" s="30"/>
      <c r="AQ115" s="30"/>
      <c r="AR115" s="30"/>
      <c r="AS115" s="30"/>
      <c r="AT115" s="30"/>
      <c r="AU115" s="30"/>
      <c r="AV115" s="38"/>
      <c r="AW115" s="37"/>
      <c r="AX115" s="38"/>
      <c r="AY115" s="37"/>
      <c r="AZ115" s="37"/>
      <c r="BA115" s="34">
        <f t="shared" si="7"/>
        <v>0</v>
      </c>
      <c r="BB115" s="30"/>
      <c r="BC115" s="30"/>
      <c r="BD115" s="30"/>
      <c r="BE115" s="30"/>
      <c r="BF115" s="30"/>
      <c r="BG115" s="30"/>
      <c r="BH115" s="30"/>
      <c r="BI115" s="30"/>
      <c r="BJ115" s="39"/>
      <c r="BK115" s="37"/>
      <c r="BL115" s="39"/>
      <c r="BM115" s="37"/>
      <c r="BN115" s="37"/>
      <c r="BO115" s="34">
        <f t="shared" si="8"/>
        <v>0</v>
      </c>
      <c r="BP115" s="30"/>
      <c r="BQ115" s="30"/>
      <c r="BR115" s="30"/>
      <c r="BS115" s="30"/>
      <c r="BT115" s="30"/>
      <c r="BU115" s="30"/>
      <c r="BV115" s="30"/>
      <c r="BW115" s="30"/>
      <c r="BX115" s="39"/>
      <c r="BY115" s="37"/>
      <c r="BZ115" s="39"/>
      <c r="CA115" s="37"/>
      <c r="CB115" s="37"/>
      <c r="CC115" s="34">
        <f t="shared" si="9"/>
        <v>0</v>
      </c>
      <c r="CD115" s="30"/>
      <c r="CE115" s="30"/>
      <c r="CF115" s="30" t="s">
        <v>1304</v>
      </c>
      <c r="CG115" s="30"/>
      <c r="CH115" s="30"/>
    </row>
    <row r="116" spans="2:86" ht="135" x14ac:dyDescent="0.25">
      <c r="B116" s="30" t="s">
        <v>1293</v>
      </c>
      <c r="C116" s="30" t="s">
        <v>1294</v>
      </c>
      <c r="D116" s="36">
        <v>45161</v>
      </c>
      <c r="E116" s="30" t="s">
        <v>1295</v>
      </c>
      <c r="F116" s="30" t="s">
        <v>1295</v>
      </c>
      <c r="G116" s="30"/>
      <c r="H116" s="30" t="s">
        <v>1305</v>
      </c>
      <c r="I116" s="38">
        <v>278800</v>
      </c>
      <c r="J116" s="30" t="s">
        <v>70</v>
      </c>
      <c r="K116" s="38">
        <v>21575</v>
      </c>
      <c r="L116" s="38"/>
      <c r="M116" s="30"/>
      <c r="N116" s="30"/>
      <c r="O116" s="30"/>
      <c r="P116" s="30"/>
      <c r="Q116" s="30"/>
      <c r="R116" s="30"/>
      <c r="S116" s="30" t="s">
        <v>1306</v>
      </c>
      <c r="T116" s="30" t="s">
        <v>1307</v>
      </c>
      <c r="U116" s="30" t="s">
        <v>1301</v>
      </c>
      <c r="V116" s="30" t="s">
        <v>1302</v>
      </c>
      <c r="W116" s="30" t="s">
        <v>73</v>
      </c>
      <c r="X116" s="30" t="s">
        <v>170</v>
      </c>
      <c r="Y116" s="30" t="s">
        <v>90</v>
      </c>
      <c r="Z116" s="36">
        <v>45060</v>
      </c>
      <c r="AA116" s="36">
        <v>44196</v>
      </c>
      <c r="AB116" s="30" t="s">
        <v>91</v>
      </c>
      <c r="AC116" s="30"/>
      <c r="AD116" s="30"/>
      <c r="AE116" s="30"/>
      <c r="AF116" s="30"/>
      <c r="AG116" s="30"/>
      <c r="AH116" s="30"/>
      <c r="AI116" s="30"/>
      <c r="AJ116" s="33">
        <f t="shared" si="5"/>
        <v>278800</v>
      </c>
      <c r="AK116" s="37"/>
      <c r="AL116" s="33">
        <f t="shared" si="6"/>
        <v>21575</v>
      </c>
      <c r="AM116" s="37"/>
      <c r="AN116" s="37"/>
      <c r="AO116" s="37">
        <v>258793236000</v>
      </c>
      <c r="AP116" s="30"/>
      <c r="AQ116" s="30"/>
      <c r="AR116" s="30"/>
      <c r="AS116" s="30"/>
      <c r="AT116" s="30"/>
      <c r="AU116" s="30"/>
      <c r="AV116" s="38"/>
      <c r="AW116" s="37"/>
      <c r="AX116" s="38"/>
      <c r="AY116" s="37"/>
      <c r="AZ116" s="37"/>
      <c r="BA116" s="34">
        <f t="shared" si="7"/>
        <v>0</v>
      </c>
      <c r="BB116" s="30"/>
      <c r="BC116" s="30"/>
      <c r="BD116" s="30"/>
      <c r="BE116" s="30"/>
      <c r="BF116" s="30"/>
      <c r="BG116" s="30"/>
      <c r="BH116" s="30"/>
      <c r="BI116" s="30"/>
      <c r="BJ116" s="39"/>
      <c r="BK116" s="37"/>
      <c r="BL116" s="39"/>
      <c r="BM116" s="37"/>
      <c r="BN116" s="37"/>
      <c r="BO116" s="34">
        <f t="shared" si="8"/>
        <v>0</v>
      </c>
      <c r="BP116" s="30"/>
      <c r="BQ116" s="30"/>
      <c r="BR116" s="30"/>
      <c r="BS116" s="30"/>
      <c r="BT116" s="30"/>
      <c r="BU116" s="30"/>
      <c r="BV116" s="30"/>
      <c r="BW116" s="30"/>
      <c r="BX116" s="39"/>
      <c r="BY116" s="37"/>
      <c r="BZ116" s="39"/>
      <c r="CA116" s="37"/>
      <c r="CB116" s="37"/>
      <c r="CC116" s="34">
        <f t="shared" si="9"/>
        <v>0</v>
      </c>
      <c r="CD116" s="30"/>
      <c r="CE116" s="30"/>
      <c r="CF116" s="30" t="s">
        <v>1304</v>
      </c>
      <c r="CG116" s="30"/>
      <c r="CH116" s="30"/>
    </row>
    <row r="117" spans="2:86" ht="150" x14ac:dyDescent="0.25">
      <c r="B117" s="30" t="s">
        <v>1308</v>
      </c>
      <c r="C117" s="30" t="s">
        <v>1309</v>
      </c>
      <c r="D117" s="36">
        <v>45167</v>
      </c>
      <c r="E117" s="30" t="s">
        <v>1295</v>
      </c>
      <c r="F117" s="30" t="s">
        <v>1295</v>
      </c>
      <c r="G117" s="30"/>
      <c r="H117" s="30" t="s">
        <v>1296</v>
      </c>
      <c r="I117" s="38" t="s">
        <v>1297</v>
      </c>
      <c r="J117" s="30" t="s">
        <v>1298</v>
      </c>
      <c r="K117" s="38"/>
      <c r="L117" s="38"/>
      <c r="M117" s="30"/>
      <c r="N117" s="30"/>
      <c r="O117" s="30"/>
      <c r="P117" s="30"/>
      <c r="Q117" s="30"/>
      <c r="R117" s="30"/>
      <c r="S117" s="30" t="s">
        <v>1299</v>
      </c>
      <c r="T117" s="30" t="s">
        <v>1300</v>
      </c>
      <c r="U117" s="30" t="s">
        <v>1301</v>
      </c>
      <c r="V117" s="30" t="s">
        <v>1302</v>
      </c>
      <c r="W117" s="30" t="s">
        <v>73</v>
      </c>
      <c r="X117" s="30" t="s">
        <v>170</v>
      </c>
      <c r="Y117" s="30" t="s">
        <v>90</v>
      </c>
      <c r="Z117" s="36">
        <v>45091</v>
      </c>
      <c r="AA117" s="36">
        <v>44561</v>
      </c>
      <c r="AB117" s="30" t="s">
        <v>91</v>
      </c>
      <c r="AC117" s="30"/>
      <c r="AD117" s="30"/>
      <c r="AE117" s="30"/>
      <c r="AF117" s="30"/>
      <c r="AG117" s="30"/>
      <c r="AH117" s="30"/>
      <c r="AI117" s="30"/>
      <c r="AJ117" s="33" t="str">
        <f t="shared" si="5"/>
        <v>9.512,79</v>
      </c>
      <c r="AK117" s="37"/>
      <c r="AL117" s="33">
        <f t="shared" si="6"/>
        <v>0</v>
      </c>
      <c r="AM117" s="37"/>
      <c r="AN117" s="37" t="s">
        <v>1303</v>
      </c>
      <c r="AO117" s="37">
        <v>730996070000</v>
      </c>
      <c r="AP117" s="30"/>
      <c r="AQ117" s="30"/>
      <c r="AR117" s="30"/>
      <c r="AS117" s="30"/>
      <c r="AT117" s="30"/>
      <c r="AU117" s="30"/>
      <c r="AV117" s="38"/>
      <c r="AW117" s="37"/>
      <c r="AX117" s="38"/>
      <c r="AY117" s="37"/>
      <c r="AZ117" s="37"/>
      <c r="BA117" s="34">
        <f t="shared" si="7"/>
        <v>0</v>
      </c>
      <c r="BB117" s="30"/>
      <c r="BC117" s="30"/>
      <c r="BD117" s="30"/>
      <c r="BE117" s="30"/>
      <c r="BF117" s="30"/>
      <c r="BG117" s="30"/>
      <c r="BH117" s="30"/>
      <c r="BI117" s="30"/>
      <c r="BJ117" s="39"/>
      <c r="BK117" s="37"/>
      <c r="BL117" s="39"/>
      <c r="BM117" s="37"/>
      <c r="BN117" s="37"/>
      <c r="BO117" s="34">
        <f t="shared" si="8"/>
        <v>0</v>
      </c>
      <c r="BP117" s="30"/>
      <c r="BQ117" s="30"/>
      <c r="BR117" s="30"/>
      <c r="BS117" s="30"/>
      <c r="BT117" s="30"/>
      <c r="BU117" s="30"/>
      <c r="BV117" s="30"/>
      <c r="BW117" s="30"/>
      <c r="BX117" s="39"/>
      <c r="BY117" s="37"/>
      <c r="BZ117" s="39"/>
      <c r="CA117" s="37"/>
      <c r="CB117" s="37"/>
      <c r="CC117" s="34">
        <f t="shared" si="9"/>
        <v>0</v>
      </c>
      <c r="CD117" s="30"/>
      <c r="CE117" s="30"/>
      <c r="CF117" s="30" t="s">
        <v>1304</v>
      </c>
      <c r="CG117" s="30"/>
      <c r="CH117" s="30"/>
    </row>
    <row r="118" spans="2:86" ht="135" x14ac:dyDescent="0.25">
      <c r="B118" s="30" t="s">
        <v>1310</v>
      </c>
      <c r="C118" s="30" t="s">
        <v>1309</v>
      </c>
      <c r="D118" s="36">
        <v>45167</v>
      </c>
      <c r="E118" s="30" t="s">
        <v>1295</v>
      </c>
      <c r="F118" s="30" t="s">
        <v>1295</v>
      </c>
      <c r="G118" s="30"/>
      <c r="H118" s="30" t="s">
        <v>1305</v>
      </c>
      <c r="I118" s="38">
        <v>278800</v>
      </c>
      <c r="J118" s="30" t="s">
        <v>70</v>
      </c>
      <c r="K118" s="38">
        <v>21575</v>
      </c>
      <c r="L118" s="38"/>
      <c r="M118" s="30"/>
      <c r="N118" s="30"/>
      <c r="O118" s="30"/>
      <c r="P118" s="30"/>
      <c r="Q118" s="30"/>
      <c r="R118" s="30"/>
      <c r="S118" s="30" t="s">
        <v>1306</v>
      </c>
      <c r="T118" s="30" t="s">
        <v>1307</v>
      </c>
      <c r="U118" s="30" t="s">
        <v>1301</v>
      </c>
      <c r="V118" s="30" t="s">
        <v>1302</v>
      </c>
      <c r="W118" s="30" t="s">
        <v>73</v>
      </c>
      <c r="X118" s="30" t="s">
        <v>170</v>
      </c>
      <c r="Y118" s="30" t="s">
        <v>90</v>
      </c>
      <c r="Z118" s="36">
        <v>45095</v>
      </c>
      <c r="AA118" s="36">
        <v>44561</v>
      </c>
      <c r="AB118" s="30" t="s">
        <v>91</v>
      </c>
      <c r="AC118" s="30"/>
      <c r="AD118" s="30"/>
      <c r="AE118" s="30"/>
      <c r="AF118" s="30"/>
      <c r="AG118" s="30"/>
      <c r="AH118" s="30"/>
      <c r="AI118" s="30"/>
      <c r="AJ118" s="33">
        <f t="shared" si="5"/>
        <v>278800</v>
      </c>
      <c r="AK118" s="37"/>
      <c r="AL118" s="33">
        <f t="shared" si="6"/>
        <v>21575</v>
      </c>
      <c r="AM118" s="37"/>
      <c r="AN118" s="37"/>
      <c r="AO118" s="37">
        <v>244481260000</v>
      </c>
      <c r="AP118" s="30"/>
      <c r="AQ118" s="30"/>
      <c r="AR118" s="30"/>
      <c r="AS118" s="30"/>
      <c r="AT118" s="30"/>
      <c r="AU118" s="30"/>
      <c r="AV118" s="38"/>
      <c r="AW118" s="37"/>
      <c r="AX118" s="38"/>
      <c r="AY118" s="37"/>
      <c r="AZ118" s="37"/>
      <c r="BA118" s="34">
        <f t="shared" si="7"/>
        <v>0</v>
      </c>
      <c r="BB118" s="30"/>
      <c r="BC118" s="30"/>
      <c r="BD118" s="30"/>
      <c r="BE118" s="30"/>
      <c r="BF118" s="30"/>
      <c r="BG118" s="30"/>
      <c r="BH118" s="30"/>
      <c r="BI118" s="30"/>
      <c r="BJ118" s="39"/>
      <c r="BK118" s="37"/>
      <c r="BL118" s="39"/>
      <c r="BM118" s="37"/>
      <c r="BN118" s="37"/>
      <c r="BO118" s="34">
        <f t="shared" si="8"/>
        <v>0</v>
      </c>
      <c r="BP118" s="30"/>
      <c r="BQ118" s="30"/>
      <c r="BR118" s="30"/>
      <c r="BS118" s="30"/>
      <c r="BT118" s="30"/>
      <c r="BU118" s="30"/>
      <c r="BV118" s="30"/>
      <c r="BW118" s="30"/>
      <c r="BX118" s="39"/>
      <c r="BY118" s="37"/>
      <c r="BZ118" s="39"/>
      <c r="CA118" s="37"/>
      <c r="CB118" s="37"/>
      <c r="CC118" s="34">
        <f t="shared" si="9"/>
        <v>0</v>
      </c>
      <c r="CD118" s="30"/>
      <c r="CE118" s="30"/>
      <c r="CF118" s="30" t="s">
        <v>1304</v>
      </c>
      <c r="CG118" s="30"/>
      <c r="CH118" s="30"/>
    </row>
    <row r="119" spans="2:86" ht="150" x14ac:dyDescent="0.25">
      <c r="B119" s="30" t="s">
        <v>1311</v>
      </c>
      <c r="C119" s="30" t="s">
        <v>1312</v>
      </c>
      <c r="D119" s="36">
        <v>45167</v>
      </c>
      <c r="E119" s="30" t="s">
        <v>1295</v>
      </c>
      <c r="F119" s="30" t="s">
        <v>1295</v>
      </c>
      <c r="G119" s="30"/>
      <c r="H119" s="30" t="s">
        <v>1296</v>
      </c>
      <c r="I119" s="38" t="s">
        <v>1297</v>
      </c>
      <c r="J119" s="30" t="s">
        <v>1298</v>
      </c>
      <c r="K119" s="38"/>
      <c r="L119" s="38"/>
      <c r="M119" s="30"/>
      <c r="N119" s="30"/>
      <c r="O119" s="30"/>
      <c r="P119" s="30"/>
      <c r="Q119" s="30"/>
      <c r="R119" s="30"/>
      <c r="S119" s="30" t="s">
        <v>1299</v>
      </c>
      <c r="T119" s="30" t="s">
        <v>1300</v>
      </c>
      <c r="U119" s="30" t="s">
        <v>1301</v>
      </c>
      <c r="V119" s="30" t="s">
        <v>1302</v>
      </c>
      <c r="W119" s="30" t="s">
        <v>73</v>
      </c>
      <c r="X119" s="30" t="s">
        <v>170</v>
      </c>
      <c r="Y119" s="30" t="s">
        <v>90</v>
      </c>
      <c r="Z119" s="36">
        <v>45091</v>
      </c>
      <c r="AA119" s="36">
        <v>44561</v>
      </c>
      <c r="AB119" s="30" t="s">
        <v>91</v>
      </c>
      <c r="AC119" s="30"/>
      <c r="AD119" s="30"/>
      <c r="AE119" s="30"/>
      <c r="AF119" s="30"/>
      <c r="AG119" s="30"/>
      <c r="AH119" s="30"/>
      <c r="AI119" s="30"/>
      <c r="AJ119" s="33" t="str">
        <f t="shared" si="5"/>
        <v>9.512,79</v>
      </c>
      <c r="AK119" s="37"/>
      <c r="AL119" s="33">
        <f t="shared" si="6"/>
        <v>0</v>
      </c>
      <c r="AM119" s="37"/>
      <c r="AN119" s="37" t="s">
        <v>1303</v>
      </c>
      <c r="AO119" s="37">
        <v>853970580000</v>
      </c>
      <c r="AP119" s="30"/>
      <c r="AQ119" s="30"/>
      <c r="AR119" s="30"/>
      <c r="AS119" s="30"/>
      <c r="AT119" s="30"/>
      <c r="AU119" s="30"/>
      <c r="AV119" s="38"/>
      <c r="AW119" s="37"/>
      <c r="AX119" s="38"/>
      <c r="AY119" s="37"/>
      <c r="AZ119" s="37"/>
      <c r="BA119" s="34">
        <f t="shared" si="7"/>
        <v>0</v>
      </c>
      <c r="BB119" s="30"/>
      <c r="BC119" s="30"/>
      <c r="BD119" s="30"/>
      <c r="BE119" s="30"/>
      <c r="BF119" s="30"/>
      <c r="BG119" s="30"/>
      <c r="BH119" s="30"/>
      <c r="BI119" s="30"/>
      <c r="BJ119" s="39"/>
      <c r="BK119" s="37"/>
      <c r="BL119" s="39"/>
      <c r="BM119" s="37"/>
      <c r="BN119" s="37"/>
      <c r="BO119" s="34">
        <f t="shared" si="8"/>
        <v>0</v>
      </c>
      <c r="BP119" s="30"/>
      <c r="BQ119" s="30"/>
      <c r="BR119" s="30"/>
      <c r="BS119" s="30"/>
      <c r="BT119" s="30"/>
      <c r="BU119" s="30"/>
      <c r="BV119" s="30"/>
      <c r="BW119" s="30"/>
      <c r="BX119" s="39"/>
      <c r="BY119" s="37"/>
      <c r="BZ119" s="39"/>
      <c r="CA119" s="37"/>
      <c r="CB119" s="37"/>
      <c r="CC119" s="34">
        <f t="shared" si="9"/>
        <v>0</v>
      </c>
      <c r="CD119" s="30"/>
      <c r="CE119" s="30"/>
      <c r="CF119" s="30" t="s">
        <v>1304</v>
      </c>
      <c r="CG119" s="30"/>
      <c r="CH119" s="30"/>
    </row>
    <row r="120" spans="2:86" ht="135" x14ac:dyDescent="0.25">
      <c r="B120" s="30" t="s">
        <v>1311</v>
      </c>
      <c r="C120" s="30" t="s">
        <v>1312</v>
      </c>
      <c r="D120" s="36">
        <v>45167</v>
      </c>
      <c r="E120" s="30" t="s">
        <v>1295</v>
      </c>
      <c r="F120" s="30" t="s">
        <v>1295</v>
      </c>
      <c r="G120" s="30"/>
      <c r="H120" s="30" t="s">
        <v>1305</v>
      </c>
      <c r="I120" s="38">
        <v>278800</v>
      </c>
      <c r="J120" s="30" t="s">
        <v>70</v>
      </c>
      <c r="K120" s="38">
        <v>21575</v>
      </c>
      <c r="L120" s="38"/>
      <c r="M120" s="30"/>
      <c r="N120" s="30"/>
      <c r="O120" s="30"/>
      <c r="P120" s="30"/>
      <c r="Q120" s="30"/>
      <c r="R120" s="30"/>
      <c r="S120" s="30" t="s">
        <v>1306</v>
      </c>
      <c r="T120" s="30" t="s">
        <v>1307</v>
      </c>
      <c r="U120" s="30" t="s">
        <v>1301</v>
      </c>
      <c r="V120" s="30" t="s">
        <v>1302</v>
      </c>
      <c r="W120" s="30" t="s">
        <v>73</v>
      </c>
      <c r="X120" s="30" t="s">
        <v>170</v>
      </c>
      <c r="Y120" s="30" t="s">
        <v>90</v>
      </c>
      <c r="Z120" s="36">
        <v>45095</v>
      </c>
      <c r="AA120" s="36">
        <v>44561</v>
      </c>
      <c r="AB120" s="30" t="s">
        <v>91</v>
      </c>
      <c r="AC120" s="30"/>
      <c r="AD120" s="30"/>
      <c r="AE120" s="30"/>
      <c r="AF120" s="30"/>
      <c r="AG120" s="30"/>
      <c r="AH120" s="30"/>
      <c r="AI120" s="30"/>
      <c r="AJ120" s="33">
        <f t="shared" si="5"/>
        <v>278800</v>
      </c>
      <c r="AK120" s="37"/>
      <c r="AL120" s="33">
        <f t="shared" si="6"/>
        <v>21575</v>
      </c>
      <c r="AM120" s="37"/>
      <c r="AN120" s="37"/>
      <c r="AO120" s="37">
        <v>234377920000</v>
      </c>
      <c r="AP120" s="30"/>
      <c r="AQ120" s="30"/>
      <c r="AR120" s="30"/>
      <c r="AS120" s="30"/>
      <c r="AT120" s="30"/>
      <c r="AU120" s="30"/>
      <c r="AV120" s="38"/>
      <c r="AW120" s="37"/>
      <c r="AX120" s="38"/>
      <c r="AY120" s="37"/>
      <c r="AZ120" s="37"/>
      <c r="BA120" s="34">
        <f t="shared" si="7"/>
        <v>0</v>
      </c>
      <c r="BB120" s="30"/>
      <c r="BC120" s="30"/>
      <c r="BD120" s="30"/>
      <c r="BE120" s="30"/>
      <c r="BF120" s="30"/>
      <c r="BG120" s="30"/>
      <c r="BH120" s="30"/>
      <c r="BI120" s="30"/>
      <c r="BJ120" s="39"/>
      <c r="BK120" s="37"/>
      <c r="BL120" s="39"/>
      <c r="BM120" s="37"/>
      <c r="BN120" s="37"/>
      <c r="BO120" s="34">
        <f t="shared" si="8"/>
        <v>0</v>
      </c>
      <c r="BP120" s="30"/>
      <c r="BQ120" s="30"/>
      <c r="BR120" s="30"/>
      <c r="BS120" s="30"/>
      <c r="BT120" s="30"/>
      <c r="BU120" s="30"/>
      <c r="BV120" s="30"/>
      <c r="BW120" s="30"/>
      <c r="BX120" s="39"/>
      <c r="BY120" s="37"/>
      <c r="BZ120" s="39"/>
      <c r="CA120" s="37"/>
      <c r="CB120" s="37"/>
      <c r="CC120" s="34">
        <f t="shared" si="9"/>
        <v>0</v>
      </c>
      <c r="CD120" s="30"/>
      <c r="CE120" s="30"/>
      <c r="CF120" s="30" t="s">
        <v>1304</v>
      </c>
      <c r="CG120" s="30"/>
      <c r="CH120" s="30"/>
    </row>
    <row r="121" spans="2:86" ht="135" x14ac:dyDescent="0.25">
      <c r="B121" s="30" t="s">
        <v>1313</v>
      </c>
      <c r="C121" s="30" t="s">
        <v>1314</v>
      </c>
      <c r="D121" s="36">
        <v>45167</v>
      </c>
      <c r="E121" s="30" t="s">
        <v>1295</v>
      </c>
      <c r="F121" s="30" t="s">
        <v>1295</v>
      </c>
      <c r="G121" s="30"/>
      <c r="H121" s="30" t="s">
        <v>1315</v>
      </c>
      <c r="I121" s="38" t="s">
        <v>1316</v>
      </c>
      <c r="J121" s="30" t="s">
        <v>1298</v>
      </c>
      <c r="K121" s="38"/>
      <c r="L121" s="38"/>
      <c r="M121" s="30"/>
      <c r="N121" s="30"/>
      <c r="O121" s="30"/>
      <c r="P121" s="30"/>
      <c r="Q121" s="30"/>
      <c r="R121" s="30"/>
      <c r="S121" s="30" t="s">
        <v>1317</v>
      </c>
      <c r="T121" s="30" t="s">
        <v>1318</v>
      </c>
      <c r="U121" s="30" t="s">
        <v>1301</v>
      </c>
      <c r="V121" s="30" t="s">
        <v>1302</v>
      </c>
      <c r="W121" s="30" t="s">
        <v>73</v>
      </c>
      <c r="X121" s="30" t="s">
        <v>170</v>
      </c>
      <c r="Y121" s="30" t="s">
        <v>90</v>
      </c>
      <c r="Z121" s="36">
        <v>45091</v>
      </c>
      <c r="AA121" s="36">
        <v>44561</v>
      </c>
      <c r="AB121" s="30" t="s">
        <v>91</v>
      </c>
      <c r="AC121" s="30"/>
      <c r="AD121" s="30"/>
      <c r="AE121" s="30"/>
      <c r="AF121" s="30"/>
      <c r="AG121" s="30"/>
      <c r="AH121" s="30"/>
      <c r="AI121" s="30"/>
      <c r="AJ121" s="33" t="str">
        <f t="shared" si="5"/>
        <v>1432,48</v>
      </c>
      <c r="AK121" s="37"/>
      <c r="AL121" s="33">
        <f t="shared" si="6"/>
        <v>0</v>
      </c>
      <c r="AM121" s="37"/>
      <c r="AN121" s="37"/>
      <c r="AO121" s="37">
        <v>38921000000</v>
      </c>
      <c r="AP121" s="30"/>
      <c r="AQ121" s="30"/>
      <c r="AR121" s="30"/>
      <c r="AS121" s="30"/>
      <c r="AT121" s="30"/>
      <c r="AU121" s="30"/>
      <c r="AV121" s="38"/>
      <c r="AW121" s="37"/>
      <c r="AX121" s="38"/>
      <c r="AY121" s="37"/>
      <c r="AZ121" s="37"/>
      <c r="BA121" s="34">
        <f t="shared" si="7"/>
        <v>0</v>
      </c>
      <c r="BB121" s="30"/>
      <c r="BC121" s="30"/>
      <c r="BD121" s="30"/>
      <c r="BE121" s="30"/>
      <c r="BF121" s="30"/>
      <c r="BG121" s="30"/>
      <c r="BH121" s="30"/>
      <c r="BI121" s="30"/>
      <c r="BJ121" s="39"/>
      <c r="BK121" s="37"/>
      <c r="BL121" s="39"/>
      <c r="BM121" s="37"/>
      <c r="BN121" s="37"/>
      <c r="BO121" s="34">
        <f t="shared" si="8"/>
        <v>0</v>
      </c>
      <c r="BP121" s="30"/>
      <c r="BQ121" s="30"/>
      <c r="BR121" s="30"/>
      <c r="BS121" s="30"/>
      <c r="BT121" s="30"/>
      <c r="BU121" s="30"/>
      <c r="BV121" s="30"/>
      <c r="BW121" s="30"/>
      <c r="BX121" s="39"/>
      <c r="BY121" s="37"/>
      <c r="BZ121" s="39"/>
      <c r="CA121" s="37"/>
      <c r="CB121" s="37"/>
      <c r="CC121" s="34">
        <f t="shared" si="9"/>
        <v>0</v>
      </c>
      <c r="CD121" s="30"/>
      <c r="CE121" s="30"/>
      <c r="CF121" s="30" t="s">
        <v>1304</v>
      </c>
      <c r="CG121" s="30"/>
      <c r="CH121" s="30"/>
    </row>
    <row r="122" spans="2:86" ht="135" x14ac:dyDescent="0.25">
      <c r="B122" s="30" t="s">
        <v>1308</v>
      </c>
      <c r="C122" s="30" t="s">
        <v>1319</v>
      </c>
      <c r="D122" s="36">
        <v>45167</v>
      </c>
      <c r="E122" s="30" t="s">
        <v>1295</v>
      </c>
      <c r="F122" s="30" t="s">
        <v>1295</v>
      </c>
      <c r="G122" s="30"/>
      <c r="H122" s="30" t="s">
        <v>1315</v>
      </c>
      <c r="I122" s="38" t="s">
        <v>1316</v>
      </c>
      <c r="J122" s="30" t="s">
        <v>1298</v>
      </c>
      <c r="K122" s="38"/>
      <c r="L122" s="38"/>
      <c r="M122" s="30"/>
      <c r="N122" s="30"/>
      <c r="O122" s="30"/>
      <c r="P122" s="30"/>
      <c r="Q122" s="30"/>
      <c r="R122" s="30"/>
      <c r="S122" s="30" t="s">
        <v>1317</v>
      </c>
      <c r="T122" s="30" t="s">
        <v>1318</v>
      </c>
      <c r="U122" s="30" t="s">
        <v>1301</v>
      </c>
      <c r="V122" s="30" t="s">
        <v>1302</v>
      </c>
      <c r="W122" s="30" t="s">
        <v>73</v>
      </c>
      <c r="X122" s="30" t="s">
        <v>170</v>
      </c>
      <c r="Y122" s="30" t="s">
        <v>90</v>
      </c>
      <c r="Z122" s="36">
        <v>45091</v>
      </c>
      <c r="AA122" s="36">
        <v>44561</v>
      </c>
      <c r="AB122" s="30" t="s">
        <v>91</v>
      </c>
      <c r="AC122" s="30"/>
      <c r="AD122" s="30"/>
      <c r="AE122" s="30"/>
      <c r="AF122" s="30"/>
      <c r="AG122" s="30"/>
      <c r="AH122" s="30"/>
      <c r="AI122" s="30"/>
      <c r="AJ122" s="33" t="str">
        <f t="shared" si="5"/>
        <v>1432,48</v>
      </c>
      <c r="AK122" s="37"/>
      <c r="AL122" s="33">
        <f t="shared" si="6"/>
        <v>0</v>
      </c>
      <c r="AM122" s="37"/>
      <c r="AN122" s="37"/>
      <c r="AO122" s="37">
        <v>82351000000</v>
      </c>
      <c r="AP122" s="30"/>
      <c r="AQ122" s="30"/>
      <c r="AR122" s="30"/>
      <c r="AS122" s="30"/>
      <c r="AT122" s="30"/>
      <c r="AU122" s="30"/>
      <c r="AV122" s="38"/>
      <c r="AW122" s="37"/>
      <c r="AX122" s="38"/>
      <c r="AY122" s="37"/>
      <c r="AZ122" s="37"/>
      <c r="BA122" s="34">
        <f t="shared" si="7"/>
        <v>0</v>
      </c>
      <c r="BB122" s="30"/>
      <c r="BC122" s="30"/>
      <c r="BD122" s="30"/>
      <c r="BE122" s="30"/>
      <c r="BF122" s="30"/>
      <c r="BG122" s="30"/>
      <c r="BH122" s="30"/>
      <c r="BI122" s="30"/>
      <c r="BJ122" s="39"/>
      <c r="BK122" s="37"/>
      <c r="BL122" s="39"/>
      <c r="BM122" s="37"/>
      <c r="BN122" s="37"/>
      <c r="BO122" s="34">
        <f t="shared" si="8"/>
        <v>0</v>
      </c>
      <c r="BP122" s="30"/>
      <c r="BQ122" s="30"/>
      <c r="BR122" s="30"/>
      <c r="BS122" s="30"/>
      <c r="BT122" s="30"/>
      <c r="BU122" s="30"/>
      <c r="BV122" s="30"/>
      <c r="BW122" s="30"/>
      <c r="BX122" s="39"/>
      <c r="BY122" s="37"/>
      <c r="BZ122" s="39"/>
      <c r="CA122" s="37"/>
      <c r="CB122" s="37"/>
      <c r="CC122" s="34">
        <f t="shared" si="9"/>
        <v>0</v>
      </c>
      <c r="CD122" s="30"/>
      <c r="CE122" s="30"/>
      <c r="CF122" s="30" t="s">
        <v>1304</v>
      </c>
      <c r="CG122" s="30"/>
      <c r="CH122" s="30"/>
    </row>
    <row r="123" spans="2:86" ht="135" x14ac:dyDescent="0.25">
      <c r="B123" s="30" t="s">
        <v>1311</v>
      </c>
      <c r="C123" s="30" t="s">
        <v>1320</v>
      </c>
      <c r="D123" s="36">
        <v>45167</v>
      </c>
      <c r="E123" s="30" t="s">
        <v>1295</v>
      </c>
      <c r="F123" s="30" t="s">
        <v>1295</v>
      </c>
      <c r="G123" s="30"/>
      <c r="H123" s="30" t="s">
        <v>1315</v>
      </c>
      <c r="I123" s="38" t="s">
        <v>1316</v>
      </c>
      <c r="J123" s="30" t="s">
        <v>1298</v>
      </c>
      <c r="K123" s="38"/>
      <c r="L123" s="38"/>
      <c r="M123" s="30"/>
      <c r="N123" s="30"/>
      <c r="O123" s="30"/>
      <c r="P123" s="30"/>
      <c r="Q123" s="30"/>
      <c r="R123" s="30"/>
      <c r="S123" s="30" t="s">
        <v>1317</v>
      </c>
      <c r="T123" s="30" t="s">
        <v>1318</v>
      </c>
      <c r="U123" s="30" t="s">
        <v>1301</v>
      </c>
      <c r="V123" s="30" t="s">
        <v>1302</v>
      </c>
      <c r="W123" s="30" t="s">
        <v>73</v>
      </c>
      <c r="X123" s="30" t="s">
        <v>170</v>
      </c>
      <c r="Y123" s="30" t="s">
        <v>90</v>
      </c>
      <c r="Z123" s="36">
        <v>45091</v>
      </c>
      <c r="AA123" s="36">
        <v>44561</v>
      </c>
      <c r="AB123" s="30" t="s">
        <v>91</v>
      </c>
      <c r="AC123" s="30"/>
      <c r="AD123" s="30"/>
      <c r="AE123" s="30"/>
      <c r="AF123" s="30"/>
      <c r="AG123" s="30"/>
      <c r="AH123" s="30"/>
      <c r="AI123" s="30"/>
      <c r="AJ123" s="33" t="str">
        <f t="shared" si="5"/>
        <v>1432,48</v>
      </c>
      <c r="AK123" s="37"/>
      <c r="AL123" s="33">
        <f t="shared" si="6"/>
        <v>0</v>
      </c>
      <c r="AM123" s="37"/>
      <c r="AN123" s="37"/>
      <c r="AO123" s="37">
        <v>93533000000</v>
      </c>
      <c r="AP123" s="30"/>
      <c r="AQ123" s="30"/>
      <c r="AR123" s="30"/>
      <c r="AS123" s="30"/>
      <c r="AT123" s="30"/>
      <c r="AU123" s="30"/>
      <c r="AV123" s="38"/>
      <c r="AW123" s="37"/>
      <c r="AX123" s="38"/>
      <c r="AY123" s="37"/>
      <c r="AZ123" s="37"/>
      <c r="BA123" s="34">
        <f t="shared" si="7"/>
        <v>0</v>
      </c>
      <c r="BB123" s="30"/>
      <c r="BC123" s="30"/>
      <c r="BD123" s="30"/>
      <c r="BE123" s="30"/>
      <c r="BF123" s="30"/>
      <c r="BG123" s="30"/>
      <c r="BH123" s="30"/>
      <c r="BI123" s="30"/>
      <c r="BJ123" s="39"/>
      <c r="BK123" s="37"/>
      <c r="BL123" s="39"/>
      <c r="BM123" s="37"/>
      <c r="BN123" s="37"/>
      <c r="BO123" s="34">
        <f t="shared" si="8"/>
        <v>0</v>
      </c>
      <c r="BP123" s="30"/>
      <c r="BQ123" s="30"/>
      <c r="BR123" s="30"/>
      <c r="BS123" s="30"/>
      <c r="BT123" s="30"/>
      <c r="BU123" s="30"/>
      <c r="BV123" s="30"/>
      <c r="BW123" s="30"/>
      <c r="BX123" s="39"/>
      <c r="BY123" s="37"/>
      <c r="BZ123" s="39"/>
      <c r="CA123" s="37"/>
      <c r="CB123" s="37"/>
      <c r="CC123" s="34">
        <f t="shared" si="9"/>
        <v>0</v>
      </c>
      <c r="CD123" s="30"/>
      <c r="CE123" s="30"/>
      <c r="CF123" s="30" t="s">
        <v>1304</v>
      </c>
      <c r="CG123" s="30"/>
      <c r="CH123" s="30"/>
    </row>
    <row r="124" spans="2:86" ht="135" x14ac:dyDescent="0.25">
      <c r="B124" s="30" t="s">
        <v>1321</v>
      </c>
      <c r="C124" s="30" t="s">
        <v>1322</v>
      </c>
      <c r="D124" s="36">
        <v>45177</v>
      </c>
      <c r="E124" s="30" t="s">
        <v>1323</v>
      </c>
      <c r="F124" s="30" t="s">
        <v>97</v>
      </c>
      <c r="G124" s="30"/>
      <c r="H124" s="30" t="s">
        <v>1324</v>
      </c>
      <c r="I124" s="38">
        <v>2995</v>
      </c>
      <c r="J124" s="30" t="s">
        <v>70</v>
      </c>
      <c r="K124" s="38">
        <v>2344</v>
      </c>
      <c r="L124" s="38"/>
      <c r="M124" s="30"/>
      <c r="N124" s="30"/>
      <c r="O124" s="30"/>
      <c r="P124" s="30"/>
      <c r="Q124" s="30"/>
      <c r="R124" s="30" t="s">
        <v>1325</v>
      </c>
      <c r="S124" s="30" t="s">
        <v>1326</v>
      </c>
      <c r="T124" s="30" t="s">
        <v>1327</v>
      </c>
      <c r="U124" s="30" t="s">
        <v>1328</v>
      </c>
      <c r="V124" s="30" t="s">
        <v>128</v>
      </c>
      <c r="W124" s="30" t="s">
        <v>73</v>
      </c>
      <c r="X124" s="30" t="s">
        <v>86</v>
      </c>
      <c r="Y124" s="30" t="s">
        <v>75</v>
      </c>
      <c r="Z124" s="36">
        <v>45167</v>
      </c>
      <c r="AA124" s="36">
        <v>45167</v>
      </c>
      <c r="AB124" s="30" t="s">
        <v>91</v>
      </c>
      <c r="AC124" s="30"/>
      <c r="AD124" s="30"/>
      <c r="AE124" s="30"/>
      <c r="AF124" s="30"/>
      <c r="AG124" s="30"/>
      <c r="AH124" s="30"/>
      <c r="AI124" s="30"/>
      <c r="AJ124" s="33">
        <f t="shared" si="5"/>
        <v>2995</v>
      </c>
      <c r="AK124" s="37">
        <v>8800000</v>
      </c>
      <c r="AL124" s="33">
        <f t="shared" si="6"/>
        <v>2344</v>
      </c>
      <c r="AM124" s="37"/>
      <c r="AN124" s="37"/>
      <c r="AO124" s="37">
        <v>31363000000</v>
      </c>
      <c r="AP124" s="30" t="s">
        <v>1329</v>
      </c>
      <c r="AQ124" s="30" t="s">
        <v>101</v>
      </c>
      <c r="AR124" s="30"/>
      <c r="AS124" s="30"/>
      <c r="AT124" s="30"/>
      <c r="AU124" s="30"/>
      <c r="AV124" s="38">
        <v>446</v>
      </c>
      <c r="AW124" s="37">
        <v>9434236</v>
      </c>
      <c r="AX124" s="38">
        <v>540</v>
      </c>
      <c r="AY124" s="37"/>
      <c r="AZ124" s="37">
        <v>5500000000</v>
      </c>
      <c r="BA124" s="34">
        <f t="shared" si="7"/>
        <v>4207669256</v>
      </c>
      <c r="BB124" s="30" t="s">
        <v>1330</v>
      </c>
      <c r="BC124" s="30" t="s">
        <v>82</v>
      </c>
      <c r="BD124" s="30" t="s">
        <v>1329</v>
      </c>
      <c r="BE124" s="30" t="s">
        <v>101</v>
      </c>
      <c r="BF124" s="30"/>
      <c r="BG124" s="30"/>
      <c r="BH124" s="30"/>
      <c r="BI124" s="30"/>
      <c r="BJ124" s="39">
        <v>720</v>
      </c>
      <c r="BK124" s="37">
        <v>8933533</v>
      </c>
      <c r="BL124" s="39">
        <v>510</v>
      </c>
      <c r="BM124" s="37"/>
      <c r="BN124" s="37">
        <v>8000000000</v>
      </c>
      <c r="BO124" s="34">
        <f t="shared" si="8"/>
        <v>6432143760</v>
      </c>
      <c r="BP124" s="30" t="s">
        <v>1331</v>
      </c>
      <c r="BQ124" s="30" t="s">
        <v>82</v>
      </c>
      <c r="BR124" s="30" t="s">
        <v>1329</v>
      </c>
      <c r="BS124" s="30" t="s">
        <v>78</v>
      </c>
      <c r="BT124" s="30"/>
      <c r="BU124" s="30"/>
      <c r="BV124" s="30"/>
      <c r="BW124" s="30"/>
      <c r="BX124" s="39">
        <v>1725</v>
      </c>
      <c r="BY124" s="37">
        <v>9200000</v>
      </c>
      <c r="BZ124" s="39"/>
      <c r="CA124" s="37"/>
      <c r="CB124" s="37">
        <v>22425000000</v>
      </c>
      <c r="CC124" s="34">
        <f t="shared" si="9"/>
        <v>15870000000</v>
      </c>
      <c r="CD124" s="30" t="s">
        <v>1332</v>
      </c>
      <c r="CE124" s="30" t="s">
        <v>82</v>
      </c>
      <c r="CF124" s="30" t="s">
        <v>1333</v>
      </c>
      <c r="CG124" s="30"/>
      <c r="CH124" s="30"/>
    </row>
    <row r="125" spans="2:86" ht="120" x14ac:dyDescent="0.25">
      <c r="B125" s="30" t="s">
        <v>1321</v>
      </c>
      <c r="C125" s="30" t="s">
        <v>1334</v>
      </c>
      <c r="D125" s="36">
        <v>45149</v>
      </c>
      <c r="E125" s="30" t="s">
        <v>1323</v>
      </c>
      <c r="F125" s="30" t="s">
        <v>97</v>
      </c>
      <c r="G125" s="30"/>
      <c r="H125" s="30" t="s">
        <v>1324</v>
      </c>
      <c r="I125" s="38">
        <v>20155</v>
      </c>
      <c r="J125" s="30" t="s">
        <v>70</v>
      </c>
      <c r="K125" s="38">
        <v>11179</v>
      </c>
      <c r="L125" s="38"/>
      <c r="M125" s="30"/>
      <c r="N125" s="30"/>
      <c r="O125" s="30"/>
      <c r="P125" s="30"/>
      <c r="Q125" s="30"/>
      <c r="R125" s="30" t="s">
        <v>1335</v>
      </c>
      <c r="S125" s="30" t="s">
        <v>1336</v>
      </c>
      <c r="T125" s="30" t="s">
        <v>1337</v>
      </c>
      <c r="U125" s="30" t="s">
        <v>1338</v>
      </c>
      <c r="V125" s="30" t="s">
        <v>1339</v>
      </c>
      <c r="W125" s="30" t="s">
        <v>73</v>
      </c>
      <c r="X125" s="30" t="s">
        <v>86</v>
      </c>
      <c r="Y125" s="30" t="s">
        <v>75</v>
      </c>
      <c r="Z125" s="36">
        <v>45167</v>
      </c>
      <c r="AA125" s="36">
        <v>45168</v>
      </c>
      <c r="AB125" s="30" t="s">
        <v>91</v>
      </c>
      <c r="AC125" s="30"/>
      <c r="AD125" s="30"/>
      <c r="AE125" s="30"/>
      <c r="AF125" s="30"/>
      <c r="AG125" s="30"/>
      <c r="AH125" s="30"/>
      <c r="AI125" s="30"/>
      <c r="AJ125" s="33">
        <f t="shared" si="5"/>
        <v>20155</v>
      </c>
      <c r="AK125" s="37">
        <v>2910000</v>
      </c>
      <c r="AL125" s="33">
        <f t="shared" si="6"/>
        <v>11179</v>
      </c>
      <c r="AM125" s="37"/>
      <c r="AN125" s="37"/>
      <c r="AO125" s="37">
        <v>75948000000</v>
      </c>
      <c r="AP125" s="30" t="s">
        <v>1340</v>
      </c>
      <c r="AQ125" s="30" t="s">
        <v>1341</v>
      </c>
      <c r="AR125" s="30"/>
      <c r="AS125" s="30"/>
      <c r="AT125" s="30"/>
      <c r="AU125" s="30"/>
      <c r="AV125" s="38">
        <v>22000</v>
      </c>
      <c r="AW125" s="37">
        <v>2550000</v>
      </c>
      <c r="AX125" s="38"/>
      <c r="AY125" s="37"/>
      <c r="AZ125" s="37">
        <v>66000000000</v>
      </c>
      <c r="BA125" s="34">
        <f t="shared" si="7"/>
        <v>56100000000</v>
      </c>
      <c r="BB125" s="30" t="s">
        <v>1342</v>
      </c>
      <c r="BC125" s="30" t="s">
        <v>82</v>
      </c>
      <c r="BD125" s="30" t="s">
        <v>1340</v>
      </c>
      <c r="BE125" s="30" t="s">
        <v>1343</v>
      </c>
      <c r="BF125" s="30"/>
      <c r="BG125" s="30"/>
      <c r="BH125" s="30"/>
      <c r="BI125" s="30"/>
      <c r="BJ125" s="39">
        <v>7326</v>
      </c>
      <c r="BK125" s="37">
        <v>3750000</v>
      </c>
      <c r="BL125" s="39"/>
      <c r="BM125" s="37"/>
      <c r="BN125" s="37">
        <v>36630000000</v>
      </c>
      <c r="BO125" s="34">
        <f t="shared" si="8"/>
        <v>27472500000</v>
      </c>
      <c r="BP125" s="30" t="s">
        <v>1344</v>
      </c>
      <c r="BQ125" s="30" t="s">
        <v>82</v>
      </c>
      <c r="BR125" s="30" t="s">
        <v>1340</v>
      </c>
      <c r="BS125" s="30" t="s">
        <v>1341</v>
      </c>
      <c r="BT125" s="30"/>
      <c r="BU125" s="30"/>
      <c r="BV125" s="30"/>
      <c r="BW125" s="30"/>
      <c r="BX125" s="39">
        <v>7620</v>
      </c>
      <c r="BY125" s="37">
        <v>3750000</v>
      </c>
      <c r="BZ125" s="39"/>
      <c r="CA125" s="37"/>
      <c r="CB125" s="37">
        <v>38100000000</v>
      </c>
      <c r="CC125" s="34">
        <f t="shared" si="9"/>
        <v>28575000000</v>
      </c>
      <c r="CD125" s="30" t="s">
        <v>1345</v>
      </c>
      <c r="CE125" s="30" t="s">
        <v>137</v>
      </c>
      <c r="CF125" s="30" t="s">
        <v>1346</v>
      </c>
      <c r="CG125" s="30"/>
      <c r="CH125" s="30"/>
    </row>
    <row r="126" spans="2:86" ht="105" x14ac:dyDescent="0.25">
      <c r="B126" s="30" t="s">
        <v>861</v>
      </c>
      <c r="C126" s="30" t="s">
        <v>1347</v>
      </c>
      <c r="D126" s="36">
        <v>45180</v>
      </c>
      <c r="E126" s="30" t="s">
        <v>863</v>
      </c>
      <c r="F126" s="30" t="s">
        <v>694</v>
      </c>
      <c r="G126" s="30"/>
      <c r="H126" s="30" t="s">
        <v>78</v>
      </c>
      <c r="I126" s="38">
        <v>2083</v>
      </c>
      <c r="J126" s="30" t="s">
        <v>70</v>
      </c>
      <c r="K126" s="38"/>
      <c r="L126" s="38"/>
      <c r="M126" s="30"/>
      <c r="N126" s="30"/>
      <c r="O126" s="30"/>
      <c r="P126" s="30"/>
      <c r="Q126" s="30"/>
      <c r="R126" s="30" t="s">
        <v>1348</v>
      </c>
      <c r="S126" s="30" t="s">
        <v>865</v>
      </c>
      <c r="T126" s="30" t="s">
        <v>866</v>
      </c>
      <c r="U126" s="30" t="s">
        <v>118</v>
      </c>
      <c r="V126" s="30" t="s">
        <v>1349</v>
      </c>
      <c r="W126" s="30" t="s">
        <v>73</v>
      </c>
      <c r="X126" s="30" t="s">
        <v>86</v>
      </c>
      <c r="Y126" s="30" t="s">
        <v>75</v>
      </c>
      <c r="Z126" s="36">
        <v>45086</v>
      </c>
      <c r="AA126" s="36">
        <v>45086</v>
      </c>
      <c r="AB126" s="30" t="s">
        <v>91</v>
      </c>
      <c r="AC126" s="30"/>
      <c r="AD126" s="30"/>
      <c r="AE126" s="30"/>
      <c r="AF126" s="30"/>
      <c r="AG126" s="30"/>
      <c r="AH126" s="30"/>
      <c r="AI126" s="30"/>
      <c r="AJ126" s="33">
        <f t="shared" si="5"/>
        <v>2083</v>
      </c>
      <c r="AK126" s="37">
        <v>1700000</v>
      </c>
      <c r="AL126" s="33">
        <f t="shared" si="6"/>
        <v>0</v>
      </c>
      <c r="AM126" s="37"/>
      <c r="AN126" s="37"/>
      <c r="AO126" s="37">
        <v>3541000000</v>
      </c>
      <c r="AP126" s="30" t="s">
        <v>1350</v>
      </c>
      <c r="AQ126" s="30" t="s">
        <v>84</v>
      </c>
      <c r="AR126" s="30"/>
      <c r="AS126" s="30"/>
      <c r="AT126" s="30"/>
      <c r="AU126" s="30"/>
      <c r="AV126" s="38">
        <v>425</v>
      </c>
      <c r="AW126" s="37">
        <v>2128706</v>
      </c>
      <c r="AX126" s="38">
        <v>105</v>
      </c>
      <c r="AY126" s="37"/>
      <c r="AZ126" s="37">
        <v>1400000000</v>
      </c>
      <c r="BA126" s="34">
        <f t="shared" si="7"/>
        <v>904700050</v>
      </c>
      <c r="BB126" s="30" t="s">
        <v>1351</v>
      </c>
      <c r="BC126" s="30" t="s">
        <v>82</v>
      </c>
      <c r="BD126" s="30" t="s">
        <v>1352</v>
      </c>
      <c r="BE126" s="30" t="s">
        <v>142</v>
      </c>
      <c r="BF126" s="30"/>
      <c r="BG126" s="30"/>
      <c r="BH126" s="30"/>
      <c r="BI126" s="30"/>
      <c r="BJ126" s="39">
        <v>105</v>
      </c>
      <c r="BK126" s="37">
        <v>2297333</v>
      </c>
      <c r="BL126" s="39">
        <v>190</v>
      </c>
      <c r="BM126" s="37"/>
      <c r="BN126" s="37">
        <v>650000000</v>
      </c>
      <c r="BO126" s="34">
        <f t="shared" si="8"/>
        <v>241219965</v>
      </c>
      <c r="BP126" s="30" t="s">
        <v>1353</v>
      </c>
      <c r="BQ126" s="30" t="s">
        <v>82</v>
      </c>
      <c r="BR126" s="30" t="s">
        <v>1354</v>
      </c>
      <c r="BS126" s="30" t="s">
        <v>84</v>
      </c>
      <c r="BT126" s="30"/>
      <c r="BU126" s="30"/>
      <c r="BV126" s="30"/>
      <c r="BW126" s="30"/>
      <c r="BX126" s="39">
        <v>290</v>
      </c>
      <c r="BY126" s="37">
        <v>2220000</v>
      </c>
      <c r="BZ126" s="39">
        <v>100</v>
      </c>
      <c r="CA126" s="37"/>
      <c r="CB126" s="37">
        <v>900000000</v>
      </c>
      <c r="CC126" s="34">
        <f t="shared" si="9"/>
        <v>643800000</v>
      </c>
      <c r="CD126" s="30" t="s">
        <v>1355</v>
      </c>
      <c r="CE126" s="30" t="s">
        <v>82</v>
      </c>
      <c r="CF126" s="30" t="s">
        <v>874</v>
      </c>
      <c r="CG126" s="30"/>
      <c r="CH126" s="30"/>
    </row>
    <row r="127" spans="2:86" ht="150" x14ac:dyDescent="0.25">
      <c r="B127" s="30" t="s">
        <v>1356</v>
      </c>
      <c r="C127" s="30" t="s">
        <v>1357</v>
      </c>
      <c r="D127" s="36">
        <v>45181</v>
      </c>
      <c r="E127" s="30" t="s">
        <v>811</v>
      </c>
      <c r="F127" s="30" t="s">
        <v>811</v>
      </c>
      <c r="G127" s="30"/>
      <c r="H127" s="30" t="s">
        <v>84</v>
      </c>
      <c r="I127" s="38">
        <v>108</v>
      </c>
      <c r="J127" s="30" t="s">
        <v>70</v>
      </c>
      <c r="K127" s="38">
        <v>84</v>
      </c>
      <c r="L127" s="38"/>
      <c r="M127" s="30"/>
      <c r="N127" s="30"/>
      <c r="O127" s="30"/>
      <c r="P127" s="30"/>
      <c r="Q127" s="30" t="s">
        <v>1358</v>
      </c>
      <c r="R127" s="30" t="s">
        <v>1359</v>
      </c>
      <c r="S127" s="30" t="s">
        <v>1360</v>
      </c>
      <c r="T127" s="30" t="s">
        <v>1361</v>
      </c>
      <c r="U127" s="30" t="s">
        <v>114</v>
      </c>
      <c r="V127" s="30" t="s">
        <v>95</v>
      </c>
      <c r="W127" s="30" t="s">
        <v>73</v>
      </c>
      <c r="X127" s="30" t="s">
        <v>638</v>
      </c>
      <c r="Y127" s="30" t="s">
        <v>1286</v>
      </c>
      <c r="Z127" s="36">
        <v>45103</v>
      </c>
      <c r="AA127" s="36">
        <v>45103</v>
      </c>
      <c r="AB127" s="30" t="s">
        <v>91</v>
      </c>
      <c r="AC127" s="30"/>
      <c r="AD127" s="30"/>
      <c r="AE127" s="30"/>
      <c r="AF127" s="30"/>
      <c r="AG127" s="30"/>
      <c r="AH127" s="30"/>
      <c r="AI127" s="30"/>
      <c r="AJ127" s="33">
        <f t="shared" si="5"/>
        <v>108</v>
      </c>
      <c r="AK127" s="37">
        <v>2500000</v>
      </c>
      <c r="AL127" s="33">
        <f t="shared" si="6"/>
        <v>84</v>
      </c>
      <c r="AM127" s="37"/>
      <c r="AN127" s="37"/>
      <c r="AO127" s="37">
        <v>375000000</v>
      </c>
      <c r="AP127" s="30" t="s">
        <v>1362</v>
      </c>
      <c r="AQ127" s="30" t="s">
        <v>77</v>
      </c>
      <c r="AR127" s="30"/>
      <c r="AS127" s="30"/>
      <c r="AT127" s="30"/>
      <c r="AU127" s="30"/>
      <c r="AV127" s="38">
        <v>72</v>
      </c>
      <c r="AW127" s="37">
        <v>2450000</v>
      </c>
      <c r="AX127" s="38"/>
      <c r="AY127" s="37"/>
      <c r="AZ127" s="37">
        <v>195000000</v>
      </c>
      <c r="BA127" s="34">
        <f t="shared" si="7"/>
        <v>176400000</v>
      </c>
      <c r="BB127" s="30" t="s">
        <v>1363</v>
      </c>
      <c r="BC127" s="30" t="s">
        <v>82</v>
      </c>
      <c r="BD127" s="30" t="s">
        <v>1364</v>
      </c>
      <c r="BE127" s="30" t="s">
        <v>84</v>
      </c>
      <c r="BF127" s="30"/>
      <c r="BG127" s="30"/>
      <c r="BH127" s="30"/>
      <c r="BI127" s="30"/>
      <c r="BJ127" s="39">
        <v>72</v>
      </c>
      <c r="BK127" s="37">
        <v>2537580</v>
      </c>
      <c r="BL127" s="39">
        <v>45</v>
      </c>
      <c r="BM127" s="37"/>
      <c r="BN127" s="37">
        <v>295000000</v>
      </c>
      <c r="BO127" s="34">
        <f t="shared" si="8"/>
        <v>182705760</v>
      </c>
      <c r="BP127" s="30" t="s">
        <v>1365</v>
      </c>
      <c r="BQ127" s="30" t="s">
        <v>82</v>
      </c>
      <c r="BR127" s="30" t="s">
        <v>1366</v>
      </c>
      <c r="BS127" s="30" t="s">
        <v>84</v>
      </c>
      <c r="BT127" s="30"/>
      <c r="BU127" s="30"/>
      <c r="BV127" s="30"/>
      <c r="BW127" s="30"/>
      <c r="BX127" s="39">
        <v>72</v>
      </c>
      <c r="BY127" s="37">
        <v>2422325</v>
      </c>
      <c r="BZ127" s="39">
        <v>36</v>
      </c>
      <c r="CA127" s="37"/>
      <c r="CB127" s="37">
        <v>250000000</v>
      </c>
      <c r="CC127" s="34">
        <f t="shared" si="9"/>
        <v>174407400</v>
      </c>
      <c r="CD127" s="30" t="s">
        <v>1367</v>
      </c>
      <c r="CE127" s="30" t="s">
        <v>82</v>
      </c>
      <c r="CF127" s="30" t="s">
        <v>644</v>
      </c>
      <c r="CG127" s="30"/>
      <c r="CH127" s="30"/>
    </row>
    <row r="128" spans="2:86" ht="90" x14ac:dyDescent="0.25">
      <c r="B128" s="40" t="s">
        <v>1368</v>
      </c>
      <c r="C128" s="40" t="s">
        <v>1369</v>
      </c>
      <c r="D128" s="41">
        <v>45190</v>
      </c>
      <c r="E128" s="40" t="s">
        <v>1370</v>
      </c>
      <c r="F128" s="40" t="s">
        <v>97</v>
      </c>
      <c r="G128" s="40"/>
      <c r="H128" s="40" t="s">
        <v>1371</v>
      </c>
      <c r="I128" s="42">
        <v>71382</v>
      </c>
      <c r="J128" s="40" t="s">
        <v>70</v>
      </c>
      <c r="K128" s="42">
        <v>11851</v>
      </c>
      <c r="L128" s="42"/>
      <c r="M128" s="40" t="s">
        <v>1372</v>
      </c>
      <c r="N128" s="68"/>
      <c r="O128" s="69"/>
      <c r="P128" s="40"/>
      <c r="Q128" s="40"/>
      <c r="R128" s="40" t="s">
        <v>1373</v>
      </c>
      <c r="S128" s="40" t="s">
        <v>1374</v>
      </c>
      <c r="T128" s="40" t="s">
        <v>1375</v>
      </c>
      <c r="U128" s="40" t="s">
        <v>1376</v>
      </c>
      <c r="V128" s="40" t="s">
        <v>1377</v>
      </c>
      <c r="W128" s="40" t="s">
        <v>73</v>
      </c>
      <c r="X128" s="40" t="s">
        <v>86</v>
      </c>
      <c r="Y128" s="40" t="s">
        <v>75</v>
      </c>
      <c r="Z128" s="41">
        <v>45160</v>
      </c>
      <c r="AA128" s="41">
        <v>45161</v>
      </c>
      <c r="AB128" s="40" t="s">
        <v>91</v>
      </c>
      <c r="AC128" s="40"/>
      <c r="AD128" s="40"/>
      <c r="AE128" s="40"/>
      <c r="AF128" s="40"/>
      <c r="AG128" s="40"/>
      <c r="AH128" s="40"/>
      <c r="AI128" s="40"/>
      <c r="AJ128" s="33">
        <f t="shared" si="5"/>
        <v>71382</v>
      </c>
      <c r="AK128" s="43"/>
      <c r="AL128" s="33">
        <f t="shared" si="6"/>
        <v>11851</v>
      </c>
      <c r="AM128" s="43"/>
      <c r="AN128" s="43"/>
      <c r="AO128" s="37">
        <v>14439500000</v>
      </c>
      <c r="AP128" s="40"/>
      <c r="AQ128" s="40"/>
      <c r="AR128" s="40"/>
      <c r="AS128" s="40"/>
      <c r="AT128" s="40"/>
      <c r="AU128" s="40"/>
      <c r="AV128" s="42"/>
      <c r="AW128" s="43"/>
      <c r="AX128" s="42"/>
      <c r="AY128" s="43"/>
      <c r="AZ128" s="43"/>
      <c r="BA128" s="34">
        <f t="shared" si="7"/>
        <v>0</v>
      </c>
      <c r="BB128" s="40"/>
      <c r="BC128" s="40"/>
      <c r="BD128" s="40"/>
      <c r="BE128" s="40"/>
      <c r="BF128" s="40"/>
      <c r="BG128" s="40"/>
      <c r="BH128" s="40"/>
      <c r="BI128" s="40"/>
      <c r="BJ128" s="44"/>
      <c r="BK128" s="43"/>
      <c r="BL128" s="44"/>
      <c r="BM128" s="43"/>
      <c r="BN128" s="43"/>
      <c r="BO128" s="34">
        <f t="shared" si="8"/>
        <v>0</v>
      </c>
      <c r="BP128" s="40"/>
      <c r="BQ128" s="40"/>
      <c r="BR128" s="40"/>
      <c r="BS128" s="40"/>
      <c r="BT128" s="40"/>
      <c r="BU128" s="40"/>
      <c r="BV128" s="40"/>
      <c r="BW128" s="40"/>
      <c r="BX128" s="44"/>
      <c r="BY128" s="43"/>
      <c r="BZ128" s="44"/>
      <c r="CA128" s="43"/>
      <c r="CB128" s="43"/>
      <c r="CC128" s="34">
        <f t="shared" si="9"/>
        <v>0</v>
      </c>
      <c r="CD128" s="40"/>
      <c r="CE128" s="40"/>
      <c r="CF128" s="40"/>
      <c r="CG128" s="40"/>
      <c r="CH128" s="40"/>
    </row>
    <row r="129" spans="2:86" ht="240" x14ac:dyDescent="0.25">
      <c r="B129" s="40" t="s">
        <v>1368</v>
      </c>
      <c r="C129" s="40" t="s">
        <v>1369</v>
      </c>
      <c r="D129" s="41">
        <v>45190</v>
      </c>
      <c r="E129" s="40" t="s">
        <v>1370</v>
      </c>
      <c r="F129" s="40" t="s">
        <v>97</v>
      </c>
      <c r="G129" s="30"/>
      <c r="H129" s="40" t="s">
        <v>144</v>
      </c>
      <c r="I129" s="42">
        <v>71382</v>
      </c>
      <c r="J129" s="40" t="s">
        <v>70</v>
      </c>
      <c r="K129" s="42">
        <v>11851</v>
      </c>
      <c r="L129" s="42"/>
      <c r="M129" s="30" t="s">
        <v>1378</v>
      </c>
      <c r="N129" s="30"/>
      <c r="O129" s="30">
        <v>1</v>
      </c>
      <c r="P129" s="30" t="s">
        <v>164</v>
      </c>
      <c r="Q129" s="30"/>
      <c r="R129" s="40" t="s">
        <v>1373</v>
      </c>
      <c r="S129" s="40" t="s">
        <v>1374</v>
      </c>
      <c r="T129" s="40" t="s">
        <v>1375</v>
      </c>
      <c r="U129" s="40" t="s">
        <v>1376</v>
      </c>
      <c r="V129" s="40" t="s">
        <v>1377</v>
      </c>
      <c r="W129" s="40" t="s">
        <v>73</v>
      </c>
      <c r="X129" s="40" t="s">
        <v>86</v>
      </c>
      <c r="Y129" s="40" t="s">
        <v>75</v>
      </c>
      <c r="Z129" s="41">
        <v>45160</v>
      </c>
      <c r="AA129" s="41">
        <v>45161</v>
      </c>
      <c r="AB129" s="40" t="s">
        <v>91</v>
      </c>
      <c r="AC129" s="40"/>
      <c r="AD129" s="40"/>
      <c r="AE129" s="30"/>
      <c r="AF129" s="30"/>
      <c r="AG129" s="30"/>
      <c r="AH129" s="30"/>
      <c r="AI129" s="30"/>
      <c r="AJ129" s="33">
        <f t="shared" si="5"/>
        <v>71382</v>
      </c>
      <c r="AK129" s="37"/>
      <c r="AL129" s="33">
        <f t="shared" si="6"/>
        <v>11851</v>
      </c>
      <c r="AM129" s="37"/>
      <c r="AN129" s="70"/>
      <c r="AO129" s="70">
        <v>1837000000</v>
      </c>
      <c r="AP129" s="30"/>
      <c r="AQ129" s="30"/>
      <c r="AR129" s="30"/>
      <c r="AS129" s="30"/>
      <c r="AT129" s="30"/>
      <c r="AU129" s="30"/>
      <c r="AV129" s="38"/>
      <c r="AW129" s="37"/>
      <c r="AX129" s="38"/>
      <c r="AY129" s="37"/>
      <c r="AZ129" s="37"/>
      <c r="BA129" s="34">
        <f t="shared" si="7"/>
        <v>0</v>
      </c>
      <c r="BB129" s="30"/>
      <c r="BC129" s="30"/>
      <c r="BD129" s="30"/>
      <c r="BE129" s="30"/>
      <c r="BF129" s="30"/>
      <c r="BG129" s="30"/>
      <c r="BH129" s="30"/>
      <c r="BI129" s="30"/>
      <c r="BJ129" s="39"/>
      <c r="BK129" s="37"/>
      <c r="BL129" s="39"/>
      <c r="BM129" s="37"/>
      <c r="BN129" s="37"/>
      <c r="BO129" s="34">
        <f t="shared" si="8"/>
        <v>0</v>
      </c>
      <c r="BP129" s="30"/>
      <c r="BQ129" s="30"/>
      <c r="BR129" s="30"/>
      <c r="BS129" s="30"/>
      <c r="BT129" s="30"/>
      <c r="BU129" s="30"/>
      <c r="BV129" s="30"/>
      <c r="BW129" s="30"/>
      <c r="BX129" s="39"/>
      <c r="BY129" s="37"/>
      <c r="BZ129" s="39"/>
      <c r="CA129" s="37"/>
      <c r="CB129" s="37"/>
      <c r="CC129" s="34">
        <f t="shared" si="9"/>
        <v>0</v>
      </c>
      <c r="CD129" s="30"/>
      <c r="CE129" s="30"/>
      <c r="CF129" s="30"/>
      <c r="CG129" s="30"/>
      <c r="CH129" s="30"/>
    </row>
    <row r="130" spans="2:86" ht="195" x14ac:dyDescent="0.25">
      <c r="B130" s="40" t="s">
        <v>1368</v>
      </c>
      <c r="C130" s="40" t="s">
        <v>1369</v>
      </c>
      <c r="D130" s="41">
        <v>45190</v>
      </c>
      <c r="E130" s="40" t="s">
        <v>1370</v>
      </c>
      <c r="F130" s="40" t="s">
        <v>97</v>
      </c>
      <c r="G130" s="30"/>
      <c r="H130" s="40" t="s">
        <v>187</v>
      </c>
      <c r="I130" s="42">
        <v>71382</v>
      </c>
      <c r="J130" s="40" t="s">
        <v>70</v>
      </c>
      <c r="K130" s="42">
        <v>11851</v>
      </c>
      <c r="L130" s="42"/>
      <c r="M130" s="30" t="s">
        <v>1379</v>
      </c>
      <c r="N130" s="30"/>
      <c r="O130" s="30">
        <v>1</v>
      </c>
      <c r="P130" s="30" t="s">
        <v>164</v>
      </c>
      <c r="Q130" s="30"/>
      <c r="R130" s="40" t="s">
        <v>1373</v>
      </c>
      <c r="S130" s="40" t="s">
        <v>1374</v>
      </c>
      <c r="T130" s="40" t="s">
        <v>1375</v>
      </c>
      <c r="U130" s="40" t="s">
        <v>1376</v>
      </c>
      <c r="V130" s="40" t="s">
        <v>1377</v>
      </c>
      <c r="W130" s="40" t="s">
        <v>73</v>
      </c>
      <c r="X130" s="40" t="s">
        <v>86</v>
      </c>
      <c r="Y130" s="40" t="s">
        <v>75</v>
      </c>
      <c r="Z130" s="41">
        <v>45160</v>
      </c>
      <c r="AA130" s="41">
        <v>45161</v>
      </c>
      <c r="AB130" s="40" t="s">
        <v>91</v>
      </c>
      <c r="AC130" s="40"/>
      <c r="AD130" s="40"/>
      <c r="AE130" s="30"/>
      <c r="AF130" s="30"/>
      <c r="AG130" s="30"/>
      <c r="AH130" s="30"/>
      <c r="AI130" s="30"/>
      <c r="AJ130" s="33">
        <f t="shared" si="5"/>
        <v>71382</v>
      </c>
      <c r="AK130" s="37"/>
      <c r="AL130" s="33">
        <f t="shared" si="6"/>
        <v>11851</v>
      </c>
      <c r="AM130" s="37"/>
      <c r="AN130" s="37"/>
      <c r="AO130" s="37">
        <v>935250000</v>
      </c>
      <c r="AP130" s="30"/>
      <c r="AQ130" s="30"/>
      <c r="AR130" s="30"/>
      <c r="AS130" s="30"/>
      <c r="AT130" s="30"/>
      <c r="AU130" s="30"/>
      <c r="AV130" s="38"/>
      <c r="AW130" s="37"/>
      <c r="AX130" s="38"/>
      <c r="AY130" s="37"/>
      <c r="AZ130" s="37"/>
      <c r="BA130" s="34">
        <f t="shared" si="7"/>
        <v>0</v>
      </c>
      <c r="BB130" s="30"/>
      <c r="BC130" s="30"/>
      <c r="BD130" s="30"/>
      <c r="BE130" s="30"/>
      <c r="BF130" s="30"/>
      <c r="BG130" s="30"/>
      <c r="BH130" s="30"/>
      <c r="BI130" s="30"/>
      <c r="BJ130" s="39"/>
      <c r="BK130" s="37"/>
      <c r="BL130" s="39"/>
      <c r="BM130" s="37"/>
      <c r="BN130" s="37"/>
      <c r="BO130" s="34">
        <f t="shared" si="8"/>
        <v>0</v>
      </c>
      <c r="BP130" s="30"/>
      <c r="BQ130" s="30"/>
      <c r="BR130" s="30"/>
      <c r="BS130" s="30"/>
      <c r="BT130" s="30"/>
      <c r="BU130" s="30"/>
      <c r="BV130" s="30"/>
      <c r="BW130" s="30"/>
      <c r="BX130" s="39"/>
      <c r="BY130" s="37"/>
      <c r="BZ130" s="39"/>
      <c r="CA130" s="37"/>
      <c r="CB130" s="37"/>
      <c r="CC130" s="34">
        <f t="shared" si="9"/>
        <v>0</v>
      </c>
      <c r="CD130" s="30"/>
      <c r="CE130" s="30"/>
      <c r="CF130" s="30"/>
      <c r="CG130" s="30"/>
      <c r="CH130" s="30"/>
    </row>
    <row r="131" spans="2:86" ht="409.5" x14ac:dyDescent="0.25">
      <c r="B131" s="40" t="s">
        <v>1368</v>
      </c>
      <c r="C131" s="40" t="s">
        <v>1369</v>
      </c>
      <c r="D131" s="41">
        <v>45190</v>
      </c>
      <c r="E131" s="40" t="s">
        <v>1370</v>
      </c>
      <c r="F131" s="40" t="s">
        <v>97</v>
      </c>
      <c r="G131" s="30"/>
      <c r="H131" s="40" t="s">
        <v>1371</v>
      </c>
      <c r="I131" s="42">
        <v>71382</v>
      </c>
      <c r="J131" s="40" t="s">
        <v>70</v>
      </c>
      <c r="K131" s="42">
        <v>11851</v>
      </c>
      <c r="L131" s="42"/>
      <c r="M131" s="30" t="s">
        <v>1380</v>
      </c>
      <c r="N131" s="30"/>
      <c r="O131" s="30">
        <v>1</v>
      </c>
      <c r="P131" s="30" t="s">
        <v>1381</v>
      </c>
      <c r="Q131" s="30"/>
      <c r="R131" s="40" t="s">
        <v>1373</v>
      </c>
      <c r="S131" s="40" t="s">
        <v>1374</v>
      </c>
      <c r="T131" s="40" t="s">
        <v>1375</v>
      </c>
      <c r="U131" s="40" t="s">
        <v>1376</v>
      </c>
      <c r="V131" s="40" t="s">
        <v>1377</v>
      </c>
      <c r="W131" s="40" t="s">
        <v>73</v>
      </c>
      <c r="X131" s="40" t="s">
        <v>86</v>
      </c>
      <c r="Y131" s="40" t="s">
        <v>75</v>
      </c>
      <c r="Z131" s="41">
        <v>45160</v>
      </c>
      <c r="AA131" s="41">
        <v>45161</v>
      </c>
      <c r="AB131" s="40" t="s">
        <v>91</v>
      </c>
      <c r="AC131" s="40"/>
      <c r="AD131" s="40"/>
      <c r="AE131" s="30"/>
      <c r="AF131" s="30"/>
      <c r="AG131" s="30"/>
      <c r="AH131" s="30"/>
      <c r="AI131" s="30"/>
      <c r="AJ131" s="33">
        <f t="shared" si="5"/>
        <v>71382</v>
      </c>
      <c r="AK131" s="37"/>
      <c r="AL131" s="33">
        <f t="shared" si="6"/>
        <v>11851</v>
      </c>
      <c r="AM131" s="37"/>
      <c r="AN131" s="37"/>
      <c r="AO131" s="37">
        <v>176962330000</v>
      </c>
      <c r="AP131" s="30"/>
      <c r="AQ131" s="30"/>
      <c r="AR131" s="30"/>
      <c r="AS131" s="30"/>
      <c r="AT131" s="30"/>
      <c r="AU131" s="30"/>
      <c r="AV131" s="38"/>
      <c r="AW131" s="37"/>
      <c r="AX131" s="38"/>
      <c r="AY131" s="37"/>
      <c r="AZ131" s="37"/>
      <c r="BA131" s="34">
        <f t="shared" si="7"/>
        <v>0</v>
      </c>
      <c r="BB131" s="30"/>
      <c r="BC131" s="30"/>
      <c r="BD131" s="30"/>
      <c r="BE131" s="30"/>
      <c r="BF131" s="30"/>
      <c r="BG131" s="30"/>
      <c r="BH131" s="30"/>
      <c r="BI131" s="30"/>
      <c r="BJ131" s="39"/>
      <c r="BK131" s="37"/>
      <c r="BL131" s="39"/>
      <c r="BM131" s="37"/>
      <c r="BN131" s="37"/>
      <c r="BO131" s="34">
        <f t="shared" si="8"/>
        <v>0</v>
      </c>
      <c r="BP131" s="30"/>
      <c r="BQ131" s="30"/>
      <c r="BR131" s="30"/>
      <c r="BS131" s="30"/>
      <c r="BT131" s="30"/>
      <c r="BU131" s="30"/>
      <c r="BV131" s="30"/>
      <c r="BW131" s="30"/>
      <c r="BX131" s="39"/>
      <c r="BY131" s="37"/>
      <c r="BZ131" s="39"/>
      <c r="CA131" s="37"/>
      <c r="CB131" s="37"/>
      <c r="CC131" s="34">
        <f t="shared" si="9"/>
        <v>0</v>
      </c>
      <c r="CD131" s="30"/>
      <c r="CE131" s="30"/>
      <c r="CF131" s="30"/>
      <c r="CG131" s="30"/>
      <c r="CH131" s="30"/>
    </row>
    <row r="132" spans="2:86" ht="315" x14ac:dyDescent="0.25">
      <c r="B132" s="40" t="s">
        <v>1368</v>
      </c>
      <c r="C132" s="40" t="s">
        <v>1369</v>
      </c>
      <c r="D132" s="41">
        <v>45190</v>
      </c>
      <c r="E132" s="40" t="s">
        <v>1370</v>
      </c>
      <c r="F132" s="40" t="s">
        <v>97</v>
      </c>
      <c r="G132" s="30"/>
      <c r="H132" s="30" t="s">
        <v>1382</v>
      </c>
      <c r="I132" s="38"/>
      <c r="J132" s="30"/>
      <c r="K132" s="38"/>
      <c r="L132" s="38"/>
      <c r="M132" s="30" t="s">
        <v>1383</v>
      </c>
      <c r="N132" s="30"/>
      <c r="O132" s="30">
        <v>1</v>
      </c>
      <c r="P132" s="30" t="s">
        <v>1384</v>
      </c>
      <c r="Q132" s="30"/>
      <c r="R132" s="30"/>
      <c r="S132" s="30"/>
      <c r="T132" s="30"/>
      <c r="U132" s="30"/>
      <c r="V132" s="30"/>
      <c r="W132" s="30"/>
      <c r="X132" s="40" t="s">
        <v>86</v>
      </c>
      <c r="Y132" s="40" t="s">
        <v>75</v>
      </c>
      <c r="Z132" s="41">
        <v>45160</v>
      </c>
      <c r="AA132" s="41">
        <v>45161</v>
      </c>
      <c r="AB132" s="40" t="s">
        <v>91</v>
      </c>
      <c r="AC132" s="30"/>
      <c r="AD132" s="30"/>
      <c r="AE132" s="30"/>
      <c r="AF132" s="30"/>
      <c r="AG132" s="30"/>
      <c r="AH132" s="30"/>
      <c r="AI132" s="30"/>
      <c r="AJ132" s="33">
        <f t="shared" si="5"/>
        <v>0</v>
      </c>
      <c r="AK132" s="37"/>
      <c r="AL132" s="33">
        <f t="shared" si="6"/>
        <v>0</v>
      </c>
      <c r="AM132" s="37"/>
      <c r="AN132" s="37"/>
      <c r="AO132" s="37">
        <v>122413320000</v>
      </c>
      <c r="AP132" s="30"/>
      <c r="AQ132" s="30"/>
      <c r="AR132" s="30"/>
      <c r="AS132" s="30"/>
      <c r="AT132" s="30"/>
      <c r="AU132" s="30"/>
      <c r="AV132" s="38"/>
      <c r="AW132" s="37"/>
      <c r="AX132" s="38"/>
      <c r="AY132" s="37"/>
      <c r="AZ132" s="37"/>
      <c r="BA132" s="34">
        <f t="shared" si="7"/>
        <v>0</v>
      </c>
      <c r="BB132" s="30"/>
      <c r="BC132" s="30"/>
      <c r="BD132" s="30"/>
      <c r="BE132" s="30"/>
      <c r="BF132" s="30"/>
      <c r="BG132" s="30"/>
      <c r="BH132" s="30"/>
      <c r="BI132" s="30"/>
      <c r="BJ132" s="39"/>
      <c r="BK132" s="37"/>
      <c r="BL132" s="39"/>
      <c r="BM132" s="37"/>
      <c r="BN132" s="37"/>
      <c r="BO132" s="34">
        <f t="shared" si="8"/>
        <v>0</v>
      </c>
      <c r="BP132" s="30"/>
      <c r="BQ132" s="30"/>
      <c r="BR132" s="30"/>
      <c r="BS132" s="30"/>
      <c r="BT132" s="30"/>
      <c r="BU132" s="30"/>
      <c r="BV132" s="30"/>
      <c r="BW132" s="30"/>
      <c r="BX132" s="39"/>
      <c r="BY132" s="37"/>
      <c r="BZ132" s="39"/>
      <c r="CA132" s="37"/>
      <c r="CB132" s="37"/>
      <c r="CC132" s="34">
        <f t="shared" si="9"/>
        <v>0</v>
      </c>
      <c r="CD132" s="30"/>
      <c r="CE132" s="30"/>
      <c r="CF132" s="30"/>
      <c r="CG132" s="30"/>
      <c r="CH132" s="30"/>
    </row>
    <row r="133" spans="2:86" ht="105" x14ac:dyDescent="0.25">
      <c r="B133" s="40" t="s">
        <v>1368</v>
      </c>
      <c r="C133" s="40" t="s">
        <v>1369</v>
      </c>
      <c r="D133" s="41">
        <v>45190</v>
      </c>
      <c r="E133" s="40" t="s">
        <v>1370</v>
      </c>
      <c r="F133" s="40" t="s">
        <v>97</v>
      </c>
      <c r="G133" s="30"/>
      <c r="H133" s="30" t="s">
        <v>1385</v>
      </c>
      <c r="I133" s="38"/>
      <c r="J133" s="30"/>
      <c r="K133" s="38"/>
      <c r="L133" s="38"/>
      <c r="M133" s="30" t="s">
        <v>1386</v>
      </c>
      <c r="N133" s="30"/>
      <c r="O133" s="30"/>
      <c r="P133" s="30"/>
      <c r="Q133" s="30"/>
      <c r="R133" s="30"/>
      <c r="S133" s="30"/>
      <c r="T133" s="30"/>
      <c r="U133" s="30"/>
      <c r="V133" s="30"/>
      <c r="W133" s="30"/>
      <c r="X133" s="40" t="s">
        <v>86</v>
      </c>
      <c r="Y133" s="40" t="s">
        <v>75</v>
      </c>
      <c r="Z133" s="41">
        <v>45160</v>
      </c>
      <c r="AA133" s="41">
        <v>45161</v>
      </c>
      <c r="AB133" s="40" t="s">
        <v>91</v>
      </c>
      <c r="AC133" s="30"/>
      <c r="AD133" s="30"/>
      <c r="AE133" s="30"/>
      <c r="AF133" s="30"/>
      <c r="AG133" s="30"/>
      <c r="AH133" s="30"/>
      <c r="AI133" s="30"/>
      <c r="AJ133" s="33">
        <f t="shared" ref="AJ133:AJ194" si="10">I133</f>
        <v>0</v>
      </c>
      <c r="AK133" s="37"/>
      <c r="AL133" s="33">
        <f t="shared" ref="AL133:AL194" si="11">K133</f>
        <v>0</v>
      </c>
      <c r="AM133" s="37"/>
      <c r="AN133" s="37"/>
      <c r="AO133" s="37">
        <v>4840495000</v>
      </c>
      <c r="AP133" s="30"/>
      <c r="AQ133" s="30"/>
      <c r="AR133" s="30"/>
      <c r="AS133" s="30"/>
      <c r="AT133" s="30"/>
      <c r="AU133" s="30"/>
      <c r="AV133" s="38"/>
      <c r="AW133" s="37"/>
      <c r="AX133" s="38"/>
      <c r="AY133" s="37"/>
      <c r="AZ133" s="37"/>
      <c r="BA133" s="34">
        <f t="shared" ref="BA133:BA194" si="12">AV133*AW133</f>
        <v>0</v>
      </c>
      <c r="BB133" s="30"/>
      <c r="BC133" s="30"/>
      <c r="BD133" s="30"/>
      <c r="BE133" s="30"/>
      <c r="BF133" s="30"/>
      <c r="BG133" s="30"/>
      <c r="BH133" s="30"/>
      <c r="BI133" s="30"/>
      <c r="BJ133" s="39"/>
      <c r="BK133" s="37"/>
      <c r="BL133" s="39"/>
      <c r="BM133" s="37"/>
      <c r="BN133" s="37"/>
      <c r="BO133" s="34">
        <f t="shared" ref="BO133:BO194" si="13">BJ133*BK133</f>
        <v>0</v>
      </c>
      <c r="BP133" s="30"/>
      <c r="BQ133" s="30"/>
      <c r="BR133" s="30"/>
      <c r="BS133" s="30"/>
      <c r="BT133" s="30"/>
      <c r="BU133" s="30"/>
      <c r="BV133" s="30"/>
      <c r="BW133" s="30"/>
      <c r="BX133" s="39"/>
      <c r="BY133" s="37"/>
      <c r="BZ133" s="39"/>
      <c r="CA133" s="37"/>
      <c r="CB133" s="37"/>
      <c r="CC133" s="34">
        <f t="shared" ref="CC133:CC194" si="14">BX133*BY133</f>
        <v>0</v>
      </c>
      <c r="CD133" s="30"/>
      <c r="CE133" s="30"/>
      <c r="CF133" s="30"/>
      <c r="CG133" s="30"/>
      <c r="CH133" s="30"/>
    </row>
    <row r="134" spans="2:86" ht="165" x14ac:dyDescent="0.25">
      <c r="B134" s="30" t="s">
        <v>1387</v>
      </c>
      <c r="C134" s="30" t="s">
        <v>1388</v>
      </c>
      <c r="D134" s="36">
        <v>45190</v>
      </c>
      <c r="E134" s="30" t="s">
        <v>811</v>
      </c>
      <c r="F134" s="30" t="s">
        <v>811</v>
      </c>
      <c r="G134" s="30"/>
      <c r="H134" s="30" t="s">
        <v>84</v>
      </c>
      <c r="I134" s="38">
        <v>104</v>
      </c>
      <c r="J134" s="30" t="s">
        <v>70</v>
      </c>
      <c r="K134" s="38">
        <v>147</v>
      </c>
      <c r="L134" s="38"/>
      <c r="M134" s="30"/>
      <c r="N134" s="30"/>
      <c r="O134" s="30"/>
      <c r="P134" s="30"/>
      <c r="Q134" s="30" t="s">
        <v>1389</v>
      </c>
      <c r="R134" s="30" t="s">
        <v>1390</v>
      </c>
      <c r="S134" s="30" t="s">
        <v>1391</v>
      </c>
      <c r="T134" s="30" t="s">
        <v>1392</v>
      </c>
      <c r="U134" s="30" t="s">
        <v>135</v>
      </c>
      <c r="V134" s="30" t="s">
        <v>95</v>
      </c>
      <c r="W134" s="30" t="s">
        <v>73</v>
      </c>
      <c r="X134" s="30" t="s">
        <v>638</v>
      </c>
      <c r="Y134" s="30" t="s">
        <v>1286</v>
      </c>
      <c r="Z134" s="36">
        <v>45181</v>
      </c>
      <c r="AA134" s="36">
        <v>45181</v>
      </c>
      <c r="AB134" s="30" t="s">
        <v>91</v>
      </c>
      <c r="AC134" s="30"/>
      <c r="AD134" s="30"/>
      <c r="AE134" s="30"/>
      <c r="AF134" s="30"/>
      <c r="AG134" s="30"/>
      <c r="AH134" s="30"/>
      <c r="AI134" s="30"/>
      <c r="AJ134" s="33">
        <f t="shared" si="10"/>
        <v>104</v>
      </c>
      <c r="AK134" s="37">
        <v>5900000</v>
      </c>
      <c r="AL134" s="33">
        <f t="shared" si="11"/>
        <v>147</v>
      </c>
      <c r="AM134" s="37"/>
      <c r="AN134" s="37"/>
      <c r="AO134" s="37">
        <v>984000000</v>
      </c>
      <c r="AP134" s="30" t="s">
        <v>1393</v>
      </c>
      <c r="AQ134" s="30" t="s">
        <v>84</v>
      </c>
      <c r="AR134" s="30"/>
      <c r="AS134" s="30"/>
      <c r="AT134" s="30"/>
      <c r="AU134" s="30"/>
      <c r="AV134" s="38">
        <v>104</v>
      </c>
      <c r="AW134" s="37">
        <v>5914279</v>
      </c>
      <c r="AX134" s="38">
        <v>60</v>
      </c>
      <c r="AY134" s="37"/>
      <c r="AZ134" s="37">
        <v>800000000</v>
      </c>
      <c r="BA134" s="34">
        <f t="shared" si="12"/>
        <v>615085016</v>
      </c>
      <c r="BB134" s="30" t="s">
        <v>1394</v>
      </c>
      <c r="BC134" s="30" t="s">
        <v>82</v>
      </c>
      <c r="BD134" s="30" t="s">
        <v>1395</v>
      </c>
      <c r="BE134" s="30" t="s">
        <v>84</v>
      </c>
      <c r="BF134" s="30"/>
      <c r="BG134" s="30"/>
      <c r="BH134" s="30"/>
      <c r="BI134" s="30"/>
      <c r="BJ134" s="39">
        <v>125</v>
      </c>
      <c r="BK134" s="37">
        <v>6220704</v>
      </c>
      <c r="BL134" s="39">
        <v>140</v>
      </c>
      <c r="BM134" s="37"/>
      <c r="BN134" s="37">
        <v>1200000000</v>
      </c>
      <c r="BO134" s="34">
        <f t="shared" si="13"/>
        <v>777588000</v>
      </c>
      <c r="BP134" s="30" t="s">
        <v>1396</v>
      </c>
      <c r="BQ134" s="30" t="s">
        <v>82</v>
      </c>
      <c r="BR134" s="30" t="s">
        <v>1397</v>
      </c>
      <c r="BS134" s="30" t="s">
        <v>84</v>
      </c>
      <c r="BT134" s="30"/>
      <c r="BU134" s="30"/>
      <c r="BV134" s="30"/>
      <c r="BW134" s="30"/>
      <c r="BX134" s="39">
        <v>60</v>
      </c>
      <c r="BY134" s="37">
        <v>6271896</v>
      </c>
      <c r="BZ134" s="39">
        <v>45</v>
      </c>
      <c r="CA134" s="37"/>
      <c r="CB134" s="37">
        <v>490000000</v>
      </c>
      <c r="CC134" s="34">
        <f t="shared" si="14"/>
        <v>376313760</v>
      </c>
      <c r="CD134" s="30" t="s">
        <v>1398</v>
      </c>
      <c r="CE134" s="30" t="s">
        <v>82</v>
      </c>
      <c r="CF134" s="30" t="s">
        <v>644</v>
      </c>
      <c r="CG134" s="30"/>
      <c r="CH134" s="30"/>
    </row>
    <row r="135" spans="2:86" ht="105" x14ac:dyDescent="0.25">
      <c r="B135" s="30" t="s">
        <v>1399</v>
      </c>
      <c r="C135" s="30" t="s">
        <v>1400</v>
      </c>
      <c r="D135" s="36">
        <v>45196</v>
      </c>
      <c r="E135" s="30" t="s">
        <v>1401</v>
      </c>
      <c r="F135" s="30" t="s">
        <v>97</v>
      </c>
      <c r="G135" s="30"/>
      <c r="H135" s="30" t="s">
        <v>1402</v>
      </c>
      <c r="I135" s="38">
        <v>12150</v>
      </c>
      <c r="J135" s="30" t="s">
        <v>70</v>
      </c>
      <c r="K135" s="38">
        <v>998</v>
      </c>
      <c r="L135" s="38"/>
      <c r="M135" s="30" t="s">
        <v>1403</v>
      </c>
      <c r="N135" s="30"/>
      <c r="O135" s="30"/>
      <c r="P135" s="30"/>
      <c r="Q135" s="30"/>
      <c r="R135" s="30" t="s">
        <v>1404</v>
      </c>
      <c r="S135" s="30" t="s">
        <v>1405</v>
      </c>
      <c r="T135" s="30" t="s">
        <v>1406</v>
      </c>
      <c r="U135" s="30" t="s">
        <v>141</v>
      </c>
      <c r="V135" s="30" t="s">
        <v>95</v>
      </c>
      <c r="W135" s="30" t="s">
        <v>73</v>
      </c>
      <c r="X135" s="30" t="s">
        <v>86</v>
      </c>
      <c r="Y135" s="30" t="s">
        <v>75</v>
      </c>
      <c r="Z135" s="36">
        <v>45154</v>
      </c>
      <c r="AA135" s="36">
        <v>45154</v>
      </c>
      <c r="AB135" s="30" t="s">
        <v>91</v>
      </c>
      <c r="AC135" s="30"/>
      <c r="AD135" s="30"/>
      <c r="AE135" s="30"/>
      <c r="AF135" s="30"/>
      <c r="AG135" s="30"/>
      <c r="AH135" s="30"/>
      <c r="AI135" s="30"/>
      <c r="AJ135" s="33">
        <f t="shared" si="10"/>
        <v>12150</v>
      </c>
      <c r="AK135" s="37">
        <v>2500000</v>
      </c>
      <c r="AL135" s="33">
        <f t="shared" si="11"/>
        <v>998</v>
      </c>
      <c r="AM135" s="37"/>
      <c r="AN135" s="37"/>
      <c r="AO135" s="37">
        <v>31598900000</v>
      </c>
      <c r="AP135" s="30" t="s">
        <v>1407</v>
      </c>
      <c r="AQ135" s="30" t="s">
        <v>78</v>
      </c>
      <c r="AR135" s="30"/>
      <c r="AS135" s="30"/>
      <c r="AT135" s="30"/>
      <c r="AU135" s="30"/>
      <c r="AV135" s="38">
        <v>10000</v>
      </c>
      <c r="AW135" s="37">
        <v>2250000</v>
      </c>
      <c r="AX135" s="38"/>
      <c r="AY135" s="37"/>
      <c r="AZ135" s="37">
        <v>25000000000</v>
      </c>
      <c r="BA135" s="34">
        <f t="shared" si="12"/>
        <v>22500000000</v>
      </c>
      <c r="BB135" s="30" t="s">
        <v>507</v>
      </c>
      <c r="BC135" s="30" t="s">
        <v>82</v>
      </c>
      <c r="BD135" s="30" t="s">
        <v>1407</v>
      </c>
      <c r="BE135" s="30" t="s">
        <v>78</v>
      </c>
      <c r="BF135" s="30"/>
      <c r="BG135" s="30"/>
      <c r="BH135" s="30"/>
      <c r="BI135" s="30"/>
      <c r="BJ135" s="39">
        <v>6000</v>
      </c>
      <c r="BK135" s="37">
        <v>2650000</v>
      </c>
      <c r="BL135" s="39"/>
      <c r="BM135" s="37"/>
      <c r="BN135" s="37">
        <v>19200000000</v>
      </c>
      <c r="BO135" s="34">
        <f t="shared" si="13"/>
        <v>15900000000</v>
      </c>
      <c r="BP135" s="30" t="s">
        <v>1408</v>
      </c>
      <c r="BQ135" s="30" t="s">
        <v>82</v>
      </c>
      <c r="BR135" s="30" t="s">
        <v>1407</v>
      </c>
      <c r="BS135" s="30" t="s">
        <v>78</v>
      </c>
      <c r="BT135" s="30"/>
      <c r="BU135" s="30"/>
      <c r="BV135" s="30"/>
      <c r="BW135" s="30"/>
      <c r="BX135" s="39">
        <v>4700</v>
      </c>
      <c r="BY135" s="37">
        <v>2700000</v>
      </c>
      <c r="BZ135" s="39"/>
      <c r="CA135" s="37"/>
      <c r="CB135" s="37">
        <v>14100000000</v>
      </c>
      <c r="CC135" s="34">
        <f t="shared" si="14"/>
        <v>12690000000</v>
      </c>
      <c r="CD135" s="30" t="s">
        <v>1409</v>
      </c>
      <c r="CE135" s="30" t="s">
        <v>82</v>
      </c>
      <c r="CF135" s="30" t="s">
        <v>874</v>
      </c>
      <c r="CG135" s="30"/>
      <c r="CH135" s="30"/>
    </row>
    <row r="136" spans="2:86" ht="135" x14ac:dyDescent="0.25">
      <c r="B136" s="30" t="s">
        <v>1399</v>
      </c>
      <c r="C136" s="30" t="s">
        <v>1400</v>
      </c>
      <c r="D136" s="36">
        <v>45196</v>
      </c>
      <c r="E136" s="30" t="s">
        <v>1401</v>
      </c>
      <c r="F136" s="30" t="s">
        <v>97</v>
      </c>
      <c r="G136" s="30"/>
      <c r="H136" s="30" t="s">
        <v>1385</v>
      </c>
      <c r="I136" s="38"/>
      <c r="J136" s="30"/>
      <c r="K136" s="38"/>
      <c r="L136" s="38"/>
      <c r="M136" s="30" t="s">
        <v>1410</v>
      </c>
      <c r="N136" s="30"/>
      <c r="O136" s="30"/>
      <c r="P136" s="30"/>
      <c r="Q136" s="30"/>
      <c r="R136" s="30" t="s">
        <v>1404</v>
      </c>
      <c r="S136" s="30" t="s">
        <v>1405</v>
      </c>
      <c r="T136" s="30" t="s">
        <v>1406</v>
      </c>
      <c r="U136" s="30" t="s">
        <v>141</v>
      </c>
      <c r="V136" s="30" t="s">
        <v>95</v>
      </c>
      <c r="W136" s="30" t="s">
        <v>73</v>
      </c>
      <c r="X136" s="30" t="s">
        <v>86</v>
      </c>
      <c r="Y136" s="30" t="s">
        <v>75</v>
      </c>
      <c r="Z136" s="36">
        <v>45154</v>
      </c>
      <c r="AA136" s="36">
        <v>45154</v>
      </c>
      <c r="AB136" s="30" t="s">
        <v>91</v>
      </c>
      <c r="AC136" s="30"/>
      <c r="AD136" s="30"/>
      <c r="AE136" s="30"/>
      <c r="AF136" s="30"/>
      <c r="AG136" s="30"/>
      <c r="AH136" s="30"/>
      <c r="AI136" s="30"/>
      <c r="AJ136" s="33">
        <f t="shared" si="10"/>
        <v>0</v>
      </c>
      <c r="AK136" s="37"/>
      <c r="AL136" s="33">
        <f t="shared" si="11"/>
        <v>0</v>
      </c>
      <c r="AM136" s="37"/>
      <c r="AN136" s="37"/>
      <c r="AO136" s="37">
        <v>728755000</v>
      </c>
      <c r="AP136" s="30"/>
      <c r="AQ136" s="30"/>
      <c r="AR136" s="30"/>
      <c r="AS136" s="30"/>
      <c r="AT136" s="30"/>
      <c r="AU136" s="30"/>
      <c r="AV136" s="38"/>
      <c r="AW136" s="37"/>
      <c r="AX136" s="38"/>
      <c r="AY136" s="37"/>
      <c r="AZ136" s="37"/>
      <c r="BA136" s="34">
        <f t="shared" si="12"/>
        <v>0</v>
      </c>
      <c r="BB136" s="30"/>
      <c r="BC136" s="30"/>
      <c r="BD136" s="30"/>
      <c r="BE136" s="30"/>
      <c r="BF136" s="30"/>
      <c r="BG136" s="30"/>
      <c r="BH136" s="30"/>
      <c r="BI136" s="30"/>
      <c r="BJ136" s="39"/>
      <c r="BK136" s="37"/>
      <c r="BL136" s="39"/>
      <c r="BM136" s="37"/>
      <c r="BN136" s="37"/>
      <c r="BO136" s="34">
        <f t="shared" si="13"/>
        <v>0</v>
      </c>
      <c r="BP136" s="30"/>
      <c r="BQ136" s="30"/>
      <c r="BR136" s="30"/>
      <c r="BS136" s="30"/>
      <c r="BT136" s="30"/>
      <c r="BU136" s="30"/>
      <c r="BV136" s="30"/>
      <c r="BW136" s="30"/>
      <c r="BX136" s="39"/>
      <c r="BY136" s="37"/>
      <c r="BZ136" s="39"/>
      <c r="CA136" s="37"/>
      <c r="CB136" s="37"/>
      <c r="CC136" s="34">
        <f t="shared" si="14"/>
        <v>0</v>
      </c>
      <c r="CD136" s="30"/>
      <c r="CE136" s="30"/>
      <c r="CF136" s="30" t="s">
        <v>874</v>
      </c>
      <c r="CG136" s="30"/>
      <c r="CH136" s="30"/>
    </row>
    <row r="137" spans="2:86" ht="105" x14ac:dyDescent="0.25">
      <c r="B137" s="30" t="s">
        <v>1399</v>
      </c>
      <c r="C137" s="30" t="s">
        <v>1400</v>
      </c>
      <c r="D137" s="36">
        <v>45196</v>
      </c>
      <c r="E137" s="30" t="s">
        <v>1401</v>
      </c>
      <c r="F137" s="30" t="s">
        <v>97</v>
      </c>
      <c r="G137" s="30"/>
      <c r="H137" s="30" t="s">
        <v>144</v>
      </c>
      <c r="I137" s="38"/>
      <c r="J137" s="30"/>
      <c r="K137" s="38"/>
      <c r="L137" s="38"/>
      <c r="M137" s="30" t="s">
        <v>1411</v>
      </c>
      <c r="N137" s="30"/>
      <c r="O137" s="30">
        <v>1</v>
      </c>
      <c r="P137" s="30" t="s">
        <v>164</v>
      </c>
      <c r="Q137" s="30"/>
      <c r="R137" s="30" t="s">
        <v>1404</v>
      </c>
      <c r="S137" s="30" t="s">
        <v>1405</v>
      </c>
      <c r="T137" s="30" t="s">
        <v>1406</v>
      </c>
      <c r="U137" s="30" t="s">
        <v>141</v>
      </c>
      <c r="V137" s="30" t="s">
        <v>95</v>
      </c>
      <c r="W137" s="30" t="s">
        <v>73</v>
      </c>
      <c r="X137" s="30" t="s">
        <v>86</v>
      </c>
      <c r="Y137" s="30" t="s">
        <v>75</v>
      </c>
      <c r="Z137" s="36">
        <v>45154</v>
      </c>
      <c r="AA137" s="36">
        <v>45154</v>
      </c>
      <c r="AB137" s="30" t="s">
        <v>91</v>
      </c>
      <c r="AC137" s="30" t="s">
        <v>1412</v>
      </c>
      <c r="AD137" s="30"/>
      <c r="AE137" s="30" t="s">
        <v>1413</v>
      </c>
      <c r="AF137" s="30"/>
      <c r="AG137" s="30"/>
      <c r="AH137" s="30"/>
      <c r="AI137" s="30"/>
      <c r="AJ137" s="33">
        <f t="shared" si="10"/>
        <v>0</v>
      </c>
      <c r="AK137" s="37"/>
      <c r="AL137" s="33">
        <f t="shared" si="11"/>
        <v>0</v>
      </c>
      <c r="AM137" s="37"/>
      <c r="AN137" s="37"/>
      <c r="AO137" s="37">
        <v>463000000</v>
      </c>
      <c r="AP137" s="30" t="s">
        <v>1414</v>
      </c>
      <c r="AQ137" s="30" t="s">
        <v>144</v>
      </c>
      <c r="AR137" s="30"/>
      <c r="AS137" s="30"/>
      <c r="AT137" s="30" t="s">
        <v>1415</v>
      </c>
      <c r="AU137" s="30">
        <v>2009</v>
      </c>
      <c r="AV137" s="38"/>
      <c r="AW137" s="37"/>
      <c r="AX137" s="38"/>
      <c r="AY137" s="37"/>
      <c r="AZ137" s="37">
        <v>250000000</v>
      </c>
      <c r="BA137" s="34">
        <f t="shared" si="12"/>
        <v>0</v>
      </c>
      <c r="BB137" s="30" t="s">
        <v>1416</v>
      </c>
      <c r="BC137" s="30" t="s">
        <v>82</v>
      </c>
      <c r="BD137" s="30" t="s">
        <v>193</v>
      </c>
      <c r="BE137" s="30" t="s">
        <v>144</v>
      </c>
      <c r="BF137" s="30"/>
      <c r="BG137" s="30"/>
      <c r="BH137" s="30" t="s">
        <v>1417</v>
      </c>
      <c r="BI137" s="30">
        <v>2010</v>
      </c>
      <c r="BJ137" s="39"/>
      <c r="BK137" s="37"/>
      <c r="BL137" s="39"/>
      <c r="BM137" s="37"/>
      <c r="BN137" s="37">
        <v>285000000</v>
      </c>
      <c r="BO137" s="34">
        <f t="shared" si="13"/>
        <v>0</v>
      </c>
      <c r="BP137" s="30" t="s">
        <v>1418</v>
      </c>
      <c r="BQ137" s="30" t="s">
        <v>82</v>
      </c>
      <c r="BR137" s="30" t="s">
        <v>1419</v>
      </c>
      <c r="BS137" s="30" t="s">
        <v>144</v>
      </c>
      <c r="BT137" s="30"/>
      <c r="BU137" s="30"/>
      <c r="BV137" s="30" t="s">
        <v>1417</v>
      </c>
      <c r="BW137" s="30">
        <v>2011</v>
      </c>
      <c r="BX137" s="39"/>
      <c r="BY137" s="37"/>
      <c r="BZ137" s="39"/>
      <c r="CA137" s="37"/>
      <c r="CB137" s="37">
        <v>295000000</v>
      </c>
      <c r="CC137" s="34">
        <f t="shared" si="14"/>
        <v>0</v>
      </c>
      <c r="CD137" s="30"/>
      <c r="CE137" s="30" t="s">
        <v>82</v>
      </c>
      <c r="CF137" s="30" t="s">
        <v>874</v>
      </c>
      <c r="CG137" s="30"/>
      <c r="CH137" s="30"/>
    </row>
    <row r="138" spans="2:86" ht="330" x14ac:dyDescent="0.25">
      <c r="B138" s="30" t="s">
        <v>1399</v>
      </c>
      <c r="C138" s="30" t="s">
        <v>1400</v>
      </c>
      <c r="D138" s="36">
        <v>45196</v>
      </c>
      <c r="E138" s="30" t="s">
        <v>1401</v>
      </c>
      <c r="F138" s="30" t="s">
        <v>97</v>
      </c>
      <c r="G138" s="30"/>
      <c r="H138" s="30" t="s">
        <v>823</v>
      </c>
      <c r="I138" s="38"/>
      <c r="J138" s="30"/>
      <c r="K138" s="38"/>
      <c r="L138" s="38"/>
      <c r="M138" s="30" t="s">
        <v>1420</v>
      </c>
      <c r="N138" s="30"/>
      <c r="O138" s="30"/>
      <c r="P138" s="30"/>
      <c r="Q138" s="30"/>
      <c r="R138" s="30" t="s">
        <v>1404</v>
      </c>
      <c r="S138" s="30" t="s">
        <v>1405</v>
      </c>
      <c r="T138" s="30" t="s">
        <v>1406</v>
      </c>
      <c r="U138" s="30" t="s">
        <v>141</v>
      </c>
      <c r="V138" s="30" t="s">
        <v>95</v>
      </c>
      <c r="W138" s="30" t="s">
        <v>73</v>
      </c>
      <c r="X138" s="30" t="s">
        <v>86</v>
      </c>
      <c r="Y138" s="30" t="s">
        <v>75</v>
      </c>
      <c r="Z138" s="36">
        <v>45154</v>
      </c>
      <c r="AA138" s="36">
        <v>45154</v>
      </c>
      <c r="AB138" s="30" t="s">
        <v>91</v>
      </c>
      <c r="AC138" s="30"/>
      <c r="AD138" s="30"/>
      <c r="AE138" s="30"/>
      <c r="AF138" s="30"/>
      <c r="AG138" s="30"/>
      <c r="AH138" s="30"/>
      <c r="AI138" s="30"/>
      <c r="AJ138" s="33">
        <f t="shared" si="10"/>
        <v>0</v>
      </c>
      <c r="AK138" s="37"/>
      <c r="AL138" s="33">
        <f t="shared" si="11"/>
        <v>0</v>
      </c>
      <c r="AM138" s="37"/>
      <c r="AN138" s="37"/>
      <c r="AO138" s="37">
        <v>2320500000</v>
      </c>
      <c r="AP138" s="30"/>
      <c r="AQ138" s="30"/>
      <c r="AR138" s="30"/>
      <c r="AS138" s="30"/>
      <c r="AT138" s="30"/>
      <c r="AU138" s="30"/>
      <c r="AV138" s="38"/>
      <c r="AW138" s="37"/>
      <c r="AX138" s="38"/>
      <c r="AY138" s="37"/>
      <c r="AZ138" s="37"/>
      <c r="BA138" s="34">
        <f t="shared" si="12"/>
        <v>0</v>
      </c>
      <c r="BB138" s="30"/>
      <c r="BC138" s="30"/>
      <c r="BD138" s="30"/>
      <c r="BE138" s="30"/>
      <c r="BF138" s="30"/>
      <c r="BG138" s="30"/>
      <c r="BH138" s="30"/>
      <c r="BI138" s="30"/>
      <c r="BJ138" s="39"/>
      <c r="BK138" s="37"/>
      <c r="BL138" s="39"/>
      <c r="BM138" s="37"/>
      <c r="BN138" s="37"/>
      <c r="BO138" s="34">
        <f t="shared" si="13"/>
        <v>0</v>
      </c>
      <c r="BP138" s="30"/>
      <c r="BQ138" s="30"/>
      <c r="BR138" s="30"/>
      <c r="BS138" s="30"/>
      <c r="BT138" s="30"/>
      <c r="BU138" s="30"/>
      <c r="BV138" s="30"/>
      <c r="BW138" s="30"/>
      <c r="BX138" s="39"/>
      <c r="BY138" s="37"/>
      <c r="BZ138" s="39"/>
      <c r="CA138" s="37"/>
      <c r="CB138" s="37"/>
      <c r="CC138" s="34">
        <f t="shared" si="14"/>
        <v>0</v>
      </c>
      <c r="CD138" s="30"/>
      <c r="CE138" s="30"/>
      <c r="CF138" s="30" t="s">
        <v>874</v>
      </c>
      <c r="CG138" s="30"/>
      <c r="CH138" s="30"/>
    </row>
    <row r="139" spans="2:86" ht="150" x14ac:dyDescent="0.25">
      <c r="B139" s="30" t="s">
        <v>1421</v>
      </c>
      <c r="C139" s="30" t="s">
        <v>1422</v>
      </c>
      <c r="D139" s="36">
        <v>45204</v>
      </c>
      <c r="E139" s="30" t="s">
        <v>1423</v>
      </c>
      <c r="F139" s="30" t="s">
        <v>1423</v>
      </c>
      <c r="G139" s="30"/>
      <c r="H139" s="30" t="s">
        <v>84</v>
      </c>
      <c r="I139" s="38">
        <v>377</v>
      </c>
      <c r="J139" s="30" t="s">
        <v>70</v>
      </c>
      <c r="K139" s="38">
        <v>382</v>
      </c>
      <c r="L139" s="38"/>
      <c r="M139" s="30"/>
      <c r="N139" s="30"/>
      <c r="O139" s="30"/>
      <c r="P139" s="30"/>
      <c r="Q139" s="30"/>
      <c r="R139" s="30" t="s">
        <v>1424</v>
      </c>
      <c r="S139" s="30" t="s">
        <v>1425</v>
      </c>
      <c r="T139" s="30" t="s">
        <v>1426</v>
      </c>
      <c r="U139" s="30" t="s">
        <v>118</v>
      </c>
      <c r="V139" s="30" t="s">
        <v>95</v>
      </c>
      <c r="W139" s="30" t="s">
        <v>73</v>
      </c>
      <c r="X139" s="30" t="s">
        <v>146</v>
      </c>
      <c r="Y139" s="30" t="s">
        <v>75</v>
      </c>
      <c r="Z139" s="36">
        <v>45149</v>
      </c>
      <c r="AA139" s="36">
        <v>45149</v>
      </c>
      <c r="AB139" s="30" t="s">
        <v>91</v>
      </c>
      <c r="AC139" s="30"/>
      <c r="AD139" s="30"/>
      <c r="AE139" s="30"/>
      <c r="AF139" s="30"/>
      <c r="AG139" s="30"/>
      <c r="AH139" s="30"/>
      <c r="AI139" s="30"/>
      <c r="AJ139" s="33">
        <f t="shared" si="10"/>
        <v>377</v>
      </c>
      <c r="AK139" s="37">
        <v>18700000</v>
      </c>
      <c r="AL139" s="33">
        <f t="shared" si="11"/>
        <v>382</v>
      </c>
      <c r="AM139" s="37"/>
      <c r="AN139" s="37"/>
      <c r="AO139" s="37">
        <v>7875000000</v>
      </c>
      <c r="AP139" s="30" t="s">
        <v>1427</v>
      </c>
      <c r="AQ139" s="30" t="s">
        <v>78</v>
      </c>
      <c r="AR139" s="30"/>
      <c r="AS139" s="30"/>
      <c r="AT139" s="30"/>
      <c r="AU139" s="30"/>
      <c r="AV139" s="38">
        <v>3680</v>
      </c>
      <c r="AW139" s="37">
        <v>22100000</v>
      </c>
      <c r="AX139" s="38"/>
      <c r="AY139" s="37"/>
      <c r="AZ139" s="37">
        <v>95680000000</v>
      </c>
      <c r="BA139" s="34">
        <f t="shared" si="12"/>
        <v>81328000000</v>
      </c>
      <c r="BB139" s="30" t="s">
        <v>1428</v>
      </c>
      <c r="BC139" s="30" t="s">
        <v>82</v>
      </c>
      <c r="BD139" s="30" t="s">
        <v>1429</v>
      </c>
      <c r="BE139" s="30" t="s">
        <v>101</v>
      </c>
      <c r="BF139" s="30"/>
      <c r="BG139" s="30"/>
      <c r="BH139" s="30"/>
      <c r="BI139" s="30"/>
      <c r="BJ139" s="39">
        <v>300</v>
      </c>
      <c r="BK139" s="37">
        <v>11237433</v>
      </c>
      <c r="BL139" s="39">
        <v>56</v>
      </c>
      <c r="BM139" s="37"/>
      <c r="BN139" s="37">
        <v>3600000000</v>
      </c>
      <c r="BO139" s="34">
        <f t="shared" si="13"/>
        <v>3371229900</v>
      </c>
      <c r="BP139" s="30" t="s">
        <v>1430</v>
      </c>
      <c r="BQ139" s="30" t="s">
        <v>82</v>
      </c>
      <c r="BR139" s="30" t="s">
        <v>1431</v>
      </c>
      <c r="BS139" s="30" t="s">
        <v>84</v>
      </c>
      <c r="BT139" s="30"/>
      <c r="BU139" s="30"/>
      <c r="BV139" s="30"/>
      <c r="BW139" s="30"/>
      <c r="BX139" s="39">
        <v>225</v>
      </c>
      <c r="BY139" s="37">
        <v>12344667</v>
      </c>
      <c r="BZ139" s="39">
        <v>250</v>
      </c>
      <c r="CA139" s="37"/>
      <c r="CB139" s="37">
        <v>4000000000</v>
      </c>
      <c r="CC139" s="34">
        <f t="shared" si="14"/>
        <v>2777550075</v>
      </c>
      <c r="CD139" s="30" t="s">
        <v>1432</v>
      </c>
      <c r="CE139" s="30" t="s">
        <v>82</v>
      </c>
      <c r="CF139" s="30" t="s">
        <v>1433</v>
      </c>
      <c r="CG139" s="30"/>
      <c r="CH139" s="30"/>
    </row>
    <row r="140" spans="2:86" ht="120" x14ac:dyDescent="0.25">
      <c r="B140" s="30" t="s">
        <v>1434</v>
      </c>
      <c r="C140" s="30" t="s">
        <v>1435</v>
      </c>
      <c r="D140" s="36">
        <v>45209</v>
      </c>
      <c r="E140" s="30" t="s">
        <v>743</v>
      </c>
      <c r="F140" s="30" t="s">
        <v>743</v>
      </c>
      <c r="G140" s="30"/>
      <c r="H140" s="30" t="s">
        <v>101</v>
      </c>
      <c r="I140" s="38">
        <v>10005</v>
      </c>
      <c r="J140" s="30" t="s">
        <v>70</v>
      </c>
      <c r="K140" s="38">
        <v>887</v>
      </c>
      <c r="L140" s="38"/>
      <c r="M140" s="30"/>
      <c r="N140" s="30"/>
      <c r="O140" s="30"/>
      <c r="P140" s="30"/>
      <c r="Q140" s="30"/>
      <c r="R140" s="30" t="s">
        <v>1436</v>
      </c>
      <c r="S140" s="30" t="s">
        <v>1437</v>
      </c>
      <c r="T140" s="30" t="s">
        <v>670</v>
      </c>
      <c r="U140" s="30" t="s">
        <v>135</v>
      </c>
      <c r="V140" s="30" t="s">
        <v>95</v>
      </c>
      <c r="W140" s="30" t="s">
        <v>73</v>
      </c>
      <c r="X140" s="30" t="s">
        <v>86</v>
      </c>
      <c r="Y140" s="30" t="s">
        <v>75</v>
      </c>
      <c r="Z140" s="36">
        <v>45191</v>
      </c>
      <c r="AA140" s="36">
        <v>45191</v>
      </c>
      <c r="AB140" s="30" t="s">
        <v>91</v>
      </c>
      <c r="AC140" s="30"/>
      <c r="AD140" s="30"/>
      <c r="AE140" s="30"/>
      <c r="AF140" s="30"/>
      <c r="AG140" s="30"/>
      <c r="AH140" s="30"/>
      <c r="AI140" s="30"/>
      <c r="AJ140" s="33">
        <f t="shared" si="10"/>
        <v>10005</v>
      </c>
      <c r="AK140" s="37">
        <v>2024000</v>
      </c>
      <c r="AL140" s="33">
        <f t="shared" si="11"/>
        <v>887</v>
      </c>
      <c r="AM140" s="37"/>
      <c r="AN140" s="37"/>
      <c r="AO140" s="37">
        <v>22426959000</v>
      </c>
      <c r="AP140" s="30" t="s">
        <v>1438</v>
      </c>
      <c r="AQ140" s="30" t="s">
        <v>78</v>
      </c>
      <c r="AR140" s="30"/>
      <c r="AS140" s="30"/>
      <c r="AT140" s="30"/>
      <c r="AU140" s="30"/>
      <c r="AV140" s="38">
        <v>2800</v>
      </c>
      <c r="AW140" s="37">
        <v>2678571</v>
      </c>
      <c r="AX140" s="38"/>
      <c r="AY140" s="37"/>
      <c r="AZ140" s="37">
        <v>9240000000</v>
      </c>
      <c r="BA140" s="34">
        <f t="shared" si="12"/>
        <v>7499998800</v>
      </c>
      <c r="BB140" s="30" t="s">
        <v>1439</v>
      </c>
      <c r="BC140" s="30" t="s">
        <v>82</v>
      </c>
      <c r="BD140" s="30" t="s">
        <v>1438</v>
      </c>
      <c r="BE140" s="30" t="s">
        <v>101</v>
      </c>
      <c r="BF140" s="30"/>
      <c r="BG140" s="30"/>
      <c r="BH140" s="30"/>
      <c r="BI140" s="30"/>
      <c r="BJ140" s="39">
        <v>1361</v>
      </c>
      <c r="BK140" s="37">
        <v>2314107</v>
      </c>
      <c r="BL140" s="39">
        <v>1000</v>
      </c>
      <c r="BM140" s="37"/>
      <c r="BN140" s="37">
        <v>5800000000</v>
      </c>
      <c r="BO140" s="34">
        <f t="shared" si="13"/>
        <v>3149499627</v>
      </c>
      <c r="BP140" s="30" t="s">
        <v>1440</v>
      </c>
      <c r="BQ140" s="30" t="s">
        <v>82</v>
      </c>
      <c r="BR140" s="30" t="s">
        <v>1438</v>
      </c>
      <c r="BS140" s="30" t="s">
        <v>78</v>
      </c>
      <c r="BT140" s="30"/>
      <c r="BU140" s="30"/>
      <c r="BV140" s="30"/>
      <c r="BW140" s="30"/>
      <c r="BX140" s="39">
        <v>1300</v>
      </c>
      <c r="BY140" s="37">
        <v>2307692</v>
      </c>
      <c r="BZ140" s="39"/>
      <c r="CA140" s="37"/>
      <c r="CB140" s="37">
        <v>3900000000</v>
      </c>
      <c r="CC140" s="34">
        <f t="shared" si="14"/>
        <v>2999999600</v>
      </c>
      <c r="CD140" s="30" t="s">
        <v>1441</v>
      </c>
      <c r="CE140" s="30" t="s">
        <v>82</v>
      </c>
      <c r="CF140" s="30" t="s">
        <v>1442</v>
      </c>
      <c r="CG140" s="30"/>
      <c r="CH140" s="30"/>
    </row>
    <row r="141" spans="2:86" ht="120" x14ac:dyDescent="0.25">
      <c r="B141" s="30" t="s">
        <v>1434</v>
      </c>
      <c r="C141" s="30" t="s">
        <v>1435</v>
      </c>
      <c r="D141" s="36">
        <v>45209</v>
      </c>
      <c r="E141" s="30" t="s">
        <v>743</v>
      </c>
      <c r="F141" s="30" t="s">
        <v>743</v>
      </c>
      <c r="G141" s="30"/>
      <c r="H141" s="30" t="s">
        <v>78</v>
      </c>
      <c r="I141" s="38">
        <v>4555</v>
      </c>
      <c r="J141" s="30" t="s">
        <v>70</v>
      </c>
      <c r="K141" s="38"/>
      <c r="L141" s="38"/>
      <c r="M141" s="30"/>
      <c r="N141" s="30"/>
      <c r="O141" s="30"/>
      <c r="P141" s="30"/>
      <c r="Q141" s="30"/>
      <c r="R141" s="30" t="s">
        <v>1443</v>
      </c>
      <c r="S141" s="30" t="s">
        <v>1444</v>
      </c>
      <c r="T141" s="30" t="s">
        <v>1445</v>
      </c>
      <c r="U141" s="30" t="s">
        <v>114</v>
      </c>
      <c r="V141" s="30" t="s">
        <v>95</v>
      </c>
      <c r="W141" s="30" t="s">
        <v>73</v>
      </c>
      <c r="X141" s="30" t="s">
        <v>86</v>
      </c>
      <c r="Y141" s="30" t="s">
        <v>75</v>
      </c>
      <c r="Z141" s="36">
        <v>45191</v>
      </c>
      <c r="AA141" s="36">
        <v>45191</v>
      </c>
      <c r="AB141" s="30" t="s">
        <v>91</v>
      </c>
      <c r="AC141" s="30"/>
      <c r="AD141" s="30"/>
      <c r="AE141" s="30"/>
      <c r="AF141" s="30"/>
      <c r="AG141" s="30"/>
      <c r="AH141" s="30"/>
      <c r="AI141" s="30"/>
      <c r="AJ141" s="33">
        <f t="shared" si="10"/>
        <v>4555</v>
      </c>
      <c r="AK141" s="37">
        <v>600000</v>
      </c>
      <c r="AL141" s="33">
        <f t="shared" si="11"/>
        <v>0</v>
      </c>
      <c r="AM141" s="37"/>
      <c r="AN141" s="37"/>
      <c r="AO141" s="37">
        <v>2733000000</v>
      </c>
      <c r="AP141" s="30" t="s">
        <v>1446</v>
      </c>
      <c r="AQ141" s="30" t="s">
        <v>78</v>
      </c>
      <c r="AR141" s="30"/>
      <c r="AS141" s="30"/>
      <c r="AT141" s="30"/>
      <c r="AU141" s="30"/>
      <c r="AV141" s="38">
        <v>320</v>
      </c>
      <c r="AW141" s="37">
        <v>1000000</v>
      </c>
      <c r="AX141" s="38"/>
      <c r="AY141" s="37"/>
      <c r="AZ141" s="37">
        <v>448000000</v>
      </c>
      <c r="BA141" s="34">
        <f t="shared" si="12"/>
        <v>320000000</v>
      </c>
      <c r="BB141" s="30" t="s">
        <v>1447</v>
      </c>
      <c r="BC141" s="30" t="s">
        <v>82</v>
      </c>
      <c r="BD141" s="30" t="s">
        <v>1448</v>
      </c>
      <c r="BE141" s="30" t="s">
        <v>78</v>
      </c>
      <c r="BF141" s="30"/>
      <c r="BG141" s="30"/>
      <c r="BH141" s="30"/>
      <c r="BI141" s="30"/>
      <c r="BJ141" s="39">
        <v>500</v>
      </c>
      <c r="BK141" s="37">
        <v>900000</v>
      </c>
      <c r="BL141" s="39"/>
      <c r="BM141" s="37"/>
      <c r="BN141" s="37">
        <v>600000000</v>
      </c>
      <c r="BO141" s="34">
        <f t="shared" si="13"/>
        <v>450000000</v>
      </c>
      <c r="BP141" s="30" t="s">
        <v>1449</v>
      </c>
      <c r="BQ141" s="30" t="s">
        <v>82</v>
      </c>
      <c r="BR141" s="30" t="s">
        <v>1450</v>
      </c>
      <c r="BS141" s="30" t="s">
        <v>84</v>
      </c>
      <c r="BT141" s="30"/>
      <c r="BU141" s="30"/>
      <c r="BV141" s="30"/>
      <c r="BW141" s="30"/>
      <c r="BX141" s="39">
        <v>250</v>
      </c>
      <c r="BY141" s="37">
        <v>900000</v>
      </c>
      <c r="BZ141" s="39">
        <v>350</v>
      </c>
      <c r="CA141" s="37"/>
      <c r="CB141" s="37">
        <v>1500000000</v>
      </c>
      <c r="CC141" s="34">
        <f t="shared" si="14"/>
        <v>225000000</v>
      </c>
      <c r="CD141" s="30" t="s">
        <v>1451</v>
      </c>
      <c r="CE141" s="30" t="s">
        <v>82</v>
      </c>
      <c r="CF141" s="30" t="s">
        <v>1442</v>
      </c>
      <c r="CG141" s="30"/>
      <c r="CH141" s="30"/>
    </row>
    <row r="142" spans="2:86" ht="120" x14ac:dyDescent="0.25">
      <c r="B142" s="30" t="s">
        <v>1434</v>
      </c>
      <c r="C142" s="30" t="s">
        <v>1435</v>
      </c>
      <c r="D142" s="36">
        <v>45209</v>
      </c>
      <c r="E142" s="30" t="s">
        <v>743</v>
      </c>
      <c r="F142" s="30" t="s">
        <v>743</v>
      </c>
      <c r="G142" s="30"/>
      <c r="H142" s="30" t="s">
        <v>101</v>
      </c>
      <c r="I142" s="38">
        <v>1194</v>
      </c>
      <c r="J142" s="30" t="s">
        <v>70</v>
      </c>
      <c r="K142" s="38">
        <v>356</v>
      </c>
      <c r="L142" s="38"/>
      <c r="M142" s="30"/>
      <c r="N142" s="30"/>
      <c r="O142" s="30"/>
      <c r="P142" s="30"/>
      <c r="Q142" s="30"/>
      <c r="R142" s="30" t="s">
        <v>1452</v>
      </c>
      <c r="S142" s="30" t="s">
        <v>575</v>
      </c>
      <c r="T142" s="30" t="s">
        <v>1453</v>
      </c>
      <c r="U142" s="30" t="s">
        <v>135</v>
      </c>
      <c r="V142" s="30" t="s">
        <v>95</v>
      </c>
      <c r="W142" s="30" t="s">
        <v>73</v>
      </c>
      <c r="X142" s="30" t="s">
        <v>86</v>
      </c>
      <c r="Y142" s="30" t="s">
        <v>75</v>
      </c>
      <c r="Z142" s="36">
        <v>45191</v>
      </c>
      <c r="AA142" s="36">
        <v>45191</v>
      </c>
      <c r="AB142" s="30" t="s">
        <v>91</v>
      </c>
      <c r="AC142" s="30"/>
      <c r="AD142" s="30"/>
      <c r="AE142" s="30"/>
      <c r="AF142" s="30"/>
      <c r="AG142" s="30"/>
      <c r="AH142" s="30"/>
      <c r="AI142" s="30"/>
      <c r="AJ142" s="33">
        <f t="shared" si="10"/>
        <v>1194</v>
      </c>
      <c r="AK142" s="37">
        <v>1800000</v>
      </c>
      <c r="AL142" s="33">
        <f t="shared" si="11"/>
        <v>356</v>
      </c>
      <c r="AM142" s="37"/>
      <c r="AN142" s="37"/>
      <c r="AO142" s="37">
        <v>2711991000</v>
      </c>
      <c r="AP142" s="30" t="s">
        <v>1454</v>
      </c>
      <c r="AQ142" s="30" t="s">
        <v>78</v>
      </c>
      <c r="AR142" s="30"/>
      <c r="AS142" s="30"/>
      <c r="AT142" s="30"/>
      <c r="AU142" s="30"/>
      <c r="AV142" s="38">
        <v>400</v>
      </c>
      <c r="AW142" s="37">
        <v>1800000</v>
      </c>
      <c r="AX142" s="38"/>
      <c r="AY142" s="37"/>
      <c r="AZ142" s="37">
        <v>800000000</v>
      </c>
      <c r="BA142" s="34">
        <f t="shared" si="12"/>
        <v>720000000</v>
      </c>
      <c r="BB142" s="30" t="s">
        <v>1455</v>
      </c>
      <c r="BC142" s="30" t="s">
        <v>82</v>
      </c>
      <c r="BD142" s="30" t="s">
        <v>1456</v>
      </c>
      <c r="BE142" s="30" t="s">
        <v>78</v>
      </c>
      <c r="BF142" s="30"/>
      <c r="BG142" s="30"/>
      <c r="BH142" s="30"/>
      <c r="BI142" s="30"/>
      <c r="BJ142" s="39">
        <v>135</v>
      </c>
      <c r="BK142" s="37">
        <v>2000000</v>
      </c>
      <c r="BL142" s="39"/>
      <c r="BM142" s="37"/>
      <c r="BN142" s="37">
        <v>337500000</v>
      </c>
      <c r="BO142" s="34">
        <f t="shared" si="13"/>
        <v>270000000</v>
      </c>
      <c r="BP142" s="30" t="s">
        <v>1457</v>
      </c>
      <c r="BQ142" s="30" t="s">
        <v>82</v>
      </c>
      <c r="BR142" s="30" t="s">
        <v>1458</v>
      </c>
      <c r="BS142" s="30" t="s">
        <v>78</v>
      </c>
      <c r="BT142" s="30"/>
      <c r="BU142" s="30"/>
      <c r="BV142" s="30"/>
      <c r="BW142" s="30"/>
      <c r="BX142" s="39">
        <v>242</v>
      </c>
      <c r="BY142" s="37">
        <v>2000000</v>
      </c>
      <c r="BZ142" s="39"/>
      <c r="CA142" s="37"/>
      <c r="CB142" s="37">
        <v>629200000</v>
      </c>
      <c r="CC142" s="34">
        <f t="shared" si="14"/>
        <v>484000000</v>
      </c>
      <c r="CD142" s="30" t="s">
        <v>1459</v>
      </c>
      <c r="CE142" s="30" t="s">
        <v>82</v>
      </c>
      <c r="CF142" s="30" t="s">
        <v>1442</v>
      </c>
      <c r="CG142" s="30"/>
      <c r="CH142" s="30"/>
    </row>
    <row r="143" spans="2:86" ht="150" x14ac:dyDescent="0.25">
      <c r="B143" s="30" t="s">
        <v>1434</v>
      </c>
      <c r="C143" s="30" t="s">
        <v>1435</v>
      </c>
      <c r="D143" s="36">
        <v>45209</v>
      </c>
      <c r="E143" s="30" t="s">
        <v>743</v>
      </c>
      <c r="F143" s="30" t="s">
        <v>743</v>
      </c>
      <c r="G143" s="30"/>
      <c r="H143" s="30" t="s">
        <v>101</v>
      </c>
      <c r="I143" s="38">
        <v>308</v>
      </c>
      <c r="J143" s="30" t="s">
        <v>70</v>
      </c>
      <c r="K143" s="38">
        <v>661</v>
      </c>
      <c r="L143" s="38"/>
      <c r="M143" s="30"/>
      <c r="N143" s="30"/>
      <c r="O143" s="30"/>
      <c r="P143" s="30"/>
      <c r="Q143" s="30"/>
      <c r="R143" s="30" t="s">
        <v>1460</v>
      </c>
      <c r="S143" s="30" t="s">
        <v>1461</v>
      </c>
      <c r="T143" s="30" t="s">
        <v>1453</v>
      </c>
      <c r="U143" s="30" t="s">
        <v>135</v>
      </c>
      <c r="V143" s="30" t="s">
        <v>95</v>
      </c>
      <c r="W143" s="30" t="s">
        <v>73</v>
      </c>
      <c r="X143" s="30" t="s">
        <v>86</v>
      </c>
      <c r="Y143" s="30" t="s">
        <v>75</v>
      </c>
      <c r="Z143" s="36">
        <v>45191</v>
      </c>
      <c r="AA143" s="36">
        <v>45191</v>
      </c>
      <c r="AB143" s="30" t="s">
        <v>91</v>
      </c>
      <c r="AC143" s="30"/>
      <c r="AD143" s="30"/>
      <c r="AE143" s="30"/>
      <c r="AF143" s="30"/>
      <c r="AG143" s="30"/>
      <c r="AH143" s="30"/>
      <c r="AI143" s="30"/>
      <c r="AJ143" s="33">
        <f t="shared" si="10"/>
        <v>308</v>
      </c>
      <c r="AK143" s="37">
        <v>3700000</v>
      </c>
      <c r="AL143" s="33">
        <f t="shared" si="11"/>
        <v>661</v>
      </c>
      <c r="AM143" s="37"/>
      <c r="AN143" s="37"/>
      <c r="AO143" s="37">
        <v>3336433000</v>
      </c>
      <c r="AP143" s="30" t="s">
        <v>1462</v>
      </c>
      <c r="AQ143" s="30" t="s">
        <v>101</v>
      </c>
      <c r="AR143" s="30"/>
      <c r="AS143" s="30"/>
      <c r="AT143" s="30"/>
      <c r="AU143" s="30"/>
      <c r="AV143" s="38">
        <v>144</v>
      </c>
      <c r="AW143" s="37">
        <v>4597222</v>
      </c>
      <c r="AX143" s="38">
        <v>288</v>
      </c>
      <c r="AY143" s="37"/>
      <c r="AZ143" s="37">
        <v>1500000000</v>
      </c>
      <c r="BA143" s="34">
        <f t="shared" si="12"/>
        <v>661999968</v>
      </c>
      <c r="BB143" s="30" t="s">
        <v>1463</v>
      </c>
      <c r="BC143" s="30" t="s">
        <v>82</v>
      </c>
      <c r="BD143" s="30" t="s">
        <v>1464</v>
      </c>
      <c r="BE143" s="30" t="s">
        <v>101</v>
      </c>
      <c r="BF143" s="30"/>
      <c r="BG143" s="30"/>
      <c r="BH143" s="30"/>
      <c r="BI143" s="30"/>
      <c r="BJ143" s="39">
        <v>198</v>
      </c>
      <c r="BK143" s="37">
        <v>4590333</v>
      </c>
      <c r="BL143" s="39">
        <v>170</v>
      </c>
      <c r="BM143" s="37"/>
      <c r="BN143" s="37">
        <v>1300000000</v>
      </c>
      <c r="BO143" s="34">
        <f t="shared" si="13"/>
        <v>908885934</v>
      </c>
      <c r="BP143" s="30" t="s">
        <v>1465</v>
      </c>
      <c r="BQ143" s="30" t="s">
        <v>82</v>
      </c>
      <c r="BR143" s="30" t="s">
        <v>1466</v>
      </c>
      <c r="BS143" s="30" t="s">
        <v>101</v>
      </c>
      <c r="BT143" s="30"/>
      <c r="BU143" s="30"/>
      <c r="BV143" s="30"/>
      <c r="BW143" s="30"/>
      <c r="BX143" s="39">
        <v>144</v>
      </c>
      <c r="BY143" s="37">
        <v>4582736</v>
      </c>
      <c r="BZ143" s="39">
        <v>90</v>
      </c>
      <c r="CA143" s="37"/>
      <c r="CB143" s="37">
        <v>950000000</v>
      </c>
      <c r="CC143" s="34">
        <f t="shared" si="14"/>
        <v>659913984</v>
      </c>
      <c r="CD143" s="30" t="s">
        <v>1467</v>
      </c>
      <c r="CE143" s="30" t="s">
        <v>82</v>
      </c>
      <c r="CF143" s="30" t="s">
        <v>1468</v>
      </c>
      <c r="CG143" s="30"/>
      <c r="CH143" s="30"/>
    </row>
    <row r="144" spans="2:86" ht="90" x14ac:dyDescent="0.25">
      <c r="B144" s="30" t="s">
        <v>1434</v>
      </c>
      <c r="C144" s="30" t="s">
        <v>1435</v>
      </c>
      <c r="D144" s="36">
        <v>45209</v>
      </c>
      <c r="E144" s="30" t="s">
        <v>743</v>
      </c>
      <c r="F144" s="30" t="s">
        <v>743</v>
      </c>
      <c r="G144" s="30"/>
      <c r="H144" s="30" t="s">
        <v>1469</v>
      </c>
      <c r="I144" s="38">
        <v>452</v>
      </c>
      <c r="J144" s="30" t="s">
        <v>70</v>
      </c>
      <c r="K144" s="38">
        <v>315</v>
      </c>
      <c r="L144" s="38"/>
      <c r="M144" s="30"/>
      <c r="N144" s="30"/>
      <c r="O144" s="30"/>
      <c r="P144" s="30"/>
      <c r="Q144" s="30" t="s">
        <v>1470</v>
      </c>
      <c r="R144" s="30" t="s">
        <v>1471</v>
      </c>
      <c r="S144" s="30" t="s">
        <v>1472</v>
      </c>
      <c r="T144" s="30" t="s">
        <v>1473</v>
      </c>
      <c r="U144" s="30" t="s">
        <v>346</v>
      </c>
      <c r="V144" s="30" t="s">
        <v>95</v>
      </c>
      <c r="W144" s="30" t="s">
        <v>73</v>
      </c>
      <c r="X144" s="30" t="s">
        <v>86</v>
      </c>
      <c r="Y144" s="30" t="s">
        <v>75</v>
      </c>
      <c r="Z144" s="36">
        <v>45191</v>
      </c>
      <c r="AA144" s="36">
        <v>45191</v>
      </c>
      <c r="AB144" s="30" t="s">
        <v>91</v>
      </c>
      <c r="AC144" s="30"/>
      <c r="AD144" s="30"/>
      <c r="AE144" s="30"/>
      <c r="AF144" s="30"/>
      <c r="AG144" s="30"/>
      <c r="AH144" s="30"/>
      <c r="AI144" s="30"/>
      <c r="AJ144" s="33">
        <f t="shared" si="10"/>
        <v>452</v>
      </c>
      <c r="AK144" s="37">
        <v>2180000</v>
      </c>
      <c r="AL144" s="33">
        <f t="shared" si="11"/>
        <v>315</v>
      </c>
      <c r="AM144" s="37"/>
      <c r="AN144" s="37"/>
      <c r="AO144" s="37">
        <v>2085960000</v>
      </c>
      <c r="AP144" s="30" t="s">
        <v>1474</v>
      </c>
      <c r="AQ144" s="30" t="s">
        <v>1475</v>
      </c>
      <c r="AR144" s="30"/>
      <c r="AS144" s="30"/>
      <c r="AT144" s="30"/>
      <c r="AU144" s="30"/>
      <c r="AV144" s="38">
        <v>147</v>
      </c>
      <c r="AW144" s="37">
        <v>2455537</v>
      </c>
      <c r="AX144" s="38">
        <v>60</v>
      </c>
      <c r="AY144" s="37"/>
      <c r="AZ144" s="37">
        <v>650000000</v>
      </c>
      <c r="BA144" s="34">
        <f t="shared" si="12"/>
        <v>360963939</v>
      </c>
      <c r="BB144" s="30" t="s">
        <v>1476</v>
      </c>
      <c r="BC144" s="30" t="s">
        <v>82</v>
      </c>
      <c r="BD144" s="30" t="s">
        <v>1477</v>
      </c>
      <c r="BE144" s="30" t="s">
        <v>1478</v>
      </c>
      <c r="BF144" s="30"/>
      <c r="BG144" s="30"/>
      <c r="BH144" s="30"/>
      <c r="BI144" s="30"/>
      <c r="BJ144" s="39">
        <v>1750</v>
      </c>
      <c r="BK144" s="37">
        <v>2124493</v>
      </c>
      <c r="BL144" s="39">
        <v>230</v>
      </c>
      <c r="BM144" s="37"/>
      <c r="BN144" s="37">
        <v>5000000000</v>
      </c>
      <c r="BO144" s="34">
        <f t="shared" si="13"/>
        <v>3717862750</v>
      </c>
      <c r="BP144" s="30" t="s">
        <v>1479</v>
      </c>
      <c r="BQ144" s="30" t="s">
        <v>82</v>
      </c>
      <c r="BR144" s="30" t="s">
        <v>1480</v>
      </c>
      <c r="BS144" s="30" t="s">
        <v>1478</v>
      </c>
      <c r="BT144" s="30"/>
      <c r="BU144" s="30"/>
      <c r="BV144" s="30"/>
      <c r="BW144" s="30"/>
      <c r="BX144" s="39">
        <v>352</v>
      </c>
      <c r="BY144" s="37">
        <v>2146993</v>
      </c>
      <c r="BZ144" s="39">
        <v>100</v>
      </c>
      <c r="CA144" s="37"/>
      <c r="CB144" s="37">
        <v>1000000000</v>
      </c>
      <c r="CC144" s="34">
        <f t="shared" si="14"/>
        <v>755741536</v>
      </c>
      <c r="CD144" s="30" t="s">
        <v>1481</v>
      </c>
      <c r="CE144" s="30" t="s">
        <v>82</v>
      </c>
      <c r="CF144" s="30" t="s">
        <v>1482</v>
      </c>
      <c r="CG144" s="30"/>
      <c r="CH144" s="30"/>
    </row>
    <row r="145" spans="2:86" ht="150" x14ac:dyDescent="0.25">
      <c r="B145" s="30" t="s">
        <v>1434</v>
      </c>
      <c r="C145" s="30" t="s">
        <v>1435</v>
      </c>
      <c r="D145" s="36">
        <v>45209</v>
      </c>
      <c r="E145" s="30" t="s">
        <v>743</v>
      </c>
      <c r="F145" s="30" t="s">
        <v>743</v>
      </c>
      <c r="G145" s="30"/>
      <c r="H145" s="30" t="s">
        <v>84</v>
      </c>
      <c r="I145" s="38">
        <v>144</v>
      </c>
      <c r="J145" s="30" t="s">
        <v>70</v>
      </c>
      <c r="K145" s="38">
        <v>193</v>
      </c>
      <c r="L145" s="38"/>
      <c r="M145" s="30"/>
      <c r="N145" s="30"/>
      <c r="O145" s="30"/>
      <c r="P145" s="30"/>
      <c r="Q145" s="30" t="s">
        <v>1483</v>
      </c>
      <c r="R145" s="30" t="s">
        <v>1484</v>
      </c>
      <c r="S145" s="30" t="s">
        <v>610</v>
      </c>
      <c r="T145" s="30" t="s">
        <v>611</v>
      </c>
      <c r="U145" s="30" t="s">
        <v>114</v>
      </c>
      <c r="V145" s="30" t="s">
        <v>95</v>
      </c>
      <c r="W145" s="30" t="s">
        <v>73</v>
      </c>
      <c r="X145" s="30" t="s">
        <v>86</v>
      </c>
      <c r="Y145" s="30" t="s">
        <v>75</v>
      </c>
      <c r="Z145" s="36">
        <v>45191</v>
      </c>
      <c r="AA145" s="36">
        <v>45191</v>
      </c>
      <c r="AB145" s="30" t="s">
        <v>91</v>
      </c>
      <c r="AC145" s="30"/>
      <c r="AD145" s="30"/>
      <c r="AE145" s="30"/>
      <c r="AF145" s="30"/>
      <c r="AG145" s="30"/>
      <c r="AH145" s="30"/>
      <c r="AI145" s="30"/>
      <c r="AJ145" s="33">
        <f t="shared" si="10"/>
        <v>144</v>
      </c>
      <c r="AK145" s="37">
        <v>4600000</v>
      </c>
      <c r="AL145" s="33">
        <f t="shared" si="11"/>
        <v>193</v>
      </c>
      <c r="AM145" s="37"/>
      <c r="AN145" s="37"/>
      <c r="AO145" s="37">
        <v>1394007000</v>
      </c>
      <c r="AP145" s="30" t="s">
        <v>1462</v>
      </c>
      <c r="AQ145" s="30" t="s">
        <v>84</v>
      </c>
      <c r="AR145" s="30"/>
      <c r="AS145" s="30"/>
      <c r="AT145" s="30"/>
      <c r="AU145" s="30"/>
      <c r="AV145" s="38">
        <v>144</v>
      </c>
      <c r="AW145" s="37">
        <v>4597222</v>
      </c>
      <c r="AX145" s="38">
        <v>288</v>
      </c>
      <c r="AY145" s="37"/>
      <c r="AZ145" s="37">
        <v>1500000000</v>
      </c>
      <c r="BA145" s="34">
        <f t="shared" si="12"/>
        <v>661999968</v>
      </c>
      <c r="BB145" s="30" t="s">
        <v>1463</v>
      </c>
      <c r="BC145" s="30" t="s">
        <v>82</v>
      </c>
      <c r="BD145" s="30" t="s">
        <v>1464</v>
      </c>
      <c r="BE145" s="30" t="s">
        <v>84</v>
      </c>
      <c r="BF145" s="30"/>
      <c r="BG145" s="30"/>
      <c r="BH145" s="30"/>
      <c r="BI145" s="30"/>
      <c r="BJ145" s="39">
        <v>198</v>
      </c>
      <c r="BK145" s="37">
        <v>4590333</v>
      </c>
      <c r="BL145" s="39">
        <v>170</v>
      </c>
      <c r="BM145" s="37"/>
      <c r="BN145" s="37">
        <v>1300000000</v>
      </c>
      <c r="BO145" s="34">
        <f t="shared" si="13"/>
        <v>908885934</v>
      </c>
      <c r="BP145" s="30" t="s">
        <v>1465</v>
      </c>
      <c r="BQ145" s="30" t="s">
        <v>82</v>
      </c>
      <c r="BR145" s="30" t="s">
        <v>1466</v>
      </c>
      <c r="BS145" s="30" t="s">
        <v>84</v>
      </c>
      <c r="BT145" s="30"/>
      <c r="BU145" s="30"/>
      <c r="BV145" s="30"/>
      <c r="BW145" s="30"/>
      <c r="BX145" s="39">
        <v>144</v>
      </c>
      <c r="BY145" s="37">
        <v>4582736</v>
      </c>
      <c r="BZ145" s="39">
        <v>90</v>
      </c>
      <c r="CA145" s="37"/>
      <c r="CB145" s="37">
        <v>950000000</v>
      </c>
      <c r="CC145" s="34">
        <f t="shared" si="14"/>
        <v>659913984</v>
      </c>
      <c r="CD145" s="30" t="s">
        <v>1467</v>
      </c>
      <c r="CE145" s="30" t="s">
        <v>82</v>
      </c>
      <c r="CF145" s="30" t="s">
        <v>1468</v>
      </c>
      <c r="CG145" s="30"/>
      <c r="CH145" s="30"/>
    </row>
    <row r="146" spans="2:86" ht="165" x14ac:dyDescent="0.25">
      <c r="B146" s="30" t="s">
        <v>1434</v>
      </c>
      <c r="C146" s="30" t="s">
        <v>1435</v>
      </c>
      <c r="D146" s="36">
        <v>45209</v>
      </c>
      <c r="E146" s="30" t="s">
        <v>743</v>
      </c>
      <c r="F146" s="30" t="s">
        <v>743</v>
      </c>
      <c r="G146" s="30"/>
      <c r="H146" s="30" t="s">
        <v>84</v>
      </c>
      <c r="I146" s="38">
        <v>107</v>
      </c>
      <c r="J146" s="30" t="s">
        <v>70</v>
      </c>
      <c r="K146" s="38">
        <v>63</v>
      </c>
      <c r="L146" s="38"/>
      <c r="M146" s="30"/>
      <c r="N146" s="30"/>
      <c r="O146" s="30"/>
      <c r="P146" s="30"/>
      <c r="Q146" s="30" t="s">
        <v>1485</v>
      </c>
      <c r="R146" s="30" t="s">
        <v>1486</v>
      </c>
      <c r="S146" s="30" t="s">
        <v>1461</v>
      </c>
      <c r="T146" s="30" t="s">
        <v>1453</v>
      </c>
      <c r="U146" s="30" t="s">
        <v>135</v>
      </c>
      <c r="V146" s="30" t="s">
        <v>95</v>
      </c>
      <c r="W146" s="30" t="s">
        <v>73</v>
      </c>
      <c r="X146" s="30" t="s">
        <v>86</v>
      </c>
      <c r="Y146" s="30" t="s">
        <v>75</v>
      </c>
      <c r="Z146" s="36">
        <v>45191</v>
      </c>
      <c r="AA146" s="36">
        <v>45191</v>
      </c>
      <c r="AB146" s="30" t="s">
        <v>91</v>
      </c>
      <c r="AC146" s="30"/>
      <c r="AD146" s="30"/>
      <c r="AE146" s="30"/>
      <c r="AF146" s="30"/>
      <c r="AG146" s="30"/>
      <c r="AH146" s="30"/>
      <c r="AI146" s="30"/>
      <c r="AJ146" s="33">
        <f t="shared" si="10"/>
        <v>107</v>
      </c>
      <c r="AK146" s="37">
        <v>4170000</v>
      </c>
      <c r="AL146" s="33">
        <f t="shared" si="11"/>
        <v>63</v>
      </c>
      <c r="AM146" s="37"/>
      <c r="AN146" s="37"/>
      <c r="AO146" s="37">
        <v>542760000</v>
      </c>
      <c r="AP146" s="30" t="s">
        <v>1487</v>
      </c>
      <c r="AQ146" s="30" t="s">
        <v>84</v>
      </c>
      <c r="AR146" s="30"/>
      <c r="AS146" s="30"/>
      <c r="AT146" s="30"/>
      <c r="AU146" s="30"/>
      <c r="AV146" s="38">
        <v>120</v>
      </c>
      <c r="AW146" s="37">
        <v>4169775</v>
      </c>
      <c r="AX146" s="38">
        <v>63</v>
      </c>
      <c r="AY146" s="37"/>
      <c r="AZ146" s="37">
        <v>600000000</v>
      </c>
      <c r="BA146" s="34">
        <f t="shared" si="12"/>
        <v>500373000</v>
      </c>
      <c r="BB146" s="30" t="s">
        <v>1488</v>
      </c>
      <c r="BC146" s="30" t="s">
        <v>82</v>
      </c>
      <c r="BD146" s="30" t="s">
        <v>1489</v>
      </c>
      <c r="BE146" s="30" t="s">
        <v>84</v>
      </c>
      <c r="BF146" s="30"/>
      <c r="BG146" s="30"/>
      <c r="BH146" s="30"/>
      <c r="BI146" s="30"/>
      <c r="BJ146" s="39">
        <v>90</v>
      </c>
      <c r="BK146" s="37">
        <v>4154222</v>
      </c>
      <c r="BL146" s="39">
        <v>70</v>
      </c>
      <c r="BM146" s="37"/>
      <c r="BN146" s="37">
        <v>650000000</v>
      </c>
      <c r="BO146" s="34">
        <f t="shared" si="13"/>
        <v>373879980</v>
      </c>
      <c r="BP146" s="30" t="s">
        <v>1490</v>
      </c>
      <c r="BQ146" s="30" t="s">
        <v>82</v>
      </c>
      <c r="BR146" s="30" t="s">
        <v>1491</v>
      </c>
      <c r="BS146" s="30" t="s">
        <v>84</v>
      </c>
      <c r="BT146" s="30"/>
      <c r="BU146" s="30"/>
      <c r="BV146" s="30"/>
      <c r="BW146" s="30"/>
      <c r="BX146" s="39">
        <v>60</v>
      </c>
      <c r="BY146" s="37">
        <v>4118333</v>
      </c>
      <c r="BZ146" s="39">
        <v>50</v>
      </c>
      <c r="CA146" s="37"/>
      <c r="CB146" s="37">
        <v>350000000</v>
      </c>
      <c r="CC146" s="34">
        <f t="shared" si="14"/>
        <v>247099980</v>
      </c>
      <c r="CD146" s="30" t="s">
        <v>1492</v>
      </c>
      <c r="CE146" s="30" t="s">
        <v>82</v>
      </c>
      <c r="CF146" s="30" t="s">
        <v>1468</v>
      </c>
      <c r="CG146" s="30"/>
      <c r="CH146" s="30"/>
    </row>
    <row r="147" spans="2:86" ht="135" x14ac:dyDescent="0.25">
      <c r="B147" s="30" t="s">
        <v>1434</v>
      </c>
      <c r="C147" s="30" t="s">
        <v>1435</v>
      </c>
      <c r="D147" s="36">
        <v>45209</v>
      </c>
      <c r="E147" s="30" t="s">
        <v>743</v>
      </c>
      <c r="F147" s="30" t="s">
        <v>743</v>
      </c>
      <c r="G147" s="30"/>
      <c r="H147" s="30" t="s">
        <v>78</v>
      </c>
      <c r="I147" s="38">
        <v>10616</v>
      </c>
      <c r="J147" s="30" t="s">
        <v>70</v>
      </c>
      <c r="K147" s="38"/>
      <c r="L147" s="38"/>
      <c r="M147" s="30"/>
      <c r="N147" s="30"/>
      <c r="O147" s="30"/>
      <c r="P147" s="30"/>
      <c r="Q147" s="30"/>
      <c r="R147" s="30" t="s">
        <v>1493</v>
      </c>
      <c r="S147" s="30" t="s">
        <v>1494</v>
      </c>
      <c r="T147" s="30" t="s">
        <v>1495</v>
      </c>
      <c r="U147" s="30" t="s">
        <v>114</v>
      </c>
      <c r="V147" s="30" t="s">
        <v>95</v>
      </c>
      <c r="W147" s="30" t="s">
        <v>73</v>
      </c>
      <c r="X147" s="30" t="s">
        <v>86</v>
      </c>
      <c r="Y147" s="30" t="s">
        <v>75</v>
      </c>
      <c r="Z147" s="36">
        <v>45191</v>
      </c>
      <c r="AA147" s="36">
        <v>45191</v>
      </c>
      <c r="AB147" s="30" t="s">
        <v>91</v>
      </c>
      <c r="AC147" s="30"/>
      <c r="AD147" s="30"/>
      <c r="AE147" s="30"/>
      <c r="AF147" s="30"/>
      <c r="AG147" s="30"/>
      <c r="AH147" s="30"/>
      <c r="AI147" s="30"/>
      <c r="AJ147" s="33">
        <f t="shared" si="10"/>
        <v>10616</v>
      </c>
      <c r="AK147" s="37">
        <v>420000</v>
      </c>
      <c r="AL147" s="33">
        <f t="shared" si="11"/>
        <v>0</v>
      </c>
      <c r="AM147" s="37"/>
      <c r="AN147" s="37"/>
      <c r="AO147" s="37">
        <v>4445872000</v>
      </c>
      <c r="AP147" s="30" t="s">
        <v>1496</v>
      </c>
      <c r="AQ147" s="30" t="s">
        <v>1497</v>
      </c>
      <c r="AR147" s="30"/>
      <c r="AS147" s="30"/>
      <c r="AT147" s="30"/>
      <c r="AU147" s="30"/>
      <c r="AV147" s="38">
        <v>5315</v>
      </c>
      <c r="AW147" s="37">
        <v>519285</v>
      </c>
      <c r="AX147" s="38"/>
      <c r="AY147" s="37"/>
      <c r="AZ147" s="37">
        <v>3450000000</v>
      </c>
      <c r="BA147" s="34">
        <f t="shared" si="12"/>
        <v>2759999775</v>
      </c>
      <c r="BB147" s="30" t="s">
        <v>1498</v>
      </c>
      <c r="BC147" s="30" t="s">
        <v>82</v>
      </c>
      <c r="BD147" s="30" t="s">
        <v>1499</v>
      </c>
      <c r="BE147" s="30" t="s">
        <v>1500</v>
      </c>
      <c r="BF147" s="30"/>
      <c r="BG147" s="30"/>
      <c r="BH147" s="30"/>
      <c r="BI147" s="30"/>
      <c r="BJ147" s="39">
        <v>19640</v>
      </c>
      <c r="BK147" s="37">
        <v>799389</v>
      </c>
      <c r="BL147" s="39"/>
      <c r="BM147" s="37"/>
      <c r="BN147" s="37">
        <v>19640000000</v>
      </c>
      <c r="BO147" s="34">
        <f t="shared" si="13"/>
        <v>15699999960</v>
      </c>
      <c r="BP147" s="30" t="s">
        <v>1501</v>
      </c>
      <c r="BQ147" s="30" t="s">
        <v>82</v>
      </c>
      <c r="BR147" s="30" t="s">
        <v>1496</v>
      </c>
      <c r="BS147" s="30" t="s">
        <v>78</v>
      </c>
      <c r="BT147" s="30"/>
      <c r="BU147" s="30"/>
      <c r="BV147" s="30"/>
      <c r="BW147" s="30"/>
      <c r="BX147" s="39">
        <v>15240</v>
      </c>
      <c r="BY147" s="37">
        <v>400262</v>
      </c>
      <c r="BZ147" s="39"/>
      <c r="CA147" s="37"/>
      <c r="CB147" s="37">
        <v>7620000000</v>
      </c>
      <c r="CC147" s="34">
        <f t="shared" si="14"/>
        <v>6099992880</v>
      </c>
      <c r="CD147" s="30" t="s">
        <v>1502</v>
      </c>
      <c r="CE147" s="30" t="s">
        <v>82</v>
      </c>
      <c r="CF147" s="30" t="s">
        <v>1503</v>
      </c>
      <c r="CG147" s="30"/>
      <c r="CH147" s="30"/>
    </row>
    <row r="148" spans="2:86" ht="135" x14ac:dyDescent="0.25">
      <c r="B148" s="30" t="s">
        <v>1434</v>
      </c>
      <c r="C148" s="30" t="s">
        <v>1435</v>
      </c>
      <c r="D148" s="36">
        <v>45209</v>
      </c>
      <c r="E148" s="30" t="s">
        <v>743</v>
      </c>
      <c r="F148" s="30" t="s">
        <v>743</v>
      </c>
      <c r="G148" s="30"/>
      <c r="H148" s="30" t="s">
        <v>101</v>
      </c>
      <c r="I148" s="38">
        <v>52</v>
      </c>
      <c r="J148" s="30" t="s">
        <v>70</v>
      </c>
      <c r="K148" s="38">
        <v>98</v>
      </c>
      <c r="L148" s="38"/>
      <c r="M148" s="30"/>
      <c r="N148" s="30"/>
      <c r="O148" s="30"/>
      <c r="P148" s="30"/>
      <c r="Q148" s="30"/>
      <c r="R148" s="30" t="s">
        <v>1504</v>
      </c>
      <c r="S148" s="30" t="s">
        <v>1505</v>
      </c>
      <c r="T148" s="30" t="s">
        <v>1506</v>
      </c>
      <c r="U148" s="30" t="s">
        <v>387</v>
      </c>
      <c r="V148" s="30" t="s">
        <v>85</v>
      </c>
      <c r="W148" s="30" t="s">
        <v>73</v>
      </c>
      <c r="X148" s="30" t="s">
        <v>86</v>
      </c>
      <c r="Y148" s="30" t="s">
        <v>75</v>
      </c>
      <c r="Z148" s="36">
        <v>45191</v>
      </c>
      <c r="AA148" s="36">
        <v>45191</v>
      </c>
      <c r="AB148" s="30" t="s">
        <v>91</v>
      </c>
      <c r="AC148" s="30"/>
      <c r="AD148" s="30"/>
      <c r="AE148" s="30"/>
      <c r="AF148" s="30"/>
      <c r="AG148" s="30"/>
      <c r="AH148" s="30"/>
      <c r="AI148" s="30"/>
      <c r="AJ148" s="33">
        <f t="shared" si="10"/>
        <v>52</v>
      </c>
      <c r="AK148" s="37">
        <v>7000000</v>
      </c>
      <c r="AL148" s="33">
        <f t="shared" si="11"/>
        <v>98</v>
      </c>
      <c r="AM148" s="37"/>
      <c r="AN148" s="37"/>
      <c r="AO148" s="37">
        <v>639500000</v>
      </c>
      <c r="AP148" s="30" t="s">
        <v>1507</v>
      </c>
      <c r="AQ148" s="30" t="s">
        <v>84</v>
      </c>
      <c r="AR148" s="30"/>
      <c r="AS148" s="30"/>
      <c r="AT148" s="30"/>
      <c r="AU148" s="30"/>
      <c r="AV148" s="38">
        <v>565</v>
      </c>
      <c r="AW148" s="37">
        <v>6685699</v>
      </c>
      <c r="AX148" s="38">
        <v>300</v>
      </c>
      <c r="AY148" s="37"/>
      <c r="AZ148" s="37">
        <v>6500000000</v>
      </c>
      <c r="BA148" s="34">
        <f t="shared" si="12"/>
        <v>3777419935</v>
      </c>
      <c r="BB148" s="30" t="s">
        <v>1508</v>
      </c>
      <c r="BC148" s="30" t="s">
        <v>82</v>
      </c>
      <c r="BD148" s="30" t="s">
        <v>1509</v>
      </c>
      <c r="BE148" s="30" t="s">
        <v>84</v>
      </c>
      <c r="BF148" s="30"/>
      <c r="BG148" s="30"/>
      <c r="BH148" s="30"/>
      <c r="BI148" s="30"/>
      <c r="BJ148" s="39">
        <v>115</v>
      </c>
      <c r="BK148" s="37">
        <v>6900000</v>
      </c>
      <c r="BL148" s="39"/>
      <c r="BM148" s="37"/>
      <c r="BN148" s="37">
        <v>1035000000</v>
      </c>
      <c r="BO148" s="34">
        <f t="shared" si="13"/>
        <v>793500000</v>
      </c>
      <c r="BP148" s="30" t="s">
        <v>1510</v>
      </c>
      <c r="BQ148" s="30" t="s">
        <v>82</v>
      </c>
      <c r="BR148" s="30" t="s">
        <v>1511</v>
      </c>
      <c r="BS148" s="30" t="s">
        <v>78</v>
      </c>
      <c r="BT148" s="30"/>
      <c r="BU148" s="30"/>
      <c r="BV148" s="30"/>
      <c r="BW148" s="30"/>
      <c r="BX148" s="39">
        <v>138</v>
      </c>
      <c r="BY148" s="37">
        <v>6900000</v>
      </c>
      <c r="BZ148" s="39"/>
      <c r="CA148" s="37"/>
      <c r="CB148" s="37">
        <v>1242000000</v>
      </c>
      <c r="CC148" s="34">
        <f t="shared" si="14"/>
        <v>952200000</v>
      </c>
      <c r="CD148" s="30" t="s">
        <v>1512</v>
      </c>
      <c r="CE148" s="30" t="s">
        <v>82</v>
      </c>
      <c r="CF148" s="30" t="s">
        <v>644</v>
      </c>
      <c r="CG148" s="30"/>
      <c r="CH148" s="30"/>
    </row>
    <row r="149" spans="2:86" ht="105" x14ac:dyDescent="0.25">
      <c r="B149" s="30" t="s">
        <v>1434</v>
      </c>
      <c r="C149" s="30" t="s">
        <v>1435</v>
      </c>
      <c r="D149" s="36">
        <v>45209</v>
      </c>
      <c r="E149" s="30" t="s">
        <v>743</v>
      </c>
      <c r="F149" s="30" t="s">
        <v>743</v>
      </c>
      <c r="G149" s="30"/>
      <c r="H149" s="30" t="s">
        <v>775</v>
      </c>
      <c r="I149" s="38">
        <v>140</v>
      </c>
      <c r="J149" s="30" t="s">
        <v>70</v>
      </c>
      <c r="K149" s="38">
        <v>120</v>
      </c>
      <c r="L149" s="38"/>
      <c r="M149" s="30"/>
      <c r="N149" s="30"/>
      <c r="O149" s="30"/>
      <c r="P149" s="30"/>
      <c r="Q149" s="30"/>
      <c r="R149" s="30" t="s">
        <v>1513</v>
      </c>
      <c r="S149" s="30" t="s">
        <v>1514</v>
      </c>
      <c r="T149" s="30" t="s">
        <v>1515</v>
      </c>
      <c r="U149" s="30" t="s">
        <v>135</v>
      </c>
      <c r="V149" s="30" t="s">
        <v>95</v>
      </c>
      <c r="W149" s="30" t="s">
        <v>73</v>
      </c>
      <c r="X149" s="30" t="s">
        <v>86</v>
      </c>
      <c r="Y149" s="30" t="s">
        <v>75</v>
      </c>
      <c r="Z149" s="36">
        <v>45191</v>
      </c>
      <c r="AA149" s="36">
        <v>45191</v>
      </c>
      <c r="AB149" s="30" t="s">
        <v>91</v>
      </c>
      <c r="AC149" s="30"/>
      <c r="AD149" s="30"/>
      <c r="AE149" s="30"/>
      <c r="AF149" s="30"/>
      <c r="AG149" s="30"/>
      <c r="AH149" s="30"/>
      <c r="AI149" s="30"/>
      <c r="AJ149" s="33">
        <f t="shared" si="10"/>
        <v>140</v>
      </c>
      <c r="AK149" s="37">
        <v>6000000</v>
      </c>
      <c r="AL149" s="33">
        <f t="shared" si="11"/>
        <v>120</v>
      </c>
      <c r="AM149" s="37"/>
      <c r="AN149" s="37"/>
      <c r="AO149" s="37">
        <v>1065600000</v>
      </c>
      <c r="AP149" s="30" t="s">
        <v>1516</v>
      </c>
      <c r="AQ149" s="30" t="s">
        <v>84</v>
      </c>
      <c r="AR149" s="30"/>
      <c r="AS149" s="30"/>
      <c r="AT149" s="30"/>
      <c r="AU149" s="30"/>
      <c r="AV149" s="38">
        <v>116</v>
      </c>
      <c r="AW149" s="37">
        <v>6048438</v>
      </c>
      <c r="AX149" s="38">
        <v>175</v>
      </c>
      <c r="AY149" s="37"/>
      <c r="AZ149" s="37">
        <v>1700000000</v>
      </c>
      <c r="BA149" s="34">
        <f t="shared" si="12"/>
        <v>701618808</v>
      </c>
      <c r="BB149" s="30" t="s">
        <v>1517</v>
      </c>
      <c r="BC149" s="30" t="s">
        <v>82</v>
      </c>
      <c r="BD149" s="30" t="s">
        <v>1518</v>
      </c>
      <c r="BE149" s="30" t="s">
        <v>84</v>
      </c>
      <c r="BF149" s="30"/>
      <c r="BG149" s="30"/>
      <c r="BH149" s="30"/>
      <c r="BI149" s="30"/>
      <c r="BJ149" s="39">
        <v>161</v>
      </c>
      <c r="BK149" s="37">
        <v>6846661</v>
      </c>
      <c r="BL149" s="39">
        <v>250</v>
      </c>
      <c r="BM149" s="37"/>
      <c r="BN149" s="37">
        <v>2500000000</v>
      </c>
      <c r="BO149" s="34">
        <f t="shared" si="13"/>
        <v>1102312421</v>
      </c>
      <c r="BP149" s="30" t="s">
        <v>1519</v>
      </c>
      <c r="BQ149" s="30" t="s">
        <v>82</v>
      </c>
      <c r="BR149" s="30" t="s">
        <v>1520</v>
      </c>
      <c r="BS149" s="30" t="s">
        <v>84</v>
      </c>
      <c r="BT149" s="30"/>
      <c r="BU149" s="30"/>
      <c r="BV149" s="30"/>
      <c r="BW149" s="30"/>
      <c r="BX149" s="39">
        <v>178</v>
      </c>
      <c r="BY149" s="37">
        <v>5997483</v>
      </c>
      <c r="BZ149" s="39">
        <v>120</v>
      </c>
      <c r="CA149" s="37"/>
      <c r="CB149" s="37">
        <v>1700000000</v>
      </c>
      <c r="CC149" s="34">
        <f t="shared" si="14"/>
        <v>1067551974</v>
      </c>
      <c r="CD149" s="30" t="s">
        <v>1521</v>
      </c>
      <c r="CE149" s="30" t="s">
        <v>82</v>
      </c>
      <c r="CF149" s="30" t="s">
        <v>644</v>
      </c>
      <c r="CG149" s="30"/>
      <c r="CH149" s="30"/>
    </row>
    <row r="150" spans="2:86" ht="150" x14ac:dyDescent="0.25">
      <c r="B150" s="30" t="s">
        <v>1522</v>
      </c>
      <c r="C150" s="30" t="s">
        <v>1523</v>
      </c>
      <c r="D150" s="36">
        <v>45211</v>
      </c>
      <c r="E150" s="30" t="s">
        <v>162</v>
      </c>
      <c r="F150" s="30" t="s">
        <v>162</v>
      </c>
      <c r="G150" s="30"/>
      <c r="H150" s="30" t="s">
        <v>1524</v>
      </c>
      <c r="I150" s="38"/>
      <c r="J150" s="30"/>
      <c r="K150" s="38"/>
      <c r="L150" s="38"/>
      <c r="M150" s="30" t="s">
        <v>1525</v>
      </c>
      <c r="N150" s="30"/>
      <c r="O150" s="30">
        <v>1</v>
      </c>
      <c r="P150" s="30" t="s">
        <v>164</v>
      </c>
      <c r="Q150" s="30" t="s">
        <v>1526</v>
      </c>
      <c r="R150" s="30" t="s">
        <v>1527</v>
      </c>
      <c r="S150" s="30" t="s">
        <v>201</v>
      </c>
      <c r="T150" s="30" t="s">
        <v>1528</v>
      </c>
      <c r="U150" s="30" t="s">
        <v>203</v>
      </c>
      <c r="V150" s="30" t="s">
        <v>95</v>
      </c>
      <c r="W150" s="30" t="s">
        <v>73</v>
      </c>
      <c r="X150" s="30" t="s">
        <v>86</v>
      </c>
      <c r="Y150" s="30" t="s">
        <v>75</v>
      </c>
      <c r="Z150" s="36">
        <v>45204</v>
      </c>
      <c r="AA150" s="36">
        <v>45205</v>
      </c>
      <c r="AB150" s="30" t="s">
        <v>91</v>
      </c>
      <c r="AC150" s="30" t="s">
        <v>1529</v>
      </c>
      <c r="AD150" s="30"/>
      <c r="AE150" s="30" t="s">
        <v>1530</v>
      </c>
      <c r="AF150" s="30"/>
      <c r="AG150" s="30" t="s">
        <v>1531</v>
      </c>
      <c r="AH150" s="30"/>
      <c r="AI150" s="30"/>
      <c r="AJ150" s="33">
        <f t="shared" si="10"/>
        <v>0</v>
      </c>
      <c r="AK150" s="37"/>
      <c r="AL150" s="33">
        <f t="shared" si="11"/>
        <v>0</v>
      </c>
      <c r="AM150" s="37"/>
      <c r="AN150" s="37" t="s">
        <v>1532</v>
      </c>
      <c r="AO150" s="37">
        <v>709000000</v>
      </c>
      <c r="AP150" s="30" t="s">
        <v>1533</v>
      </c>
      <c r="AQ150" s="30" t="s">
        <v>144</v>
      </c>
      <c r="AR150" s="30"/>
      <c r="AS150" s="30"/>
      <c r="AT150" s="30" t="s">
        <v>1534</v>
      </c>
      <c r="AU150" s="30">
        <v>2022</v>
      </c>
      <c r="AV150" s="38"/>
      <c r="AW150" s="37"/>
      <c r="AX150" s="38"/>
      <c r="AY150" s="37"/>
      <c r="AZ150" s="37">
        <v>818000000</v>
      </c>
      <c r="BA150" s="34">
        <f t="shared" si="12"/>
        <v>0</v>
      </c>
      <c r="BB150" s="30" t="s">
        <v>1535</v>
      </c>
      <c r="BC150" s="30" t="s">
        <v>82</v>
      </c>
      <c r="BD150" s="30" t="s">
        <v>1536</v>
      </c>
      <c r="BE150" s="30" t="s">
        <v>144</v>
      </c>
      <c r="BF150" s="30"/>
      <c r="BG150" s="30"/>
      <c r="BH150" s="30" t="s">
        <v>1537</v>
      </c>
      <c r="BI150" s="30">
        <v>2022</v>
      </c>
      <c r="BJ150" s="39"/>
      <c r="BK150" s="37"/>
      <c r="BL150" s="39"/>
      <c r="BM150" s="37"/>
      <c r="BN150" s="37">
        <v>820000000</v>
      </c>
      <c r="BO150" s="34">
        <f t="shared" si="13"/>
        <v>0</v>
      </c>
      <c r="BP150" s="30" t="s">
        <v>1538</v>
      </c>
      <c r="BQ150" s="30" t="s">
        <v>82</v>
      </c>
      <c r="BR150" s="30" t="s">
        <v>1539</v>
      </c>
      <c r="BS150" s="30" t="s">
        <v>144</v>
      </c>
      <c r="BT150" s="30"/>
      <c r="BU150" s="30"/>
      <c r="BV150" s="30" t="s">
        <v>1537</v>
      </c>
      <c r="BW150" s="30">
        <v>2023</v>
      </c>
      <c r="BX150" s="39"/>
      <c r="BY150" s="37"/>
      <c r="BZ150" s="39"/>
      <c r="CA150" s="37"/>
      <c r="CB150" s="37">
        <v>990000000</v>
      </c>
      <c r="CC150" s="34">
        <f t="shared" si="14"/>
        <v>0</v>
      </c>
      <c r="CD150" s="30" t="s">
        <v>1540</v>
      </c>
      <c r="CE150" s="30" t="s">
        <v>82</v>
      </c>
      <c r="CF150" s="30" t="s">
        <v>644</v>
      </c>
      <c r="CG150" s="30"/>
      <c r="CH150" s="30"/>
    </row>
    <row r="151" spans="2:86" ht="150" x14ac:dyDescent="0.25">
      <c r="B151" s="30" t="s">
        <v>1522</v>
      </c>
      <c r="C151" s="30" t="s">
        <v>1523</v>
      </c>
      <c r="D151" s="36">
        <v>45211</v>
      </c>
      <c r="E151" s="30" t="s">
        <v>162</v>
      </c>
      <c r="F151" s="30" t="s">
        <v>162</v>
      </c>
      <c r="G151" s="30"/>
      <c r="H151" s="30" t="s">
        <v>1524</v>
      </c>
      <c r="I151" s="38"/>
      <c r="J151" s="30"/>
      <c r="K151" s="38"/>
      <c r="L151" s="38"/>
      <c r="M151" s="30" t="s">
        <v>1525</v>
      </c>
      <c r="N151" s="30"/>
      <c r="O151" s="30">
        <v>1</v>
      </c>
      <c r="P151" s="30" t="s">
        <v>164</v>
      </c>
      <c r="Q151" s="30" t="s">
        <v>1526</v>
      </c>
      <c r="R151" s="30" t="s">
        <v>1527</v>
      </c>
      <c r="S151" s="30" t="s">
        <v>201</v>
      </c>
      <c r="T151" s="30" t="s">
        <v>1528</v>
      </c>
      <c r="U151" s="30" t="s">
        <v>203</v>
      </c>
      <c r="V151" s="30" t="s">
        <v>95</v>
      </c>
      <c r="W151" s="30" t="s">
        <v>73</v>
      </c>
      <c r="X151" s="30" t="s">
        <v>86</v>
      </c>
      <c r="Y151" s="30" t="s">
        <v>75</v>
      </c>
      <c r="Z151" s="36">
        <v>45204</v>
      </c>
      <c r="AA151" s="36">
        <v>45205</v>
      </c>
      <c r="AB151" s="30" t="s">
        <v>91</v>
      </c>
      <c r="AC151" s="30" t="s">
        <v>1541</v>
      </c>
      <c r="AD151" s="30"/>
      <c r="AE151" s="30" t="s">
        <v>1530</v>
      </c>
      <c r="AF151" s="30"/>
      <c r="AG151" s="30" t="s">
        <v>1542</v>
      </c>
      <c r="AH151" s="30"/>
      <c r="AI151" s="30"/>
      <c r="AJ151" s="33">
        <f t="shared" si="10"/>
        <v>0</v>
      </c>
      <c r="AK151" s="37"/>
      <c r="AL151" s="33">
        <f t="shared" si="11"/>
        <v>0</v>
      </c>
      <c r="AM151" s="37"/>
      <c r="AN151" s="37" t="s">
        <v>1532</v>
      </c>
      <c r="AO151" s="37">
        <v>706000000</v>
      </c>
      <c r="AP151" s="30" t="s">
        <v>1533</v>
      </c>
      <c r="AQ151" s="30" t="s">
        <v>144</v>
      </c>
      <c r="AR151" s="30"/>
      <c r="AS151" s="30"/>
      <c r="AT151" s="30" t="s">
        <v>1534</v>
      </c>
      <c r="AU151" s="30">
        <v>2022</v>
      </c>
      <c r="AV151" s="38"/>
      <c r="AW151" s="37"/>
      <c r="AX151" s="38"/>
      <c r="AY151" s="37"/>
      <c r="AZ151" s="37">
        <v>818000000</v>
      </c>
      <c r="BA151" s="34">
        <f t="shared" si="12"/>
        <v>0</v>
      </c>
      <c r="BB151" s="30" t="s">
        <v>1535</v>
      </c>
      <c r="BC151" s="30" t="s">
        <v>82</v>
      </c>
      <c r="BD151" s="30" t="s">
        <v>1536</v>
      </c>
      <c r="BE151" s="30" t="s">
        <v>144</v>
      </c>
      <c r="BF151" s="30"/>
      <c r="BG151" s="30"/>
      <c r="BH151" s="30" t="s">
        <v>1537</v>
      </c>
      <c r="BI151" s="30">
        <v>2022</v>
      </c>
      <c r="BJ151" s="39"/>
      <c r="BK151" s="37"/>
      <c r="BL151" s="39"/>
      <c r="BM151" s="37"/>
      <c r="BN151" s="37">
        <v>820000000</v>
      </c>
      <c r="BO151" s="34">
        <f t="shared" si="13"/>
        <v>0</v>
      </c>
      <c r="BP151" s="30" t="s">
        <v>1538</v>
      </c>
      <c r="BQ151" s="30" t="s">
        <v>82</v>
      </c>
      <c r="BR151" s="30" t="s">
        <v>1539</v>
      </c>
      <c r="BS151" s="30" t="s">
        <v>144</v>
      </c>
      <c r="BT151" s="30"/>
      <c r="BU151" s="30"/>
      <c r="BV151" s="30" t="s">
        <v>1537</v>
      </c>
      <c r="BW151" s="30">
        <v>2023</v>
      </c>
      <c r="BX151" s="39"/>
      <c r="BY151" s="37"/>
      <c r="BZ151" s="39"/>
      <c r="CA151" s="37"/>
      <c r="CB151" s="37">
        <v>990000000</v>
      </c>
      <c r="CC151" s="34">
        <f t="shared" si="14"/>
        <v>0</v>
      </c>
      <c r="CD151" s="30" t="s">
        <v>1540</v>
      </c>
      <c r="CE151" s="30" t="s">
        <v>82</v>
      </c>
      <c r="CF151" s="30" t="s">
        <v>644</v>
      </c>
      <c r="CG151" s="30"/>
      <c r="CH151" s="30"/>
    </row>
    <row r="152" spans="2:86" ht="195" x14ac:dyDescent="0.25">
      <c r="B152" s="30" t="s">
        <v>1543</v>
      </c>
      <c r="C152" s="30" t="s">
        <v>1544</v>
      </c>
      <c r="D152" s="36">
        <v>45211</v>
      </c>
      <c r="E152" s="30" t="s">
        <v>1545</v>
      </c>
      <c r="F152" s="30" t="s">
        <v>1546</v>
      </c>
      <c r="G152" s="30"/>
      <c r="H152" s="30" t="s">
        <v>1547</v>
      </c>
      <c r="I152" s="38"/>
      <c r="J152" s="30"/>
      <c r="K152" s="38">
        <v>559</v>
      </c>
      <c r="L152" s="38"/>
      <c r="M152" s="30" t="s">
        <v>1548</v>
      </c>
      <c r="N152" s="30"/>
      <c r="O152" s="30"/>
      <c r="P152" s="30"/>
      <c r="Q152" s="30"/>
      <c r="R152" s="30" t="s">
        <v>1549</v>
      </c>
      <c r="S152" s="30" t="s">
        <v>1550</v>
      </c>
      <c r="T152" s="30" t="s">
        <v>1551</v>
      </c>
      <c r="U152" s="30" t="s">
        <v>1552</v>
      </c>
      <c r="V152" s="30" t="s">
        <v>1553</v>
      </c>
      <c r="W152" s="30" t="s">
        <v>73</v>
      </c>
      <c r="X152" s="30" t="s">
        <v>86</v>
      </c>
      <c r="Y152" s="30" t="s">
        <v>796</v>
      </c>
      <c r="Z152" s="36">
        <v>45159</v>
      </c>
      <c r="AA152" s="36">
        <v>45160</v>
      </c>
      <c r="AB152" s="30" t="s">
        <v>91</v>
      </c>
      <c r="AC152" s="30"/>
      <c r="AD152" s="30"/>
      <c r="AE152" s="30"/>
      <c r="AF152" s="30"/>
      <c r="AG152" s="30"/>
      <c r="AH152" s="30"/>
      <c r="AI152" s="30"/>
      <c r="AJ152" s="33">
        <f t="shared" si="10"/>
        <v>0</v>
      </c>
      <c r="AK152" s="37"/>
      <c r="AL152" s="33">
        <f t="shared" si="11"/>
        <v>559</v>
      </c>
      <c r="AM152" s="37"/>
      <c r="AN152" s="37">
        <v>1935400000</v>
      </c>
      <c r="AO152" s="71">
        <f>AN152+AN153+AN154+AN155</f>
        <v>58667059000</v>
      </c>
      <c r="AP152" s="30"/>
      <c r="AQ152" s="30"/>
      <c r="AR152" s="30"/>
      <c r="AS152" s="30"/>
      <c r="AT152" s="30"/>
      <c r="AU152" s="30"/>
      <c r="AV152" s="38"/>
      <c r="AW152" s="37"/>
      <c r="AX152" s="38"/>
      <c r="AY152" s="37"/>
      <c r="AZ152" s="37"/>
      <c r="BA152" s="34">
        <f t="shared" si="12"/>
        <v>0</v>
      </c>
      <c r="BB152" s="30"/>
      <c r="BC152" s="30"/>
      <c r="BD152" s="30"/>
      <c r="BE152" s="30"/>
      <c r="BF152" s="30"/>
      <c r="BG152" s="30"/>
      <c r="BH152" s="30"/>
      <c r="BI152" s="30"/>
      <c r="BJ152" s="39"/>
      <c r="BK152" s="37"/>
      <c r="BL152" s="39"/>
      <c r="BM152" s="37"/>
      <c r="BN152" s="37"/>
      <c r="BO152" s="34">
        <f t="shared" si="13"/>
        <v>0</v>
      </c>
      <c r="BP152" s="30"/>
      <c r="BQ152" s="30"/>
      <c r="BR152" s="30"/>
      <c r="BS152" s="30"/>
      <c r="BT152" s="30"/>
      <c r="BU152" s="30"/>
      <c r="BV152" s="30"/>
      <c r="BW152" s="30"/>
      <c r="BX152" s="39"/>
      <c r="BY152" s="37"/>
      <c r="BZ152" s="39"/>
      <c r="CA152" s="37"/>
      <c r="CB152" s="37"/>
      <c r="CC152" s="34">
        <f t="shared" si="14"/>
        <v>0</v>
      </c>
      <c r="CD152" s="30"/>
      <c r="CE152" s="30"/>
      <c r="CF152" s="30"/>
      <c r="CG152" s="30"/>
      <c r="CH152" s="30"/>
    </row>
    <row r="153" spans="2:86" ht="90" x14ac:dyDescent="0.25">
      <c r="B153" s="30" t="s">
        <v>1543</v>
      </c>
      <c r="C153" s="30" t="s">
        <v>1544</v>
      </c>
      <c r="D153" s="36">
        <v>45211</v>
      </c>
      <c r="E153" s="30" t="s">
        <v>1545</v>
      </c>
      <c r="F153" s="30" t="s">
        <v>1546</v>
      </c>
      <c r="G153" s="30"/>
      <c r="H153" s="30" t="s">
        <v>1385</v>
      </c>
      <c r="I153" s="38"/>
      <c r="J153" s="30"/>
      <c r="K153" s="38"/>
      <c r="L153" s="38"/>
      <c r="M153" s="30" t="s">
        <v>1554</v>
      </c>
      <c r="N153" s="30"/>
      <c r="O153" s="30"/>
      <c r="P153" s="30"/>
      <c r="Q153" s="30"/>
      <c r="R153" s="30" t="s">
        <v>1549</v>
      </c>
      <c r="S153" s="30" t="s">
        <v>1550</v>
      </c>
      <c r="T153" s="30" t="s">
        <v>1551</v>
      </c>
      <c r="U153" s="30" t="s">
        <v>1552</v>
      </c>
      <c r="V153" s="30" t="s">
        <v>1553</v>
      </c>
      <c r="W153" s="30" t="s">
        <v>73</v>
      </c>
      <c r="X153" s="30" t="s">
        <v>86</v>
      </c>
      <c r="Y153" s="30" t="s">
        <v>796</v>
      </c>
      <c r="Z153" s="36">
        <v>45159</v>
      </c>
      <c r="AA153" s="36">
        <v>45160</v>
      </c>
      <c r="AB153" s="30" t="s">
        <v>91</v>
      </c>
      <c r="AC153" s="30"/>
      <c r="AD153" s="30"/>
      <c r="AE153" s="30"/>
      <c r="AF153" s="30"/>
      <c r="AG153" s="30"/>
      <c r="AH153" s="30"/>
      <c r="AI153" s="30"/>
      <c r="AJ153" s="33">
        <f t="shared" si="10"/>
        <v>0</v>
      </c>
      <c r="AK153" s="37"/>
      <c r="AL153" s="33">
        <f t="shared" si="11"/>
        <v>0</v>
      </c>
      <c r="AM153" s="37"/>
      <c r="AN153" s="72">
        <v>3037465000</v>
      </c>
      <c r="AO153" s="73"/>
      <c r="AP153" s="30"/>
      <c r="AQ153" s="30"/>
      <c r="AR153" s="30"/>
      <c r="AS153" s="30"/>
      <c r="AT153" s="30"/>
      <c r="AU153" s="30"/>
      <c r="AV153" s="38"/>
      <c r="AW153" s="37"/>
      <c r="AX153" s="38"/>
      <c r="AY153" s="37"/>
      <c r="AZ153" s="37"/>
      <c r="BA153" s="34">
        <f t="shared" si="12"/>
        <v>0</v>
      </c>
      <c r="BB153" s="30"/>
      <c r="BC153" s="30"/>
      <c r="BD153" s="30"/>
      <c r="BE153" s="30"/>
      <c r="BF153" s="30"/>
      <c r="BG153" s="30"/>
      <c r="BH153" s="30"/>
      <c r="BI153" s="30"/>
      <c r="BJ153" s="39"/>
      <c r="BK153" s="37"/>
      <c r="BL153" s="39"/>
      <c r="BM153" s="37"/>
      <c r="BN153" s="37"/>
      <c r="BO153" s="34">
        <f t="shared" si="13"/>
        <v>0</v>
      </c>
      <c r="BP153" s="30"/>
      <c r="BQ153" s="30"/>
      <c r="BR153" s="30"/>
      <c r="BS153" s="30"/>
      <c r="BT153" s="30"/>
      <c r="BU153" s="30"/>
      <c r="BV153" s="30"/>
      <c r="BW153" s="30"/>
      <c r="BX153" s="39"/>
      <c r="BY153" s="37"/>
      <c r="BZ153" s="39"/>
      <c r="CA153" s="37"/>
      <c r="CB153" s="37"/>
      <c r="CC153" s="34">
        <f t="shared" si="14"/>
        <v>0</v>
      </c>
      <c r="CD153" s="30"/>
      <c r="CE153" s="30"/>
      <c r="CF153" s="30"/>
      <c r="CG153" s="30"/>
      <c r="CH153" s="30"/>
    </row>
    <row r="154" spans="2:86" ht="409.5" x14ac:dyDescent="0.25">
      <c r="B154" s="30" t="s">
        <v>1543</v>
      </c>
      <c r="C154" s="30" t="s">
        <v>1544</v>
      </c>
      <c r="D154" s="36">
        <v>45211</v>
      </c>
      <c r="E154" s="30" t="s">
        <v>1545</v>
      </c>
      <c r="F154" s="30" t="s">
        <v>1546</v>
      </c>
      <c r="G154" s="30"/>
      <c r="H154" s="30" t="s">
        <v>1555</v>
      </c>
      <c r="I154" s="38"/>
      <c r="J154" s="30"/>
      <c r="K154" s="38"/>
      <c r="L154" s="38"/>
      <c r="M154" s="30" t="s">
        <v>1556</v>
      </c>
      <c r="N154" s="30"/>
      <c r="O154" s="30"/>
      <c r="P154" s="30"/>
      <c r="Q154" s="30"/>
      <c r="R154" s="30" t="s">
        <v>1549</v>
      </c>
      <c r="S154" s="30" t="s">
        <v>1550</v>
      </c>
      <c r="T154" s="30" t="s">
        <v>1551</v>
      </c>
      <c r="U154" s="30" t="s">
        <v>1552</v>
      </c>
      <c r="V154" s="30" t="s">
        <v>1553</v>
      </c>
      <c r="W154" s="30" t="s">
        <v>73</v>
      </c>
      <c r="X154" s="30" t="s">
        <v>86</v>
      </c>
      <c r="Y154" s="30" t="s">
        <v>796</v>
      </c>
      <c r="Z154" s="36">
        <v>45159</v>
      </c>
      <c r="AA154" s="36">
        <v>45160</v>
      </c>
      <c r="AB154" s="30" t="s">
        <v>91</v>
      </c>
      <c r="AC154" s="30"/>
      <c r="AD154" s="30"/>
      <c r="AE154" s="30"/>
      <c r="AF154" s="30"/>
      <c r="AG154" s="30"/>
      <c r="AH154" s="30"/>
      <c r="AI154" s="30"/>
      <c r="AJ154" s="33">
        <f t="shared" si="10"/>
        <v>0</v>
      </c>
      <c r="AK154" s="37"/>
      <c r="AL154" s="33">
        <f t="shared" si="11"/>
        <v>0</v>
      </c>
      <c r="AM154" s="37"/>
      <c r="AN154" s="72">
        <v>23624510000</v>
      </c>
      <c r="AO154" s="73"/>
      <c r="AP154" s="30"/>
      <c r="AQ154" s="30"/>
      <c r="AR154" s="30"/>
      <c r="AS154" s="30"/>
      <c r="AT154" s="30"/>
      <c r="AU154" s="30"/>
      <c r="AV154" s="38"/>
      <c r="AW154" s="37"/>
      <c r="AX154" s="38"/>
      <c r="AY154" s="37"/>
      <c r="AZ154" s="37"/>
      <c r="BA154" s="34">
        <f t="shared" si="12"/>
        <v>0</v>
      </c>
      <c r="BB154" s="30"/>
      <c r="BC154" s="30"/>
      <c r="BD154" s="30"/>
      <c r="BE154" s="30"/>
      <c r="BF154" s="30"/>
      <c r="BG154" s="30"/>
      <c r="BH154" s="30"/>
      <c r="BI154" s="30"/>
      <c r="BJ154" s="39"/>
      <c r="BK154" s="37"/>
      <c r="BL154" s="39"/>
      <c r="BM154" s="37"/>
      <c r="BN154" s="37"/>
      <c r="BO154" s="34">
        <f t="shared" si="13"/>
        <v>0</v>
      </c>
      <c r="BP154" s="30"/>
      <c r="BQ154" s="30"/>
      <c r="BR154" s="30"/>
      <c r="BS154" s="30"/>
      <c r="BT154" s="30"/>
      <c r="BU154" s="30"/>
      <c r="BV154" s="30"/>
      <c r="BW154" s="30"/>
      <c r="BX154" s="39"/>
      <c r="BY154" s="37"/>
      <c r="BZ154" s="39"/>
      <c r="CA154" s="37"/>
      <c r="CB154" s="37"/>
      <c r="CC154" s="34">
        <f t="shared" si="14"/>
        <v>0</v>
      </c>
      <c r="CD154" s="30"/>
      <c r="CE154" s="30"/>
      <c r="CF154" s="30"/>
      <c r="CG154" s="30"/>
      <c r="CH154" s="30"/>
    </row>
    <row r="155" spans="2:86" ht="75" x14ac:dyDescent="0.25">
      <c r="B155" s="30" t="s">
        <v>1543</v>
      </c>
      <c r="C155" s="30" t="s">
        <v>1544</v>
      </c>
      <c r="D155" s="36">
        <v>45211</v>
      </c>
      <c r="E155" s="30" t="s">
        <v>1545</v>
      </c>
      <c r="F155" s="30" t="s">
        <v>1546</v>
      </c>
      <c r="G155" s="30"/>
      <c r="H155" s="30" t="s">
        <v>1557</v>
      </c>
      <c r="I155" s="38"/>
      <c r="J155" s="30"/>
      <c r="K155" s="38"/>
      <c r="L155" s="38"/>
      <c r="M155" s="30" t="s">
        <v>1558</v>
      </c>
      <c r="N155" s="30"/>
      <c r="O155" s="30"/>
      <c r="P155" s="30"/>
      <c r="Q155" s="30"/>
      <c r="R155" s="30" t="s">
        <v>1549</v>
      </c>
      <c r="S155" s="30" t="s">
        <v>1550</v>
      </c>
      <c r="T155" s="30" t="s">
        <v>1551</v>
      </c>
      <c r="U155" s="30" t="s">
        <v>1552</v>
      </c>
      <c r="V155" s="30" t="s">
        <v>1553</v>
      </c>
      <c r="W155" s="30" t="s">
        <v>73</v>
      </c>
      <c r="X155" s="30" t="s">
        <v>86</v>
      </c>
      <c r="Y155" s="30" t="s">
        <v>796</v>
      </c>
      <c r="Z155" s="36">
        <v>45159</v>
      </c>
      <c r="AA155" s="36">
        <v>45160</v>
      </c>
      <c r="AB155" s="30" t="s">
        <v>91</v>
      </c>
      <c r="AC155" s="30"/>
      <c r="AD155" s="30"/>
      <c r="AE155" s="30"/>
      <c r="AF155" s="30"/>
      <c r="AG155" s="30"/>
      <c r="AH155" s="30"/>
      <c r="AI155" s="30"/>
      <c r="AJ155" s="33">
        <f t="shared" si="10"/>
        <v>0</v>
      </c>
      <c r="AK155" s="37"/>
      <c r="AL155" s="33">
        <f t="shared" si="11"/>
        <v>0</v>
      </c>
      <c r="AM155" s="37"/>
      <c r="AN155" s="72">
        <v>30069684000</v>
      </c>
      <c r="AO155" s="74"/>
      <c r="AP155" s="30"/>
      <c r="AQ155" s="30"/>
      <c r="AR155" s="30"/>
      <c r="AS155" s="30"/>
      <c r="AT155" s="30"/>
      <c r="AU155" s="30"/>
      <c r="AV155" s="38"/>
      <c r="AW155" s="37"/>
      <c r="AX155" s="38"/>
      <c r="AY155" s="37"/>
      <c r="AZ155" s="37"/>
      <c r="BA155" s="34">
        <f t="shared" si="12"/>
        <v>0</v>
      </c>
      <c r="BB155" s="30"/>
      <c r="BC155" s="30"/>
      <c r="BD155" s="30"/>
      <c r="BE155" s="30"/>
      <c r="BF155" s="30"/>
      <c r="BG155" s="30"/>
      <c r="BH155" s="30"/>
      <c r="BI155" s="30"/>
      <c r="BJ155" s="39"/>
      <c r="BK155" s="37"/>
      <c r="BL155" s="39"/>
      <c r="BM155" s="37"/>
      <c r="BN155" s="37"/>
      <c r="BO155" s="34">
        <f t="shared" si="13"/>
        <v>0</v>
      </c>
      <c r="BP155" s="30"/>
      <c r="BQ155" s="30"/>
      <c r="BR155" s="30"/>
      <c r="BS155" s="30"/>
      <c r="BT155" s="30"/>
      <c r="BU155" s="30"/>
      <c r="BV155" s="30"/>
      <c r="BW155" s="30"/>
      <c r="BX155" s="39"/>
      <c r="BY155" s="37"/>
      <c r="BZ155" s="39"/>
      <c r="CA155" s="37"/>
      <c r="CB155" s="37"/>
      <c r="CC155" s="34">
        <f t="shared" si="14"/>
        <v>0</v>
      </c>
      <c r="CD155" s="30"/>
      <c r="CE155" s="30"/>
      <c r="CF155" s="30"/>
      <c r="CG155" s="30"/>
      <c r="CH155" s="30"/>
    </row>
    <row r="156" spans="2:86" ht="409.5" x14ac:dyDescent="0.25">
      <c r="B156" s="40" t="s">
        <v>1559</v>
      </c>
      <c r="C156" s="40" t="s">
        <v>1560</v>
      </c>
      <c r="D156" s="41">
        <v>45217</v>
      </c>
      <c r="E156" s="40" t="s">
        <v>1561</v>
      </c>
      <c r="F156" s="40" t="s">
        <v>1561</v>
      </c>
      <c r="G156" s="40"/>
      <c r="H156" s="40" t="s">
        <v>1562</v>
      </c>
      <c r="I156" s="42"/>
      <c r="J156" s="40"/>
      <c r="K156" s="42"/>
      <c r="L156" s="42"/>
      <c r="M156" s="40" t="s">
        <v>1563</v>
      </c>
      <c r="N156" s="40"/>
      <c r="O156" s="40">
        <v>1</v>
      </c>
      <c r="P156" s="40" t="s">
        <v>164</v>
      </c>
      <c r="Q156" s="40"/>
      <c r="R156" s="40" t="s">
        <v>1564</v>
      </c>
      <c r="S156" s="40" t="s">
        <v>1565</v>
      </c>
      <c r="T156" s="40" t="s">
        <v>1566</v>
      </c>
      <c r="U156" s="40" t="s">
        <v>540</v>
      </c>
      <c r="V156" s="40" t="s">
        <v>80</v>
      </c>
      <c r="W156" s="40" t="s">
        <v>73</v>
      </c>
      <c r="X156" s="40" t="s">
        <v>146</v>
      </c>
      <c r="Y156" s="40" t="s">
        <v>75</v>
      </c>
      <c r="Z156" s="41">
        <v>45201</v>
      </c>
      <c r="AA156" s="41">
        <v>45202</v>
      </c>
      <c r="AB156" s="40" t="s">
        <v>91</v>
      </c>
      <c r="AC156" s="40" t="s">
        <v>1567</v>
      </c>
      <c r="AD156" s="40"/>
      <c r="AE156" s="40" t="s">
        <v>1568</v>
      </c>
      <c r="AF156" s="40"/>
      <c r="AG156" s="40"/>
      <c r="AH156" s="40"/>
      <c r="AI156" s="40"/>
      <c r="AJ156" s="33">
        <f t="shared" si="10"/>
        <v>0</v>
      </c>
      <c r="AK156" s="43"/>
      <c r="AL156" s="33">
        <f t="shared" si="11"/>
        <v>0</v>
      </c>
      <c r="AM156" s="43"/>
      <c r="AN156" s="75">
        <v>3447870000</v>
      </c>
      <c r="AO156" s="76">
        <f>AN156+AN157</f>
        <v>7279990000</v>
      </c>
      <c r="AP156" s="40" t="s">
        <v>1569</v>
      </c>
      <c r="AQ156" s="40" t="s">
        <v>144</v>
      </c>
      <c r="AR156" s="40"/>
      <c r="AS156" s="40"/>
      <c r="AT156" s="40" t="s">
        <v>1570</v>
      </c>
      <c r="AU156" s="40">
        <v>2014</v>
      </c>
      <c r="AV156" s="42"/>
      <c r="AW156" s="43"/>
      <c r="AX156" s="42"/>
      <c r="AY156" s="43"/>
      <c r="AZ156" s="43">
        <v>575000000</v>
      </c>
      <c r="BA156" s="34">
        <f t="shared" si="12"/>
        <v>0</v>
      </c>
      <c r="BB156" s="40" t="s">
        <v>1571</v>
      </c>
      <c r="BC156" s="40" t="s">
        <v>82</v>
      </c>
      <c r="BD156" s="40" t="s">
        <v>80</v>
      </c>
      <c r="BE156" s="40" t="s">
        <v>144</v>
      </c>
      <c r="BF156" s="40"/>
      <c r="BG156" s="40"/>
      <c r="BH156" s="40" t="s">
        <v>1572</v>
      </c>
      <c r="BI156" s="40">
        <v>2014</v>
      </c>
      <c r="BJ156" s="44"/>
      <c r="BK156" s="43"/>
      <c r="BL156" s="44"/>
      <c r="BM156" s="43"/>
      <c r="BN156" s="43">
        <v>560000000</v>
      </c>
      <c r="BO156" s="34">
        <f t="shared" si="13"/>
        <v>0</v>
      </c>
      <c r="BP156" s="40" t="s">
        <v>1573</v>
      </c>
      <c r="BQ156" s="40" t="s">
        <v>82</v>
      </c>
      <c r="BR156" s="40" t="s">
        <v>80</v>
      </c>
      <c r="BS156" s="40" t="s">
        <v>144</v>
      </c>
      <c r="BT156" s="40"/>
      <c r="BU156" s="40"/>
      <c r="BV156" s="40" t="s">
        <v>1572</v>
      </c>
      <c r="BW156" s="40">
        <v>2012</v>
      </c>
      <c r="BX156" s="44"/>
      <c r="BY156" s="43"/>
      <c r="BZ156" s="44"/>
      <c r="CA156" s="43"/>
      <c r="CB156" s="43">
        <v>500000000</v>
      </c>
      <c r="CC156" s="34">
        <f t="shared" si="14"/>
        <v>0</v>
      </c>
      <c r="CD156" s="40"/>
      <c r="CE156" s="40"/>
      <c r="CF156" s="77" t="s">
        <v>1574</v>
      </c>
      <c r="CG156" s="40"/>
      <c r="CH156" s="40"/>
    </row>
    <row r="157" spans="2:86" ht="409.5" x14ac:dyDescent="0.25">
      <c r="B157" s="40" t="s">
        <v>1559</v>
      </c>
      <c r="C157" s="40" t="s">
        <v>1560</v>
      </c>
      <c r="D157" s="41">
        <v>45217</v>
      </c>
      <c r="E157" s="40" t="s">
        <v>1561</v>
      </c>
      <c r="F157" s="40" t="s">
        <v>1561</v>
      </c>
      <c r="G157" s="40"/>
      <c r="H157" s="40" t="s">
        <v>1575</v>
      </c>
      <c r="I157" s="42"/>
      <c r="J157" s="40"/>
      <c r="K157" s="42"/>
      <c r="L157" s="42"/>
      <c r="M157" s="40" t="s">
        <v>1576</v>
      </c>
      <c r="N157" s="40"/>
      <c r="O157" s="40">
        <v>1</v>
      </c>
      <c r="P157" s="40" t="s">
        <v>164</v>
      </c>
      <c r="Q157" s="40"/>
      <c r="R157" s="40" t="s">
        <v>1577</v>
      </c>
      <c r="S157" s="40" t="s">
        <v>1578</v>
      </c>
      <c r="T157" s="40" t="s">
        <v>1579</v>
      </c>
      <c r="U157" s="40" t="s">
        <v>141</v>
      </c>
      <c r="V157" s="40" t="s">
        <v>95</v>
      </c>
      <c r="W157" s="40" t="s">
        <v>73</v>
      </c>
      <c r="X157" s="40" t="s">
        <v>146</v>
      </c>
      <c r="Y157" s="40" t="s">
        <v>75</v>
      </c>
      <c r="Z157" s="41">
        <v>45202</v>
      </c>
      <c r="AA157" s="41">
        <v>45202</v>
      </c>
      <c r="AB157" s="40" t="s">
        <v>91</v>
      </c>
      <c r="AC157" s="40" t="s">
        <v>1580</v>
      </c>
      <c r="AD157" s="40"/>
      <c r="AE157" s="40" t="s">
        <v>1568</v>
      </c>
      <c r="AF157" s="40"/>
      <c r="AG157" s="40"/>
      <c r="AH157" s="40"/>
      <c r="AI157" s="40"/>
      <c r="AJ157" s="33">
        <f t="shared" si="10"/>
        <v>0</v>
      </c>
      <c r="AK157" s="43"/>
      <c r="AL157" s="33">
        <f t="shared" si="11"/>
        <v>0</v>
      </c>
      <c r="AM157" s="43"/>
      <c r="AN157" s="75">
        <v>3832120000</v>
      </c>
      <c r="AO157" s="78"/>
      <c r="AP157" s="40" t="s">
        <v>1203</v>
      </c>
      <c r="AQ157" s="40" t="s">
        <v>144</v>
      </c>
      <c r="AR157" s="40"/>
      <c r="AS157" s="40"/>
      <c r="AT157" s="40" t="s">
        <v>1581</v>
      </c>
      <c r="AU157" s="40">
        <v>2012</v>
      </c>
      <c r="AV157" s="42"/>
      <c r="AW157" s="43"/>
      <c r="AX157" s="42"/>
      <c r="AY157" s="43"/>
      <c r="AZ157" s="43">
        <v>370000000</v>
      </c>
      <c r="BA157" s="34">
        <f t="shared" si="12"/>
        <v>0</v>
      </c>
      <c r="BB157" s="40" t="s">
        <v>1582</v>
      </c>
      <c r="BC157" s="40" t="s">
        <v>82</v>
      </c>
      <c r="BD157" s="40" t="s">
        <v>1583</v>
      </c>
      <c r="BE157" s="40" t="s">
        <v>144</v>
      </c>
      <c r="BF157" s="40"/>
      <c r="BG157" s="40"/>
      <c r="BH157" s="40" t="s">
        <v>1581</v>
      </c>
      <c r="BI157" s="40">
        <v>2012</v>
      </c>
      <c r="BJ157" s="44"/>
      <c r="BK157" s="43"/>
      <c r="BL157" s="44"/>
      <c r="BM157" s="43"/>
      <c r="BN157" s="43">
        <v>420000000</v>
      </c>
      <c r="BO157" s="34">
        <f t="shared" si="13"/>
        <v>0</v>
      </c>
      <c r="BP157" s="40" t="s">
        <v>1584</v>
      </c>
      <c r="BQ157" s="40" t="s">
        <v>82</v>
      </c>
      <c r="BR157" s="40" t="s">
        <v>1585</v>
      </c>
      <c r="BS157" s="40" t="s">
        <v>144</v>
      </c>
      <c r="BT157" s="40"/>
      <c r="BU157" s="40"/>
      <c r="BV157" s="40" t="s">
        <v>1586</v>
      </c>
      <c r="BW157" s="40">
        <v>2016</v>
      </c>
      <c r="BX157" s="44"/>
      <c r="BY157" s="43"/>
      <c r="BZ157" s="44"/>
      <c r="CA157" s="43"/>
      <c r="CB157" s="43">
        <v>550000000</v>
      </c>
      <c r="CC157" s="34">
        <f t="shared" si="14"/>
        <v>0</v>
      </c>
      <c r="CD157" s="40" t="s">
        <v>1587</v>
      </c>
      <c r="CE157" s="40" t="s">
        <v>82</v>
      </c>
      <c r="CF157" s="79"/>
      <c r="CG157" s="40"/>
      <c r="CH157" s="40"/>
    </row>
    <row r="158" spans="2:86" ht="135" x14ac:dyDescent="0.25">
      <c r="B158" s="30" t="s">
        <v>1588</v>
      </c>
      <c r="C158" s="30" t="s">
        <v>1589</v>
      </c>
      <c r="D158" s="36">
        <v>45219</v>
      </c>
      <c r="E158" s="30" t="s">
        <v>1590</v>
      </c>
      <c r="F158" s="30" t="s">
        <v>1591</v>
      </c>
      <c r="G158" s="30"/>
      <c r="H158" s="30" t="s">
        <v>1070</v>
      </c>
      <c r="I158" s="38">
        <v>573</v>
      </c>
      <c r="J158" s="30" t="s">
        <v>70</v>
      </c>
      <c r="K158" s="38">
        <v>194</v>
      </c>
      <c r="L158" s="38"/>
      <c r="M158" s="30"/>
      <c r="N158" s="30"/>
      <c r="O158" s="30"/>
      <c r="P158" s="30"/>
      <c r="Q158" s="30"/>
      <c r="R158" s="30" t="s">
        <v>1592</v>
      </c>
      <c r="S158" s="30" t="s">
        <v>1593</v>
      </c>
      <c r="T158" s="30" t="s">
        <v>1594</v>
      </c>
      <c r="U158" s="30" t="s">
        <v>118</v>
      </c>
      <c r="V158" s="30" t="s">
        <v>95</v>
      </c>
      <c r="W158" s="30" t="s">
        <v>73</v>
      </c>
      <c r="X158" s="30" t="s">
        <v>146</v>
      </c>
      <c r="Y158" s="30" t="s">
        <v>75</v>
      </c>
      <c r="Z158" s="36">
        <v>45196</v>
      </c>
      <c r="AA158" s="36">
        <v>45196</v>
      </c>
      <c r="AB158" s="30" t="s">
        <v>91</v>
      </c>
      <c r="AC158" s="30"/>
      <c r="AD158" s="30"/>
      <c r="AE158" s="30"/>
      <c r="AF158" s="30"/>
      <c r="AG158" s="30"/>
      <c r="AH158" s="30"/>
      <c r="AI158" s="30"/>
      <c r="AJ158" s="33">
        <f t="shared" si="10"/>
        <v>573</v>
      </c>
      <c r="AK158" s="37">
        <v>2000000</v>
      </c>
      <c r="AL158" s="33">
        <f t="shared" si="11"/>
        <v>194</v>
      </c>
      <c r="AM158" s="37"/>
      <c r="AN158" s="37"/>
      <c r="AO158" s="37">
        <v>1712000000</v>
      </c>
      <c r="AP158" s="30" t="s">
        <v>1595</v>
      </c>
      <c r="AQ158" s="30" t="s">
        <v>84</v>
      </c>
      <c r="AR158" s="30"/>
      <c r="AS158" s="30"/>
      <c r="AT158" s="30"/>
      <c r="AU158" s="30"/>
      <c r="AV158" s="38">
        <v>156</v>
      </c>
      <c r="AW158" s="37">
        <v>2903246</v>
      </c>
      <c r="AX158" s="38">
        <v>200</v>
      </c>
      <c r="AY158" s="37"/>
      <c r="AZ158" s="37">
        <v>850000000</v>
      </c>
      <c r="BA158" s="34">
        <f t="shared" si="12"/>
        <v>452906376</v>
      </c>
      <c r="BB158" s="30" t="s">
        <v>1596</v>
      </c>
      <c r="BC158" s="30" t="s">
        <v>82</v>
      </c>
      <c r="BD158" s="30" t="s">
        <v>1597</v>
      </c>
      <c r="BE158" s="30" t="s">
        <v>84</v>
      </c>
      <c r="BF158" s="30"/>
      <c r="BG158" s="30"/>
      <c r="BH158" s="30"/>
      <c r="BI158" s="30"/>
      <c r="BJ158" s="39">
        <v>84</v>
      </c>
      <c r="BK158" s="37">
        <v>3106405</v>
      </c>
      <c r="BL158" s="39">
        <v>160</v>
      </c>
      <c r="BM158" s="37"/>
      <c r="BN158" s="37">
        <v>550000000</v>
      </c>
      <c r="BO158" s="34">
        <f t="shared" si="13"/>
        <v>260938020</v>
      </c>
      <c r="BP158" s="30" t="s">
        <v>1598</v>
      </c>
      <c r="BQ158" s="30" t="s">
        <v>82</v>
      </c>
      <c r="BR158" s="30" t="s">
        <v>1599</v>
      </c>
      <c r="BS158" s="30" t="s">
        <v>1070</v>
      </c>
      <c r="BT158" s="30"/>
      <c r="BU158" s="30"/>
      <c r="BV158" s="30"/>
      <c r="BW158" s="30"/>
      <c r="BX158" s="39">
        <v>3000</v>
      </c>
      <c r="BY158" s="37">
        <v>3246217</v>
      </c>
      <c r="BZ158" s="39">
        <v>500</v>
      </c>
      <c r="CA158" s="37"/>
      <c r="CB158" s="37">
        <v>15000000000</v>
      </c>
      <c r="CC158" s="34">
        <f t="shared" si="14"/>
        <v>9738651000</v>
      </c>
      <c r="CD158" s="30" t="s">
        <v>1600</v>
      </c>
      <c r="CE158" s="30" t="s">
        <v>82</v>
      </c>
      <c r="CF158" s="30" t="s">
        <v>1601</v>
      </c>
      <c r="CG158" s="30"/>
      <c r="CH158" s="30"/>
    </row>
    <row r="159" spans="2:86" ht="135" x14ac:dyDescent="0.25">
      <c r="B159" s="30" t="s">
        <v>1602</v>
      </c>
      <c r="C159" s="30" t="s">
        <v>1603</v>
      </c>
      <c r="D159" s="36">
        <v>45223</v>
      </c>
      <c r="E159" s="30" t="s">
        <v>584</v>
      </c>
      <c r="F159" s="30" t="s">
        <v>680</v>
      </c>
      <c r="G159" s="30"/>
      <c r="H159" s="30" t="s">
        <v>84</v>
      </c>
      <c r="I159" s="38">
        <v>106</v>
      </c>
      <c r="J159" s="30" t="s">
        <v>70</v>
      </c>
      <c r="K159" s="38">
        <v>93</v>
      </c>
      <c r="L159" s="38"/>
      <c r="M159" s="30"/>
      <c r="N159" s="30"/>
      <c r="O159" s="30"/>
      <c r="P159" s="30"/>
      <c r="Q159" s="30"/>
      <c r="R159" s="30" t="s">
        <v>1604</v>
      </c>
      <c r="S159" s="30" t="s">
        <v>1605</v>
      </c>
      <c r="T159" s="30" t="s">
        <v>1606</v>
      </c>
      <c r="U159" s="30" t="s">
        <v>110</v>
      </c>
      <c r="V159" s="30" t="s">
        <v>85</v>
      </c>
      <c r="W159" s="30" t="s">
        <v>73</v>
      </c>
      <c r="X159" s="30" t="s">
        <v>86</v>
      </c>
      <c r="Y159" s="30" t="s">
        <v>75</v>
      </c>
      <c r="Z159" s="36">
        <v>45218</v>
      </c>
      <c r="AA159" s="36">
        <v>45218</v>
      </c>
      <c r="AB159" s="30" t="s">
        <v>76</v>
      </c>
      <c r="AC159" s="30"/>
      <c r="AD159" s="30"/>
      <c r="AE159" s="30"/>
      <c r="AF159" s="30"/>
      <c r="AG159" s="30"/>
      <c r="AH159" s="30"/>
      <c r="AI159" s="30"/>
      <c r="AJ159" s="33">
        <f t="shared" si="10"/>
        <v>106</v>
      </c>
      <c r="AK159" s="37">
        <v>7200000</v>
      </c>
      <c r="AL159" s="33">
        <f t="shared" si="11"/>
        <v>93</v>
      </c>
      <c r="AM159" s="37">
        <v>6172043</v>
      </c>
      <c r="AN159" s="37"/>
      <c r="AO159" s="37">
        <v>1337000000</v>
      </c>
      <c r="AP159" s="30" t="s">
        <v>1607</v>
      </c>
      <c r="AQ159" s="30" t="s">
        <v>84</v>
      </c>
      <c r="AR159" s="30"/>
      <c r="AS159" s="30"/>
      <c r="AT159" s="30"/>
      <c r="AU159" s="30"/>
      <c r="AV159" s="38">
        <v>160</v>
      </c>
      <c r="AW159" s="37">
        <v>7450763</v>
      </c>
      <c r="AX159" s="38">
        <v>120</v>
      </c>
      <c r="AY159" s="37"/>
      <c r="AZ159" s="37">
        <v>1500000000</v>
      </c>
      <c r="BA159" s="34">
        <f t="shared" si="12"/>
        <v>1192122080</v>
      </c>
      <c r="BB159" s="30" t="s">
        <v>1608</v>
      </c>
      <c r="BC159" s="30" t="s">
        <v>82</v>
      </c>
      <c r="BD159" s="30" t="s">
        <v>1607</v>
      </c>
      <c r="BE159" s="30" t="s">
        <v>84</v>
      </c>
      <c r="BF159" s="30"/>
      <c r="BG159" s="30"/>
      <c r="BH159" s="30"/>
      <c r="BI159" s="30"/>
      <c r="BJ159" s="39">
        <v>167</v>
      </c>
      <c r="BK159" s="37">
        <v>7099064</v>
      </c>
      <c r="BL159" s="39">
        <v>125</v>
      </c>
      <c r="BM159" s="37"/>
      <c r="BN159" s="37">
        <v>1500000000</v>
      </c>
      <c r="BO159" s="34">
        <f t="shared" si="13"/>
        <v>1185543688</v>
      </c>
      <c r="BP159" s="30" t="s">
        <v>1609</v>
      </c>
      <c r="BQ159" s="30" t="s">
        <v>82</v>
      </c>
      <c r="BR159" s="30" t="s">
        <v>1610</v>
      </c>
      <c r="BS159" s="30" t="s">
        <v>84</v>
      </c>
      <c r="BT159" s="30"/>
      <c r="BU159" s="30"/>
      <c r="BV159" s="30"/>
      <c r="BW159" s="30"/>
      <c r="BX159" s="39">
        <v>200</v>
      </c>
      <c r="BY159" s="37">
        <v>7576920</v>
      </c>
      <c r="BZ159" s="39">
        <v>180</v>
      </c>
      <c r="CA159" s="37"/>
      <c r="CB159" s="37">
        <v>2000000000</v>
      </c>
      <c r="CC159" s="34">
        <f t="shared" si="14"/>
        <v>1515384000</v>
      </c>
      <c r="CD159" s="30" t="s">
        <v>1611</v>
      </c>
      <c r="CE159" s="30" t="s">
        <v>82</v>
      </c>
      <c r="CF159" s="30" t="s">
        <v>644</v>
      </c>
      <c r="CG159" s="30"/>
      <c r="CH159" s="30"/>
    </row>
    <row r="160" spans="2:86" ht="120" x14ac:dyDescent="0.25">
      <c r="B160" s="30" t="s">
        <v>1612</v>
      </c>
      <c r="C160" s="30" t="s">
        <v>1613</v>
      </c>
      <c r="D160" s="36">
        <v>45223</v>
      </c>
      <c r="E160" s="30" t="s">
        <v>1614</v>
      </c>
      <c r="F160" s="30" t="s">
        <v>100</v>
      </c>
      <c r="G160" s="30"/>
      <c r="H160" s="30" t="s">
        <v>119</v>
      </c>
      <c r="I160" s="38">
        <v>20170</v>
      </c>
      <c r="J160" s="30" t="s">
        <v>70</v>
      </c>
      <c r="K160" s="38">
        <v>5277</v>
      </c>
      <c r="L160" s="38"/>
      <c r="M160" s="30"/>
      <c r="N160" s="30"/>
      <c r="O160" s="30"/>
      <c r="P160" s="30"/>
      <c r="Q160" s="30"/>
      <c r="R160" s="30" t="s">
        <v>1615</v>
      </c>
      <c r="S160" s="30" t="s">
        <v>1616</v>
      </c>
      <c r="T160" s="30" t="s">
        <v>1617</v>
      </c>
      <c r="U160" s="30" t="s">
        <v>1618</v>
      </c>
      <c r="V160" s="30" t="s">
        <v>95</v>
      </c>
      <c r="W160" s="30" t="s">
        <v>73</v>
      </c>
      <c r="X160" s="30" t="s">
        <v>86</v>
      </c>
      <c r="Y160" s="30" t="s">
        <v>75</v>
      </c>
      <c r="Z160" s="36">
        <v>45215</v>
      </c>
      <c r="AA160" s="36">
        <v>45216</v>
      </c>
      <c r="AB160" s="30" t="s">
        <v>91</v>
      </c>
      <c r="AC160" s="30"/>
      <c r="AD160" s="30"/>
      <c r="AE160" s="30"/>
      <c r="AF160" s="30"/>
      <c r="AG160" s="30"/>
      <c r="AH160" s="30"/>
      <c r="AI160" s="30"/>
      <c r="AJ160" s="33">
        <f t="shared" si="10"/>
        <v>20170</v>
      </c>
      <c r="AK160" s="37">
        <v>14800000</v>
      </c>
      <c r="AL160" s="33">
        <f t="shared" si="11"/>
        <v>5277</v>
      </c>
      <c r="AM160" s="37"/>
      <c r="AN160" s="72">
        <v>314793337200</v>
      </c>
      <c r="AO160" s="71">
        <f>AN160+AN161+AN162+AN163</f>
        <v>476684727200</v>
      </c>
      <c r="AP160" s="30" t="s">
        <v>1619</v>
      </c>
      <c r="AQ160" s="30" t="s">
        <v>106</v>
      </c>
      <c r="AR160" s="30"/>
      <c r="AS160" s="30"/>
      <c r="AT160" s="30"/>
      <c r="AU160" s="30"/>
      <c r="AV160" s="38">
        <v>5131</v>
      </c>
      <c r="AW160" s="37">
        <v>17199302</v>
      </c>
      <c r="AX160" s="38">
        <v>10800</v>
      </c>
      <c r="AY160" s="37"/>
      <c r="AZ160" s="37">
        <v>160000000000</v>
      </c>
      <c r="BA160" s="34">
        <f t="shared" si="12"/>
        <v>88249618562</v>
      </c>
      <c r="BB160" s="30" t="s">
        <v>1620</v>
      </c>
      <c r="BC160" s="30" t="s">
        <v>82</v>
      </c>
      <c r="BD160" s="30" t="s">
        <v>1621</v>
      </c>
      <c r="BE160" s="30" t="s">
        <v>78</v>
      </c>
      <c r="BF160" s="30"/>
      <c r="BG160" s="30"/>
      <c r="BH160" s="30"/>
      <c r="BI160" s="30"/>
      <c r="BJ160" s="39">
        <v>9400</v>
      </c>
      <c r="BK160" s="37">
        <v>17553191</v>
      </c>
      <c r="BL160" s="39"/>
      <c r="BM160" s="37"/>
      <c r="BN160" s="37">
        <v>225000000000</v>
      </c>
      <c r="BO160" s="34">
        <f t="shared" si="13"/>
        <v>164999995400</v>
      </c>
      <c r="BP160" s="30" t="s">
        <v>1622</v>
      </c>
      <c r="BQ160" s="30" t="s">
        <v>82</v>
      </c>
      <c r="BR160" s="30" t="s">
        <v>1623</v>
      </c>
      <c r="BS160" s="30" t="s">
        <v>1013</v>
      </c>
      <c r="BT160" s="30"/>
      <c r="BU160" s="30"/>
      <c r="BV160" s="30"/>
      <c r="BW160" s="30"/>
      <c r="BX160" s="39">
        <v>4330</v>
      </c>
      <c r="BY160" s="37">
        <v>17321016</v>
      </c>
      <c r="BZ160" s="39"/>
      <c r="CA160" s="37"/>
      <c r="CB160" s="37">
        <v>95260000000</v>
      </c>
      <c r="CC160" s="34">
        <f t="shared" si="14"/>
        <v>74999999280</v>
      </c>
      <c r="CD160" s="30" t="s">
        <v>1624</v>
      </c>
      <c r="CE160" s="30" t="s">
        <v>82</v>
      </c>
      <c r="CF160" s="80" t="s">
        <v>1625</v>
      </c>
      <c r="CG160" s="30"/>
      <c r="CH160" s="30"/>
    </row>
    <row r="161" spans="2:86" ht="120" x14ac:dyDescent="0.25">
      <c r="B161" s="30" t="s">
        <v>1612</v>
      </c>
      <c r="C161" s="30" t="s">
        <v>1613</v>
      </c>
      <c r="D161" s="36">
        <v>45223</v>
      </c>
      <c r="E161" s="30" t="s">
        <v>1614</v>
      </c>
      <c r="F161" s="30" t="s">
        <v>100</v>
      </c>
      <c r="G161" s="66"/>
      <c r="H161" s="66" t="s">
        <v>1003</v>
      </c>
      <c r="I161" s="81">
        <v>201315</v>
      </c>
      <c r="J161" s="66" t="s">
        <v>70</v>
      </c>
      <c r="K161" s="81">
        <v>47264</v>
      </c>
      <c r="L161" s="81"/>
      <c r="M161" s="66"/>
      <c r="N161" s="66"/>
      <c r="O161" s="66"/>
      <c r="P161" s="66"/>
      <c r="Q161" s="66"/>
      <c r="R161" s="66" t="s">
        <v>1626</v>
      </c>
      <c r="S161" s="66" t="s">
        <v>1627</v>
      </c>
      <c r="T161" s="66" t="s">
        <v>1628</v>
      </c>
      <c r="U161" s="66" t="s">
        <v>1035</v>
      </c>
      <c r="V161" s="66" t="s">
        <v>95</v>
      </c>
      <c r="W161" s="66" t="s">
        <v>73</v>
      </c>
      <c r="X161" s="30" t="s">
        <v>86</v>
      </c>
      <c r="Y161" s="30" t="s">
        <v>75</v>
      </c>
      <c r="Z161" s="36">
        <v>45215</v>
      </c>
      <c r="AA161" s="36">
        <v>45216</v>
      </c>
      <c r="AB161" s="66" t="s">
        <v>91</v>
      </c>
      <c r="AC161" s="66"/>
      <c r="AD161" s="66"/>
      <c r="AE161" s="66"/>
      <c r="AF161" s="66"/>
      <c r="AG161" s="66"/>
      <c r="AH161" s="66"/>
      <c r="AI161" s="66"/>
      <c r="AJ161" s="33">
        <f t="shared" si="10"/>
        <v>201315</v>
      </c>
      <c r="AK161" s="67">
        <v>238000</v>
      </c>
      <c r="AL161" s="33">
        <f t="shared" si="11"/>
        <v>47264</v>
      </c>
      <c r="AM161" s="67"/>
      <c r="AN161" s="82">
        <v>73289183000</v>
      </c>
      <c r="AO161" s="73"/>
      <c r="AP161" s="30" t="s">
        <v>1629</v>
      </c>
      <c r="AQ161" s="66" t="s">
        <v>78</v>
      </c>
      <c r="AR161" s="66"/>
      <c r="AS161" s="66"/>
      <c r="AT161" s="66"/>
      <c r="AU161" s="66"/>
      <c r="AV161" s="81">
        <v>80824</v>
      </c>
      <c r="AW161" s="67">
        <v>240000</v>
      </c>
      <c r="AX161" s="81"/>
      <c r="AY161" s="67"/>
      <c r="AZ161" s="67">
        <v>22630720000</v>
      </c>
      <c r="BA161" s="34">
        <f t="shared" si="12"/>
        <v>19397760000</v>
      </c>
      <c r="BB161" s="66" t="s">
        <v>1630</v>
      </c>
      <c r="BC161" s="66" t="s">
        <v>82</v>
      </c>
      <c r="BD161" s="66" t="s">
        <v>1631</v>
      </c>
      <c r="BE161" s="66" t="s">
        <v>78</v>
      </c>
      <c r="BF161" s="66"/>
      <c r="BG161" s="66"/>
      <c r="BH161" s="66"/>
      <c r="BI161" s="66"/>
      <c r="BJ161" s="83">
        <v>71434</v>
      </c>
      <c r="BK161" s="67">
        <v>220000</v>
      </c>
      <c r="BL161" s="83"/>
      <c r="BM161" s="67"/>
      <c r="BN161" s="67">
        <v>17858500000</v>
      </c>
      <c r="BO161" s="34">
        <f t="shared" si="13"/>
        <v>15715480000</v>
      </c>
      <c r="BP161" s="66" t="s">
        <v>1630</v>
      </c>
      <c r="BQ161" s="66" t="s">
        <v>82</v>
      </c>
      <c r="BR161" s="66" t="s">
        <v>1632</v>
      </c>
      <c r="BS161" s="66" t="s">
        <v>78</v>
      </c>
      <c r="BT161" s="66"/>
      <c r="BU161" s="66"/>
      <c r="BV161" s="66"/>
      <c r="BW161" s="66"/>
      <c r="BX161" s="83">
        <v>50000</v>
      </c>
      <c r="BY161" s="67">
        <v>310000</v>
      </c>
      <c r="BZ161" s="83"/>
      <c r="CA161" s="67"/>
      <c r="CB161" s="67">
        <v>20000000000</v>
      </c>
      <c r="CC161" s="34">
        <f t="shared" si="14"/>
        <v>15500000000</v>
      </c>
      <c r="CD161" s="30" t="s">
        <v>1633</v>
      </c>
      <c r="CE161" s="66" t="s">
        <v>82</v>
      </c>
      <c r="CF161" s="84"/>
      <c r="CG161" s="66"/>
      <c r="CH161" s="66"/>
    </row>
    <row r="162" spans="2:86" ht="120" x14ac:dyDescent="0.25">
      <c r="B162" s="30" t="s">
        <v>1612</v>
      </c>
      <c r="C162" s="30" t="s">
        <v>1613</v>
      </c>
      <c r="D162" s="36">
        <v>45223</v>
      </c>
      <c r="E162" s="30" t="s">
        <v>1614</v>
      </c>
      <c r="F162" s="30" t="s">
        <v>100</v>
      </c>
      <c r="G162" s="66"/>
      <c r="H162" s="66" t="s">
        <v>1634</v>
      </c>
      <c r="I162" s="81">
        <v>41150</v>
      </c>
      <c r="J162" s="66" t="s">
        <v>70</v>
      </c>
      <c r="K162" s="81">
        <v>4746</v>
      </c>
      <c r="L162" s="81"/>
      <c r="M162" s="66"/>
      <c r="N162" s="66"/>
      <c r="O162" s="66"/>
      <c r="P162" s="66"/>
      <c r="Q162" s="66"/>
      <c r="R162" s="66" t="s">
        <v>1626</v>
      </c>
      <c r="S162" s="66" t="s">
        <v>1627</v>
      </c>
      <c r="T162" s="66" t="s">
        <v>1628</v>
      </c>
      <c r="U162" s="66" t="s">
        <v>1035</v>
      </c>
      <c r="V162" s="66" t="s">
        <v>95</v>
      </c>
      <c r="W162" s="66" t="s">
        <v>73</v>
      </c>
      <c r="X162" s="30" t="s">
        <v>86</v>
      </c>
      <c r="Y162" s="30" t="s">
        <v>75</v>
      </c>
      <c r="Z162" s="36">
        <v>45215</v>
      </c>
      <c r="AA162" s="36">
        <v>45216</v>
      </c>
      <c r="AB162" s="66" t="s">
        <v>91</v>
      </c>
      <c r="AC162" s="66"/>
      <c r="AD162" s="66"/>
      <c r="AE162" s="66"/>
      <c r="AF162" s="66"/>
      <c r="AG162" s="66"/>
      <c r="AH162" s="66"/>
      <c r="AI162" s="66"/>
      <c r="AJ162" s="33">
        <f t="shared" si="10"/>
        <v>41150</v>
      </c>
      <c r="AK162" s="67">
        <v>320000</v>
      </c>
      <c r="AL162" s="33">
        <f t="shared" si="11"/>
        <v>4746</v>
      </c>
      <c r="AM162" s="67"/>
      <c r="AN162" s="82">
        <v>16410007000</v>
      </c>
      <c r="AO162" s="73"/>
      <c r="AP162" s="30" t="s">
        <v>1629</v>
      </c>
      <c r="AQ162" s="66" t="s">
        <v>78</v>
      </c>
      <c r="AR162" s="66"/>
      <c r="AS162" s="66"/>
      <c r="AT162" s="66"/>
      <c r="AU162" s="66"/>
      <c r="AV162" s="81">
        <v>80824</v>
      </c>
      <c r="AW162" s="67">
        <v>240000</v>
      </c>
      <c r="AX162" s="81"/>
      <c r="AY162" s="67"/>
      <c r="AZ162" s="67">
        <v>22630720000</v>
      </c>
      <c r="BA162" s="34">
        <f t="shared" si="12"/>
        <v>19397760000</v>
      </c>
      <c r="BB162" s="66" t="s">
        <v>1630</v>
      </c>
      <c r="BC162" s="66" t="s">
        <v>82</v>
      </c>
      <c r="BD162" s="66" t="s">
        <v>1631</v>
      </c>
      <c r="BE162" s="66" t="s">
        <v>78</v>
      </c>
      <c r="BF162" s="66"/>
      <c r="BG162" s="66"/>
      <c r="BH162" s="66"/>
      <c r="BI162" s="66"/>
      <c r="BJ162" s="83">
        <v>71434</v>
      </c>
      <c r="BK162" s="67">
        <v>220000</v>
      </c>
      <c r="BL162" s="83"/>
      <c r="BM162" s="67"/>
      <c r="BN162" s="67">
        <v>17858500000</v>
      </c>
      <c r="BO162" s="34">
        <f t="shared" si="13"/>
        <v>15715480000</v>
      </c>
      <c r="BP162" s="66" t="s">
        <v>1630</v>
      </c>
      <c r="BQ162" s="66" t="s">
        <v>82</v>
      </c>
      <c r="BR162" s="66" t="s">
        <v>1632</v>
      </c>
      <c r="BS162" s="66" t="s">
        <v>78</v>
      </c>
      <c r="BT162" s="66"/>
      <c r="BU162" s="66"/>
      <c r="BV162" s="66"/>
      <c r="BW162" s="66"/>
      <c r="BX162" s="83">
        <v>50000</v>
      </c>
      <c r="BY162" s="67">
        <v>310000</v>
      </c>
      <c r="BZ162" s="83"/>
      <c r="CA162" s="67"/>
      <c r="CB162" s="67">
        <v>20000000000</v>
      </c>
      <c r="CC162" s="34">
        <f t="shared" si="14"/>
        <v>15500000000</v>
      </c>
      <c r="CD162" s="30" t="s">
        <v>1633</v>
      </c>
      <c r="CE162" s="66" t="s">
        <v>82</v>
      </c>
      <c r="CF162" s="85"/>
      <c r="CG162" s="66"/>
      <c r="CH162" s="66"/>
    </row>
    <row r="163" spans="2:86" ht="135" x14ac:dyDescent="0.25">
      <c r="B163" s="30" t="s">
        <v>1612</v>
      </c>
      <c r="C163" s="30" t="s">
        <v>1613</v>
      </c>
      <c r="D163" s="36">
        <v>45223</v>
      </c>
      <c r="E163" s="30" t="s">
        <v>1614</v>
      </c>
      <c r="F163" s="30" t="s">
        <v>100</v>
      </c>
      <c r="G163" s="66"/>
      <c r="H163" s="66" t="s">
        <v>119</v>
      </c>
      <c r="I163" s="81">
        <v>5095</v>
      </c>
      <c r="J163" s="66" t="s">
        <v>70</v>
      </c>
      <c r="K163" s="81">
        <v>2766</v>
      </c>
      <c r="L163" s="81"/>
      <c r="M163" s="66"/>
      <c r="N163" s="66"/>
      <c r="O163" s="66"/>
      <c r="P163" s="66"/>
      <c r="Q163" s="66"/>
      <c r="R163" s="66" t="s">
        <v>1635</v>
      </c>
      <c r="S163" s="66" t="s">
        <v>1636</v>
      </c>
      <c r="T163" s="66" t="s">
        <v>1637</v>
      </c>
      <c r="U163" s="66" t="s">
        <v>115</v>
      </c>
      <c r="V163" s="66" t="s">
        <v>116</v>
      </c>
      <c r="W163" s="66" t="s">
        <v>73</v>
      </c>
      <c r="X163" s="30" t="s">
        <v>86</v>
      </c>
      <c r="Y163" s="30" t="s">
        <v>75</v>
      </c>
      <c r="Z163" s="36">
        <v>45215</v>
      </c>
      <c r="AA163" s="36">
        <v>45216</v>
      </c>
      <c r="AB163" s="66" t="s">
        <v>91</v>
      </c>
      <c r="AC163" s="66"/>
      <c r="AD163" s="66"/>
      <c r="AE163" s="66"/>
      <c r="AF163" s="66"/>
      <c r="AG163" s="66"/>
      <c r="AH163" s="66"/>
      <c r="AI163" s="66"/>
      <c r="AJ163" s="33">
        <f t="shared" si="10"/>
        <v>5095</v>
      </c>
      <c r="AK163" s="67">
        <v>12400000</v>
      </c>
      <c r="AL163" s="33">
        <f t="shared" si="11"/>
        <v>2766</v>
      </c>
      <c r="AM163" s="67"/>
      <c r="AN163" s="82">
        <v>72192200000</v>
      </c>
      <c r="AO163" s="74"/>
      <c r="AP163" s="30" t="s">
        <v>1638</v>
      </c>
      <c r="AQ163" s="66" t="s">
        <v>78</v>
      </c>
      <c r="AR163" s="66"/>
      <c r="AS163" s="66"/>
      <c r="AT163" s="66"/>
      <c r="AU163" s="66"/>
      <c r="AV163" s="81">
        <v>2018</v>
      </c>
      <c r="AW163" s="67">
        <v>13131814</v>
      </c>
      <c r="AX163" s="81"/>
      <c r="AY163" s="67"/>
      <c r="AZ163" s="67">
        <v>30000000000</v>
      </c>
      <c r="BA163" s="34">
        <f t="shared" si="12"/>
        <v>26500000652</v>
      </c>
      <c r="BB163" s="66" t="s">
        <v>117</v>
      </c>
      <c r="BC163" s="66" t="s">
        <v>82</v>
      </c>
      <c r="BD163" s="66" t="s">
        <v>1639</v>
      </c>
      <c r="BE163" s="66" t="s">
        <v>101</v>
      </c>
      <c r="BF163" s="66"/>
      <c r="BG163" s="66"/>
      <c r="BH163" s="66"/>
      <c r="BI163" s="66"/>
      <c r="BJ163" s="83">
        <v>1580</v>
      </c>
      <c r="BK163" s="86">
        <v>13194304</v>
      </c>
      <c r="BL163" s="83">
        <v>500</v>
      </c>
      <c r="BM163" s="67"/>
      <c r="BN163" s="67">
        <v>26000000000</v>
      </c>
      <c r="BO163" s="34">
        <f t="shared" si="13"/>
        <v>20847000320</v>
      </c>
      <c r="BP163" s="66" t="s">
        <v>1640</v>
      </c>
      <c r="BQ163" s="66" t="s">
        <v>82</v>
      </c>
      <c r="BR163" s="66" t="s">
        <v>1638</v>
      </c>
      <c r="BS163" s="66" t="s">
        <v>1641</v>
      </c>
      <c r="BT163" s="66"/>
      <c r="BU163" s="66"/>
      <c r="BV163" s="66"/>
      <c r="BW163" s="66"/>
      <c r="BX163" s="83">
        <v>5117</v>
      </c>
      <c r="BY163" s="67">
        <v>12352683</v>
      </c>
      <c r="BZ163" s="83">
        <v>17675</v>
      </c>
      <c r="CA163" s="67"/>
      <c r="CB163" s="67">
        <v>173000000000</v>
      </c>
      <c r="CC163" s="34">
        <f t="shared" si="14"/>
        <v>63208678911</v>
      </c>
      <c r="CD163" s="66" t="s">
        <v>1642</v>
      </c>
      <c r="CE163" s="66" t="s">
        <v>82</v>
      </c>
      <c r="CF163" s="66" t="s">
        <v>1643</v>
      </c>
      <c r="CG163" s="66"/>
      <c r="CH163" s="66"/>
    </row>
    <row r="164" spans="2:86" ht="135" x14ac:dyDescent="0.25">
      <c r="B164" s="30" t="s">
        <v>1644</v>
      </c>
      <c r="C164" s="30" t="s">
        <v>1645</v>
      </c>
      <c r="D164" s="36">
        <v>45223</v>
      </c>
      <c r="E164" s="30" t="s">
        <v>694</v>
      </c>
      <c r="F164" s="30" t="s">
        <v>694</v>
      </c>
      <c r="G164" s="30"/>
      <c r="H164" s="30" t="s">
        <v>84</v>
      </c>
      <c r="I164" s="38">
        <v>443</v>
      </c>
      <c r="J164" s="30" t="s">
        <v>70</v>
      </c>
      <c r="K164" s="38">
        <v>538</v>
      </c>
      <c r="L164" s="38"/>
      <c r="M164" s="30"/>
      <c r="N164" s="30"/>
      <c r="O164" s="30"/>
      <c r="P164" s="30"/>
      <c r="Q164" s="30"/>
      <c r="R164" s="30" t="s">
        <v>1646</v>
      </c>
      <c r="S164" s="30" t="s">
        <v>1647</v>
      </c>
      <c r="T164" s="30" t="s">
        <v>1648</v>
      </c>
      <c r="U164" s="30" t="s">
        <v>387</v>
      </c>
      <c r="V164" s="30" t="s">
        <v>85</v>
      </c>
      <c r="W164" s="30" t="s">
        <v>73</v>
      </c>
      <c r="X164" s="30" t="s">
        <v>638</v>
      </c>
      <c r="Y164" s="30" t="s">
        <v>1286</v>
      </c>
      <c r="Z164" s="36">
        <v>45190</v>
      </c>
      <c r="AA164" s="36">
        <v>45190</v>
      </c>
      <c r="AB164" s="30" t="s">
        <v>91</v>
      </c>
      <c r="AC164" s="30"/>
      <c r="AD164" s="30"/>
      <c r="AE164" s="30"/>
      <c r="AF164" s="30"/>
      <c r="AG164" s="30"/>
      <c r="AH164" s="30"/>
      <c r="AI164" s="30"/>
      <c r="AJ164" s="33">
        <f t="shared" si="10"/>
        <v>443</v>
      </c>
      <c r="AK164" s="37">
        <v>9900000</v>
      </c>
      <c r="AL164" s="33">
        <f t="shared" si="11"/>
        <v>538</v>
      </c>
      <c r="AM164" s="37"/>
      <c r="AN164" s="37"/>
      <c r="AO164" s="37">
        <v>7110000000</v>
      </c>
      <c r="AP164" s="30" t="s">
        <v>1649</v>
      </c>
      <c r="AQ164" s="30" t="s">
        <v>84</v>
      </c>
      <c r="AR164" s="30"/>
      <c r="AS164" s="30"/>
      <c r="AT164" s="30"/>
      <c r="AU164" s="30"/>
      <c r="AV164" s="38">
        <v>88</v>
      </c>
      <c r="AW164" s="37">
        <v>10826818</v>
      </c>
      <c r="AX164" s="38">
        <v>100</v>
      </c>
      <c r="AY164" s="37"/>
      <c r="AZ164" s="37">
        <v>1400000000</v>
      </c>
      <c r="BA164" s="34">
        <f t="shared" si="12"/>
        <v>952759984</v>
      </c>
      <c r="BB164" s="30" t="s">
        <v>1650</v>
      </c>
      <c r="BC164" s="30" t="s">
        <v>82</v>
      </c>
      <c r="BD164" s="30" t="s">
        <v>1649</v>
      </c>
      <c r="BE164" s="30" t="s">
        <v>84</v>
      </c>
      <c r="BF164" s="30"/>
      <c r="BG164" s="30"/>
      <c r="BH164" s="30"/>
      <c r="BI164" s="30"/>
      <c r="BJ164" s="39">
        <v>75</v>
      </c>
      <c r="BK164" s="37">
        <v>11978350</v>
      </c>
      <c r="BL164" s="39">
        <v>71</v>
      </c>
      <c r="BM164" s="37"/>
      <c r="BN164" s="37">
        <v>1200000000</v>
      </c>
      <c r="BO164" s="34">
        <f t="shared" si="13"/>
        <v>898376250</v>
      </c>
      <c r="BP164" s="30" t="s">
        <v>1651</v>
      </c>
      <c r="BQ164" s="30" t="s">
        <v>82</v>
      </c>
      <c r="BR164" s="30" t="s">
        <v>1652</v>
      </c>
      <c r="BS164" s="30" t="s">
        <v>84</v>
      </c>
      <c r="BT164" s="30"/>
      <c r="BU164" s="30"/>
      <c r="BV164" s="30"/>
      <c r="BW164" s="30"/>
      <c r="BX164" s="39">
        <v>241</v>
      </c>
      <c r="BY164" s="37">
        <v>11312917</v>
      </c>
      <c r="BZ164" s="39">
        <v>140</v>
      </c>
      <c r="CA164" s="37"/>
      <c r="CB164" s="37">
        <v>3500000000</v>
      </c>
      <c r="CC164" s="34">
        <f t="shared" si="14"/>
        <v>2726412997</v>
      </c>
      <c r="CD164" s="30" t="s">
        <v>1653</v>
      </c>
      <c r="CE164" s="30" t="s">
        <v>82</v>
      </c>
      <c r="CF164" s="30" t="s">
        <v>1503</v>
      </c>
      <c r="CG164" s="30"/>
      <c r="CH164" s="30"/>
    </row>
    <row r="165" spans="2:86" ht="120" x14ac:dyDescent="0.25">
      <c r="B165" s="30" t="s">
        <v>1644</v>
      </c>
      <c r="C165" s="30" t="s">
        <v>1654</v>
      </c>
      <c r="D165" s="36">
        <v>45223</v>
      </c>
      <c r="E165" s="30" t="s">
        <v>694</v>
      </c>
      <c r="F165" s="30" t="s">
        <v>694</v>
      </c>
      <c r="G165" s="30"/>
      <c r="H165" s="30" t="s">
        <v>84</v>
      </c>
      <c r="I165" s="38">
        <v>265</v>
      </c>
      <c r="J165" s="30" t="s">
        <v>70</v>
      </c>
      <c r="K165" s="38">
        <v>342</v>
      </c>
      <c r="L165" s="38"/>
      <c r="M165" s="30"/>
      <c r="N165" s="30"/>
      <c r="O165" s="30"/>
      <c r="P165" s="30"/>
      <c r="Q165" s="30"/>
      <c r="R165" s="30" t="s">
        <v>1655</v>
      </c>
      <c r="S165" s="30" t="s">
        <v>1656</v>
      </c>
      <c r="T165" s="30" t="s">
        <v>1606</v>
      </c>
      <c r="U165" s="30" t="s">
        <v>110</v>
      </c>
      <c r="V165" s="30" t="s">
        <v>85</v>
      </c>
      <c r="W165" s="30" t="s">
        <v>73</v>
      </c>
      <c r="X165" s="30" t="s">
        <v>638</v>
      </c>
      <c r="Y165" s="30" t="s">
        <v>1286</v>
      </c>
      <c r="Z165" s="36">
        <v>45190</v>
      </c>
      <c r="AA165" s="36">
        <v>45190</v>
      </c>
      <c r="AB165" s="30" t="s">
        <v>91</v>
      </c>
      <c r="AC165" s="30"/>
      <c r="AD165" s="30"/>
      <c r="AE165" s="30"/>
      <c r="AF165" s="30"/>
      <c r="AG165" s="30"/>
      <c r="AH165" s="30"/>
      <c r="AI165" s="30"/>
      <c r="AJ165" s="33">
        <f t="shared" si="10"/>
        <v>265</v>
      </c>
      <c r="AK165" s="37">
        <v>11000000</v>
      </c>
      <c r="AL165" s="33">
        <f t="shared" si="11"/>
        <v>342</v>
      </c>
      <c r="AM165" s="37"/>
      <c r="AN165" s="37"/>
      <c r="AO165" s="37">
        <v>4625000000</v>
      </c>
      <c r="AP165" s="30" t="s">
        <v>1657</v>
      </c>
      <c r="AQ165" s="30" t="s">
        <v>84</v>
      </c>
      <c r="AR165" s="30"/>
      <c r="AS165" s="30"/>
      <c r="AT165" s="30"/>
      <c r="AU165" s="30"/>
      <c r="AV165" s="38">
        <v>150</v>
      </c>
      <c r="AW165" s="37">
        <v>11223837</v>
      </c>
      <c r="AX165" s="38">
        <v>150</v>
      </c>
      <c r="AY165" s="37"/>
      <c r="AZ165" s="37">
        <v>2300000000</v>
      </c>
      <c r="BA165" s="34">
        <f t="shared" si="12"/>
        <v>1683575550</v>
      </c>
      <c r="BB165" s="30" t="s">
        <v>1658</v>
      </c>
      <c r="BC165" s="30" t="s">
        <v>82</v>
      </c>
      <c r="BD165" s="30" t="s">
        <v>1659</v>
      </c>
      <c r="BE165" s="30" t="s">
        <v>84</v>
      </c>
      <c r="BF165" s="30"/>
      <c r="BG165" s="30"/>
      <c r="BH165" s="30"/>
      <c r="BI165" s="30"/>
      <c r="BJ165" s="39">
        <v>510</v>
      </c>
      <c r="BK165" s="37">
        <v>10363529</v>
      </c>
      <c r="BL165" s="39">
        <v>380</v>
      </c>
      <c r="BM165" s="37"/>
      <c r="BN165" s="37">
        <v>7000000000</v>
      </c>
      <c r="BO165" s="34">
        <f t="shared" si="13"/>
        <v>5285399790</v>
      </c>
      <c r="BP165" s="30" t="s">
        <v>1660</v>
      </c>
      <c r="BQ165" s="30" t="s">
        <v>82</v>
      </c>
      <c r="BR165" s="30" t="s">
        <v>1661</v>
      </c>
      <c r="BS165" s="30" t="s">
        <v>84</v>
      </c>
      <c r="BT165" s="30"/>
      <c r="BU165" s="30"/>
      <c r="BV165" s="30"/>
      <c r="BW165" s="30"/>
      <c r="BX165" s="39">
        <v>345</v>
      </c>
      <c r="BY165" s="37">
        <v>10914493</v>
      </c>
      <c r="BZ165" s="39">
        <v>350</v>
      </c>
      <c r="CA165" s="37"/>
      <c r="CB165" s="37">
        <v>5300000000</v>
      </c>
      <c r="CC165" s="34">
        <f t="shared" si="14"/>
        <v>3765500085</v>
      </c>
      <c r="CD165" s="30" t="s">
        <v>1662</v>
      </c>
      <c r="CE165" s="30" t="s">
        <v>82</v>
      </c>
      <c r="CF165" s="30" t="s">
        <v>644</v>
      </c>
      <c r="CG165" s="30"/>
      <c r="CH165" s="30"/>
    </row>
    <row r="166" spans="2:86" ht="120" x14ac:dyDescent="0.25">
      <c r="B166" s="30" t="s">
        <v>1644</v>
      </c>
      <c r="C166" s="30" t="s">
        <v>1663</v>
      </c>
      <c r="D166" s="36">
        <v>45223</v>
      </c>
      <c r="E166" s="30" t="s">
        <v>694</v>
      </c>
      <c r="F166" s="30" t="s">
        <v>694</v>
      </c>
      <c r="G166" s="30"/>
      <c r="H166" s="30" t="s">
        <v>84</v>
      </c>
      <c r="I166" s="38">
        <v>246</v>
      </c>
      <c r="J166" s="30" t="s">
        <v>70</v>
      </c>
      <c r="K166" s="38">
        <v>287</v>
      </c>
      <c r="L166" s="38"/>
      <c r="M166" s="30"/>
      <c r="N166" s="30"/>
      <c r="O166" s="30"/>
      <c r="P166" s="30"/>
      <c r="Q166" s="30"/>
      <c r="R166" s="30" t="s">
        <v>1664</v>
      </c>
      <c r="S166" s="30" t="s">
        <v>1665</v>
      </c>
      <c r="T166" s="30" t="s">
        <v>914</v>
      </c>
      <c r="U166" s="30" t="s">
        <v>108</v>
      </c>
      <c r="V166" s="30" t="s">
        <v>85</v>
      </c>
      <c r="W166" s="30" t="s">
        <v>73</v>
      </c>
      <c r="X166" s="30" t="s">
        <v>638</v>
      </c>
      <c r="Y166" s="30" t="s">
        <v>1286</v>
      </c>
      <c r="Z166" s="36">
        <v>45195</v>
      </c>
      <c r="AA166" s="36">
        <v>45195</v>
      </c>
      <c r="AB166" s="30" t="s">
        <v>91</v>
      </c>
      <c r="AC166" s="30"/>
      <c r="AD166" s="30"/>
      <c r="AE166" s="30"/>
      <c r="AF166" s="30"/>
      <c r="AG166" s="30"/>
      <c r="AH166" s="30"/>
      <c r="AI166" s="30"/>
      <c r="AJ166" s="33">
        <f t="shared" si="10"/>
        <v>246</v>
      </c>
      <c r="AK166" s="37">
        <v>13200000</v>
      </c>
      <c r="AL166" s="33">
        <f t="shared" si="11"/>
        <v>287</v>
      </c>
      <c r="AM166" s="37"/>
      <c r="AN166" s="37"/>
      <c r="AO166" s="37">
        <v>4008000000</v>
      </c>
      <c r="AP166" s="30" t="s">
        <v>1666</v>
      </c>
      <c r="AQ166" s="30" t="s">
        <v>84</v>
      </c>
      <c r="AR166" s="30"/>
      <c r="AS166" s="30"/>
      <c r="AT166" s="30"/>
      <c r="AU166" s="30"/>
      <c r="AV166" s="38">
        <v>1800</v>
      </c>
      <c r="AW166" s="37">
        <v>15000000</v>
      </c>
      <c r="AX166" s="38"/>
      <c r="AY166" s="37"/>
      <c r="AZ166" s="37">
        <v>32400000000</v>
      </c>
      <c r="BA166" s="34">
        <f t="shared" si="12"/>
        <v>27000000000</v>
      </c>
      <c r="BB166" s="30" t="s">
        <v>1667</v>
      </c>
      <c r="BC166" s="30" t="s">
        <v>82</v>
      </c>
      <c r="BD166" s="30" t="s">
        <v>1668</v>
      </c>
      <c r="BE166" s="30" t="s">
        <v>78</v>
      </c>
      <c r="BF166" s="30"/>
      <c r="BG166" s="30"/>
      <c r="BH166" s="30"/>
      <c r="BI166" s="30"/>
      <c r="BJ166" s="39">
        <v>275</v>
      </c>
      <c r="BK166" s="37">
        <v>11636364</v>
      </c>
      <c r="BL166" s="39"/>
      <c r="BM166" s="37"/>
      <c r="BN166" s="37">
        <v>3575000000</v>
      </c>
      <c r="BO166" s="34">
        <f t="shared" si="13"/>
        <v>3200000100</v>
      </c>
      <c r="BP166" s="30" t="s">
        <v>1669</v>
      </c>
      <c r="BQ166" s="30" t="s">
        <v>82</v>
      </c>
      <c r="BR166" s="30" t="s">
        <v>1668</v>
      </c>
      <c r="BS166" s="30" t="s">
        <v>84</v>
      </c>
      <c r="BT166" s="30"/>
      <c r="BU166" s="30"/>
      <c r="BV166" s="30"/>
      <c r="BW166" s="30"/>
      <c r="BX166" s="39">
        <v>256</v>
      </c>
      <c r="BY166" s="37">
        <v>13295969</v>
      </c>
      <c r="BZ166" s="39">
        <v>240</v>
      </c>
      <c r="CA166" s="37"/>
      <c r="CB166" s="37">
        <v>4736000000</v>
      </c>
      <c r="CC166" s="34">
        <f t="shared" si="14"/>
        <v>3403768064</v>
      </c>
      <c r="CD166" s="30" t="s">
        <v>1670</v>
      </c>
      <c r="CE166" s="30" t="s">
        <v>82</v>
      </c>
      <c r="CF166" s="30" t="s">
        <v>1671</v>
      </c>
      <c r="CG166" s="30"/>
      <c r="CH166" s="30"/>
    </row>
    <row r="167" spans="2:86" ht="120" x14ac:dyDescent="0.25">
      <c r="B167" s="30" t="s">
        <v>1672</v>
      </c>
      <c r="C167" s="30" t="s">
        <v>1673</v>
      </c>
      <c r="D167" s="36">
        <v>45229</v>
      </c>
      <c r="E167" s="30" t="s">
        <v>83</v>
      </c>
      <c r="F167" s="30" t="s">
        <v>83</v>
      </c>
      <c r="G167" s="30"/>
      <c r="H167" s="30" t="s">
        <v>88</v>
      </c>
      <c r="I167" s="38"/>
      <c r="J167" s="30"/>
      <c r="K167" s="38"/>
      <c r="L167" s="38"/>
      <c r="M167" s="30" t="s">
        <v>1674</v>
      </c>
      <c r="N167" s="30"/>
      <c r="O167" s="30">
        <v>1</v>
      </c>
      <c r="P167" s="30" t="s">
        <v>198</v>
      </c>
      <c r="Q167" s="30"/>
      <c r="R167" s="30" t="s">
        <v>1675</v>
      </c>
      <c r="S167" s="30" t="s">
        <v>1676</v>
      </c>
      <c r="T167" s="30" t="s">
        <v>1677</v>
      </c>
      <c r="U167" s="30" t="s">
        <v>129</v>
      </c>
      <c r="V167" s="30" t="s">
        <v>130</v>
      </c>
      <c r="W167" s="30" t="s">
        <v>73</v>
      </c>
      <c r="X167" s="30" t="s">
        <v>86</v>
      </c>
      <c r="Y167" s="30" t="s">
        <v>75</v>
      </c>
      <c r="Z167" s="36">
        <v>45206</v>
      </c>
      <c r="AA167" s="36">
        <v>45206</v>
      </c>
      <c r="AB167" s="30" t="s">
        <v>91</v>
      </c>
      <c r="AC167" s="30"/>
      <c r="AD167" s="30"/>
      <c r="AE167" s="30"/>
      <c r="AF167" s="30"/>
      <c r="AG167" s="30">
        <v>9571260</v>
      </c>
      <c r="AH167" s="30"/>
      <c r="AI167" s="30"/>
      <c r="AJ167" s="33">
        <f t="shared" si="10"/>
        <v>0</v>
      </c>
      <c r="AK167" s="37"/>
      <c r="AL167" s="33">
        <f t="shared" si="11"/>
        <v>0</v>
      </c>
      <c r="AM167" s="37"/>
      <c r="AN167" s="37"/>
      <c r="AO167" s="37">
        <v>48040000000</v>
      </c>
      <c r="AP167" s="30"/>
      <c r="AQ167" s="30"/>
      <c r="AR167" s="30"/>
      <c r="AS167" s="30"/>
      <c r="AT167" s="30"/>
      <c r="AU167" s="30"/>
      <c r="AV167" s="38"/>
      <c r="AW167" s="37"/>
      <c r="AX167" s="38"/>
      <c r="AY167" s="37"/>
      <c r="AZ167" s="37"/>
      <c r="BA167" s="34">
        <f t="shared" si="12"/>
        <v>0</v>
      </c>
      <c r="BB167" s="30"/>
      <c r="BC167" s="30"/>
      <c r="BD167" s="30"/>
      <c r="BE167" s="30"/>
      <c r="BF167" s="30"/>
      <c r="BG167" s="30"/>
      <c r="BH167" s="30"/>
      <c r="BI167" s="30"/>
      <c r="BJ167" s="39"/>
      <c r="BK167" s="37"/>
      <c r="BL167" s="39"/>
      <c r="BM167" s="37"/>
      <c r="BN167" s="37"/>
      <c r="BO167" s="34">
        <f t="shared" si="13"/>
        <v>0</v>
      </c>
      <c r="BP167" s="30"/>
      <c r="BQ167" s="30"/>
      <c r="BR167" s="30"/>
      <c r="BS167" s="30"/>
      <c r="BT167" s="30"/>
      <c r="BU167" s="30"/>
      <c r="BV167" s="30"/>
      <c r="BW167" s="30"/>
      <c r="BX167" s="39"/>
      <c r="BY167" s="37"/>
      <c r="BZ167" s="39"/>
      <c r="CA167" s="37"/>
      <c r="CB167" s="37"/>
      <c r="CC167" s="34">
        <f t="shared" si="14"/>
        <v>0</v>
      </c>
      <c r="CD167" s="30"/>
      <c r="CE167" s="30"/>
      <c r="CF167" s="30"/>
      <c r="CG167" s="30"/>
      <c r="CH167" s="30"/>
    </row>
    <row r="168" spans="2:86" ht="120" x14ac:dyDescent="0.25">
      <c r="B168" s="30" t="s">
        <v>1678</v>
      </c>
      <c r="C168" s="30" t="s">
        <v>1679</v>
      </c>
      <c r="D168" s="36">
        <v>45230</v>
      </c>
      <c r="E168" s="30" t="s">
        <v>1680</v>
      </c>
      <c r="F168" s="30" t="s">
        <v>97</v>
      </c>
      <c r="G168" s="30"/>
      <c r="H168" s="30" t="s">
        <v>1681</v>
      </c>
      <c r="I168" s="38">
        <v>9268</v>
      </c>
      <c r="J168" s="30" t="s">
        <v>70</v>
      </c>
      <c r="K168" s="38">
        <v>6649</v>
      </c>
      <c r="L168" s="38"/>
      <c r="M168" s="30"/>
      <c r="N168" s="30"/>
      <c r="O168" s="30"/>
      <c r="P168" s="30"/>
      <c r="Q168" s="30"/>
      <c r="R168" s="30" t="s">
        <v>1682</v>
      </c>
      <c r="S168" s="30" t="s">
        <v>1683</v>
      </c>
      <c r="T168" s="30" t="s">
        <v>1684</v>
      </c>
      <c r="U168" s="30" t="s">
        <v>1338</v>
      </c>
      <c r="V168" s="30" t="s">
        <v>1339</v>
      </c>
      <c r="W168" s="30" t="s">
        <v>73</v>
      </c>
      <c r="X168" s="30" t="s">
        <v>86</v>
      </c>
      <c r="Y168" s="30" t="s">
        <v>75</v>
      </c>
      <c r="Z168" s="36">
        <v>45227</v>
      </c>
      <c r="AA168" s="36">
        <v>45227</v>
      </c>
      <c r="AB168" s="30" t="s">
        <v>91</v>
      </c>
      <c r="AC168" s="30"/>
      <c r="AD168" s="30"/>
      <c r="AE168" s="30"/>
      <c r="AF168" s="30"/>
      <c r="AG168" s="30"/>
      <c r="AH168" s="30"/>
      <c r="AI168" s="30"/>
      <c r="AJ168" s="33">
        <f t="shared" si="10"/>
        <v>9268</v>
      </c>
      <c r="AK168" s="37">
        <v>5300000</v>
      </c>
      <c r="AL168" s="33">
        <f t="shared" si="11"/>
        <v>6649</v>
      </c>
      <c r="AM168" s="37"/>
      <c r="AN168" s="37"/>
      <c r="AO168" s="37">
        <v>89914000000</v>
      </c>
      <c r="AP168" s="30" t="s">
        <v>1685</v>
      </c>
      <c r="AQ168" s="30" t="s">
        <v>78</v>
      </c>
      <c r="AR168" s="30"/>
      <c r="AS168" s="30"/>
      <c r="AT168" s="30"/>
      <c r="AU168" s="30"/>
      <c r="AV168" s="38">
        <v>9000</v>
      </c>
      <c r="AW168" s="37">
        <v>5400000</v>
      </c>
      <c r="AX168" s="38"/>
      <c r="AY168" s="37"/>
      <c r="AZ168" s="37">
        <v>72000000000</v>
      </c>
      <c r="BA168" s="34">
        <f t="shared" si="12"/>
        <v>48600000000</v>
      </c>
      <c r="BB168" s="30" t="s">
        <v>1686</v>
      </c>
      <c r="BC168" s="30" t="s">
        <v>82</v>
      </c>
      <c r="BD168" s="30" t="s">
        <v>1687</v>
      </c>
      <c r="BE168" s="30" t="s">
        <v>78</v>
      </c>
      <c r="BF168" s="30"/>
      <c r="BG168" s="30"/>
      <c r="BH168" s="30"/>
      <c r="BI168" s="30"/>
      <c r="BJ168" s="39">
        <v>30000</v>
      </c>
      <c r="BK168" s="37">
        <v>5300000</v>
      </c>
      <c r="BL168" s="39"/>
      <c r="BM168" s="37"/>
      <c r="BN168" s="37">
        <v>240000000000</v>
      </c>
      <c r="BO168" s="34">
        <f t="shared" si="13"/>
        <v>159000000000</v>
      </c>
      <c r="BP168" s="30" t="s">
        <v>1688</v>
      </c>
      <c r="BQ168" s="30" t="s">
        <v>82</v>
      </c>
      <c r="BR168" s="30" t="s">
        <v>1689</v>
      </c>
      <c r="BS168" s="30" t="s">
        <v>78</v>
      </c>
      <c r="BT168" s="30"/>
      <c r="BU168" s="30"/>
      <c r="BV168" s="30"/>
      <c r="BW168" s="30"/>
      <c r="BX168" s="39">
        <v>3530</v>
      </c>
      <c r="BY168" s="37">
        <v>5700000</v>
      </c>
      <c r="BZ168" s="39"/>
      <c r="CA168" s="37"/>
      <c r="CB168" s="37">
        <v>28240000000</v>
      </c>
      <c r="CC168" s="34">
        <f t="shared" si="14"/>
        <v>20121000000</v>
      </c>
      <c r="CD168" s="30" t="s">
        <v>1690</v>
      </c>
      <c r="CE168" s="30" t="s">
        <v>82</v>
      </c>
      <c r="CF168" s="30" t="s">
        <v>1691</v>
      </c>
      <c r="CG168" s="30"/>
      <c r="CH168" s="30"/>
    </row>
    <row r="169" spans="2:86" ht="150" x14ac:dyDescent="0.25">
      <c r="B169" s="30" t="s">
        <v>1692</v>
      </c>
      <c r="C169" s="30" t="s">
        <v>1693</v>
      </c>
      <c r="D169" s="36">
        <v>45230</v>
      </c>
      <c r="E169" s="30" t="s">
        <v>1694</v>
      </c>
      <c r="F169" s="30" t="s">
        <v>97</v>
      </c>
      <c r="G169" s="30"/>
      <c r="H169" s="30" t="s">
        <v>1695</v>
      </c>
      <c r="I169" s="38">
        <v>10101</v>
      </c>
      <c r="J169" s="30" t="s">
        <v>70</v>
      </c>
      <c r="K169" s="38">
        <v>8886</v>
      </c>
      <c r="L169" s="38"/>
      <c r="M169" s="30"/>
      <c r="N169" s="30"/>
      <c r="O169" s="30"/>
      <c r="P169" s="30"/>
      <c r="Q169" s="30"/>
      <c r="R169" s="30" t="s">
        <v>1696</v>
      </c>
      <c r="S169" s="30" t="s">
        <v>1697</v>
      </c>
      <c r="T169" s="30" t="s">
        <v>1698</v>
      </c>
      <c r="U169" s="30" t="s">
        <v>120</v>
      </c>
      <c r="V169" s="30" t="s">
        <v>121</v>
      </c>
      <c r="W169" s="30" t="s">
        <v>73</v>
      </c>
      <c r="X169" s="30" t="s">
        <v>86</v>
      </c>
      <c r="Y169" s="30" t="s">
        <v>75</v>
      </c>
      <c r="Z169" s="36">
        <v>45227</v>
      </c>
      <c r="AA169" s="36">
        <v>45227</v>
      </c>
      <c r="AB169" s="30" t="s">
        <v>91</v>
      </c>
      <c r="AC169" s="30"/>
      <c r="AD169" s="30"/>
      <c r="AE169" s="30"/>
      <c r="AF169" s="30"/>
      <c r="AG169" s="30"/>
      <c r="AH169" s="30"/>
      <c r="AI169" s="30"/>
      <c r="AJ169" s="33">
        <f t="shared" si="10"/>
        <v>10101</v>
      </c>
      <c r="AK169" s="37">
        <v>5000000</v>
      </c>
      <c r="AL169" s="33">
        <f t="shared" si="11"/>
        <v>8886</v>
      </c>
      <c r="AM169" s="37"/>
      <c r="AN169" s="37"/>
      <c r="AO169" s="37">
        <v>101478000000</v>
      </c>
      <c r="AP169" s="30" t="s">
        <v>1699</v>
      </c>
      <c r="AQ169" s="30" t="s">
        <v>101</v>
      </c>
      <c r="AR169" s="30"/>
      <c r="AS169" s="30"/>
      <c r="AT169" s="30"/>
      <c r="AU169" s="30"/>
      <c r="AV169" s="38">
        <v>720</v>
      </c>
      <c r="AW169" s="37">
        <v>9402431</v>
      </c>
      <c r="AX169" s="38">
        <v>500</v>
      </c>
      <c r="AY169" s="37"/>
      <c r="AZ169" s="37">
        <v>8999900000</v>
      </c>
      <c r="BA169" s="34">
        <f t="shared" si="12"/>
        <v>6769750320</v>
      </c>
      <c r="BB169" s="30" t="s">
        <v>1700</v>
      </c>
      <c r="BC169" s="30" t="s">
        <v>82</v>
      </c>
      <c r="BD169" s="30" t="s">
        <v>1701</v>
      </c>
      <c r="BE169" s="30" t="s">
        <v>78</v>
      </c>
      <c r="BF169" s="30"/>
      <c r="BG169" s="30"/>
      <c r="BH169" s="30"/>
      <c r="BI169" s="30"/>
      <c r="BJ169" s="39">
        <v>1200</v>
      </c>
      <c r="BK169" s="37">
        <v>4200000</v>
      </c>
      <c r="BL169" s="39"/>
      <c r="BM169" s="37"/>
      <c r="BN169" s="37">
        <v>5400000000</v>
      </c>
      <c r="BO169" s="34">
        <f t="shared" si="13"/>
        <v>5040000000</v>
      </c>
      <c r="BP169" s="30" t="s">
        <v>1702</v>
      </c>
      <c r="BQ169" s="30" t="s">
        <v>82</v>
      </c>
      <c r="BR169" s="30" t="s">
        <v>1703</v>
      </c>
      <c r="BS169" s="30" t="s">
        <v>78</v>
      </c>
      <c r="BT169" s="30"/>
      <c r="BU169" s="30"/>
      <c r="BV169" s="30"/>
      <c r="BW169" s="30"/>
      <c r="BX169" s="39">
        <v>5930</v>
      </c>
      <c r="BY169" s="37">
        <v>3200000</v>
      </c>
      <c r="BZ169" s="39"/>
      <c r="CA169" s="37"/>
      <c r="CB169" s="37">
        <v>20162000000</v>
      </c>
      <c r="CC169" s="34">
        <f t="shared" si="14"/>
        <v>18976000000</v>
      </c>
      <c r="CD169" s="30" t="s">
        <v>1704</v>
      </c>
      <c r="CE169" s="30" t="s">
        <v>82</v>
      </c>
      <c r="CF169" s="30" t="s">
        <v>1705</v>
      </c>
      <c r="CG169" s="30"/>
      <c r="CH169" s="30"/>
    </row>
    <row r="170" spans="2:86" ht="60" x14ac:dyDescent="0.25">
      <c r="B170" s="30" t="s">
        <v>1706</v>
      </c>
      <c r="C170" s="30" t="s">
        <v>1707</v>
      </c>
      <c r="D170" s="36">
        <v>45244</v>
      </c>
      <c r="E170" s="30" t="s">
        <v>1708</v>
      </c>
      <c r="F170" s="30" t="s">
        <v>1709</v>
      </c>
      <c r="G170" s="30"/>
      <c r="H170" s="30" t="s">
        <v>144</v>
      </c>
      <c r="I170" s="38"/>
      <c r="J170" s="30"/>
      <c r="K170" s="38"/>
      <c r="L170" s="38"/>
      <c r="M170" s="30" t="s">
        <v>1710</v>
      </c>
      <c r="N170" s="30"/>
      <c r="O170" s="30">
        <v>1</v>
      </c>
      <c r="P170" s="30" t="s">
        <v>164</v>
      </c>
      <c r="Q170" s="30" t="s">
        <v>1711</v>
      </c>
      <c r="R170" s="30" t="s">
        <v>1712</v>
      </c>
      <c r="S170" s="30" t="s">
        <v>1713</v>
      </c>
      <c r="T170" s="30" t="s">
        <v>1714</v>
      </c>
      <c r="U170" s="30" t="s">
        <v>1301</v>
      </c>
      <c r="V170" s="30" t="s">
        <v>1302</v>
      </c>
      <c r="W170" s="30" t="s">
        <v>1715</v>
      </c>
      <c r="X170" s="30" t="s">
        <v>146</v>
      </c>
      <c r="Y170" s="30" t="s">
        <v>75</v>
      </c>
      <c r="Z170" s="36">
        <v>45229</v>
      </c>
      <c r="AA170" s="36">
        <v>45234</v>
      </c>
      <c r="AB170" s="30" t="s">
        <v>91</v>
      </c>
      <c r="AC170" s="30"/>
      <c r="AD170" s="30"/>
      <c r="AE170" s="30" t="s">
        <v>1716</v>
      </c>
      <c r="AF170" s="30"/>
      <c r="AG170" s="30"/>
      <c r="AH170" s="30"/>
      <c r="AI170" s="30"/>
      <c r="AJ170" s="33">
        <f t="shared" si="10"/>
        <v>0</v>
      </c>
      <c r="AK170" s="37"/>
      <c r="AL170" s="33">
        <f t="shared" si="11"/>
        <v>0</v>
      </c>
      <c r="AM170" s="37"/>
      <c r="AN170" s="37">
        <v>383000000</v>
      </c>
      <c r="AO170" s="71">
        <f>AN170+AN171+AN172+AN173+AN170</f>
        <v>8558200000</v>
      </c>
      <c r="AP170" s="30" t="s">
        <v>1717</v>
      </c>
      <c r="AQ170" s="30" t="s">
        <v>144</v>
      </c>
      <c r="AR170" s="30"/>
      <c r="AS170" s="30"/>
      <c r="AT170" s="30" t="s">
        <v>1716</v>
      </c>
      <c r="AU170" s="30">
        <v>2011</v>
      </c>
      <c r="AV170" s="38"/>
      <c r="AW170" s="37"/>
      <c r="AX170" s="38"/>
      <c r="AY170" s="37"/>
      <c r="AZ170" s="37">
        <v>350000000</v>
      </c>
      <c r="BA170" s="34">
        <f t="shared" si="12"/>
        <v>0</v>
      </c>
      <c r="BB170" s="30" t="s">
        <v>1718</v>
      </c>
      <c r="BC170" s="30" t="s">
        <v>82</v>
      </c>
      <c r="BD170" s="30" t="s">
        <v>1719</v>
      </c>
      <c r="BE170" s="30" t="s">
        <v>144</v>
      </c>
      <c r="BF170" s="30"/>
      <c r="BG170" s="30"/>
      <c r="BH170" s="30" t="s">
        <v>1716</v>
      </c>
      <c r="BI170" s="30">
        <v>2008</v>
      </c>
      <c r="BJ170" s="39"/>
      <c r="BK170" s="37"/>
      <c r="BL170" s="39"/>
      <c r="BM170" s="37"/>
      <c r="BN170" s="37">
        <v>301000000</v>
      </c>
      <c r="BO170" s="34">
        <f t="shared" si="13"/>
        <v>0</v>
      </c>
      <c r="BP170" s="30" t="s">
        <v>1720</v>
      </c>
      <c r="BQ170" s="30" t="s">
        <v>82</v>
      </c>
      <c r="BR170" s="30" t="s">
        <v>1721</v>
      </c>
      <c r="BS170" s="30" t="s">
        <v>144</v>
      </c>
      <c r="BT170" s="30"/>
      <c r="BU170" s="30"/>
      <c r="BV170" s="30" t="s">
        <v>1716</v>
      </c>
      <c r="BW170" s="30">
        <v>2015</v>
      </c>
      <c r="BX170" s="39"/>
      <c r="BY170" s="37"/>
      <c r="BZ170" s="39"/>
      <c r="CA170" s="37"/>
      <c r="CB170" s="37">
        <v>300000000</v>
      </c>
      <c r="CC170" s="34">
        <f t="shared" si="14"/>
        <v>0</v>
      </c>
      <c r="CD170" s="30" t="s">
        <v>1722</v>
      </c>
      <c r="CE170" s="30" t="s">
        <v>82</v>
      </c>
      <c r="CF170" s="30" t="s">
        <v>644</v>
      </c>
      <c r="CG170" s="30"/>
      <c r="CH170" s="30"/>
    </row>
    <row r="171" spans="2:86" ht="270" x14ac:dyDescent="0.25">
      <c r="B171" s="30" t="s">
        <v>1706</v>
      </c>
      <c r="C171" s="30" t="s">
        <v>1707</v>
      </c>
      <c r="D171" s="36">
        <v>45244</v>
      </c>
      <c r="E171" s="30" t="s">
        <v>1708</v>
      </c>
      <c r="F171" s="30" t="s">
        <v>1709</v>
      </c>
      <c r="G171" s="30"/>
      <c r="H171" s="30" t="s">
        <v>1723</v>
      </c>
      <c r="I171" s="38"/>
      <c r="J171" s="30"/>
      <c r="K171" s="38"/>
      <c r="L171" s="38"/>
      <c r="M171" s="30" t="s">
        <v>1724</v>
      </c>
      <c r="N171" s="30"/>
      <c r="O171" s="30">
        <v>1</v>
      </c>
      <c r="P171" s="30" t="s">
        <v>164</v>
      </c>
      <c r="Q171" s="30" t="s">
        <v>1725</v>
      </c>
      <c r="R171" s="30"/>
      <c r="S171" s="30" t="s">
        <v>1726</v>
      </c>
      <c r="T171" s="30" t="s">
        <v>1318</v>
      </c>
      <c r="U171" s="30" t="s">
        <v>1301</v>
      </c>
      <c r="V171" s="30" t="s">
        <v>1302</v>
      </c>
      <c r="W171" s="30" t="s">
        <v>1715</v>
      </c>
      <c r="X171" s="30" t="s">
        <v>146</v>
      </c>
      <c r="Y171" s="30" t="s">
        <v>75</v>
      </c>
      <c r="Z171" s="36">
        <v>45229</v>
      </c>
      <c r="AA171" s="36">
        <v>45234</v>
      </c>
      <c r="AB171" s="30" t="s">
        <v>91</v>
      </c>
      <c r="AC171" s="30"/>
      <c r="AD171" s="30"/>
      <c r="AE171" s="30" t="s">
        <v>1727</v>
      </c>
      <c r="AF171" s="30"/>
      <c r="AG171" s="30"/>
      <c r="AH171" s="30"/>
      <c r="AI171" s="30"/>
      <c r="AJ171" s="33">
        <f t="shared" si="10"/>
        <v>0</v>
      </c>
      <c r="AK171" s="37"/>
      <c r="AL171" s="33">
        <f t="shared" si="11"/>
        <v>0</v>
      </c>
      <c r="AM171" s="37"/>
      <c r="AN171" s="72">
        <v>2783000000</v>
      </c>
      <c r="AO171" s="73"/>
      <c r="AP171" s="30" t="s">
        <v>1728</v>
      </c>
      <c r="AQ171" s="30" t="s">
        <v>187</v>
      </c>
      <c r="AR171" s="30"/>
      <c r="AS171" s="30"/>
      <c r="AT171" s="30" t="s">
        <v>1729</v>
      </c>
      <c r="AU171" s="30">
        <v>2014</v>
      </c>
      <c r="AV171" s="38"/>
      <c r="AW171" s="37"/>
      <c r="AX171" s="38"/>
      <c r="AY171" s="37"/>
      <c r="AZ171" s="37">
        <v>875000000</v>
      </c>
      <c r="BA171" s="34">
        <f t="shared" si="12"/>
        <v>0</v>
      </c>
      <c r="BB171" s="30" t="s">
        <v>1730</v>
      </c>
      <c r="BC171" s="30" t="s">
        <v>82</v>
      </c>
      <c r="BD171" s="30" t="s">
        <v>1721</v>
      </c>
      <c r="BE171" s="30" t="s">
        <v>187</v>
      </c>
      <c r="BF171" s="30"/>
      <c r="BG171" s="30"/>
      <c r="BH171" s="30" t="s">
        <v>1729</v>
      </c>
      <c r="BI171" s="30">
        <v>2018</v>
      </c>
      <c r="BJ171" s="39"/>
      <c r="BK171" s="37"/>
      <c r="BL171" s="39"/>
      <c r="BM171" s="37"/>
      <c r="BN171" s="37">
        <v>850000000</v>
      </c>
      <c r="BO171" s="34">
        <f t="shared" si="13"/>
        <v>0</v>
      </c>
      <c r="BP171" s="30" t="s">
        <v>1731</v>
      </c>
      <c r="BQ171" s="30" t="s">
        <v>82</v>
      </c>
      <c r="BR171" s="30" t="s">
        <v>1728</v>
      </c>
      <c r="BS171" s="30" t="s">
        <v>187</v>
      </c>
      <c r="BT171" s="30"/>
      <c r="BU171" s="30"/>
      <c r="BV171" s="30" t="s">
        <v>1732</v>
      </c>
      <c r="BW171" s="30">
        <v>2019</v>
      </c>
      <c r="BX171" s="39"/>
      <c r="BY171" s="37"/>
      <c r="BZ171" s="39"/>
      <c r="CA171" s="37"/>
      <c r="CB171" s="37">
        <v>725000000</v>
      </c>
      <c r="CC171" s="34">
        <f t="shared" si="14"/>
        <v>0</v>
      </c>
      <c r="CD171" s="30" t="s">
        <v>1733</v>
      </c>
      <c r="CE171" s="30" t="s">
        <v>82</v>
      </c>
      <c r="CF171" s="30" t="s">
        <v>644</v>
      </c>
      <c r="CG171" s="30"/>
      <c r="CH171" s="30"/>
    </row>
    <row r="172" spans="2:86" ht="150" x14ac:dyDescent="0.25">
      <c r="B172" s="30" t="s">
        <v>1706</v>
      </c>
      <c r="C172" s="30" t="s">
        <v>1707</v>
      </c>
      <c r="D172" s="36">
        <v>45244</v>
      </c>
      <c r="E172" s="30" t="s">
        <v>1708</v>
      </c>
      <c r="F172" s="30" t="s">
        <v>1709</v>
      </c>
      <c r="G172" s="30"/>
      <c r="H172" s="30" t="s">
        <v>187</v>
      </c>
      <c r="I172" s="38"/>
      <c r="J172" s="30"/>
      <c r="K172" s="38"/>
      <c r="L172" s="38"/>
      <c r="M172" s="30" t="s">
        <v>1734</v>
      </c>
      <c r="N172" s="30"/>
      <c r="O172" s="30">
        <v>1</v>
      </c>
      <c r="P172" s="30" t="s">
        <v>164</v>
      </c>
      <c r="Q172" s="30" t="s">
        <v>1735</v>
      </c>
      <c r="R172" s="30"/>
      <c r="S172" s="30" t="s">
        <v>1736</v>
      </c>
      <c r="T172" s="30" t="s">
        <v>1737</v>
      </c>
      <c r="U172" s="30" t="s">
        <v>1738</v>
      </c>
      <c r="V172" s="30" t="s">
        <v>1302</v>
      </c>
      <c r="W172" s="30" t="s">
        <v>1715</v>
      </c>
      <c r="X172" s="30" t="s">
        <v>146</v>
      </c>
      <c r="Y172" s="30" t="s">
        <v>75</v>
      </c>
      <c r="Z172" s="36">
        <v>45229</v>
      </c>
      <c r="AA172" s="36">
        <v>45234</v>
      </c>
      <c r="AB172" s="30" t="s">
        <v>91</v>
      </c>
      <c r="AC172" s="30"/>
      <c r="AD172" s="30"/>
      <c r="AE172" s="30"/>
      <c r="AF172" s="30"/>
      <c r="AG172" s="30"/>
      <c r="AH172" s="30"/>
      <c r="AI172" s="30"/>
      <c r="AJ172" s="33">
        <f t="shared" si="10"/>
        <v>0</v>
      </c>
      <c r="AK172" s="37"/>
      <c r="AL172" s="33">
        <f t="shared" si="11"/>
        <v>0</v>
      </c>
      <c r="AM172" s="37"/>
      <c r="AN172" s="72">
        <v>3691200000</v>
      </c>
      <c r="AO172" s="73"/>
      <c r="AP172" s="30"/>
      <c r="AQ172" s="30"/>
      <c r="AR172" s="30"/>
      <c r="AS172" s="30"/>
      <c r="AT172" s="30"/>
      <c r="AU172" s="30"/>
      <c r="AV172" s="38"/>
      <c r="AW172" s="37"/>
      <c r="AX172" s="38"/>
      <c r="AY172" s="37"/>
      <c r="AZ172" s="37"/>
      <c r="BA172" s="34">
        <f t="shared" si="12"/>
        <v>0</v>
      </c>
      <c r="BB172" s="30"/>
      <c r="BC172" s="30"/>
      <c r="BD172" s="30"/>
      <c r="BE172" s="30"/>
      <c r="BF172" s="30"/>
      <c r="BG172" s="30"/>
      <c r="BH172" s="30"/>
      <c r="BI172" s="30"/>
      <c r="BJ172" s="39"/>
      <c r="BK172" s="37"/>
      <c r="BL172" s="39"/>
      <c r="BM172" s="37"/>
      <c r="BN172" s="37"/>
      <c r="BO172" s="34">
        <f t="shared" si="13"/>
        <v>0</v>
      </c>
      <c r="BP172" s="30"/>
      <c r="BQ172" s="30"/>
      <c r="BR172" s="30"/>
      <c r="BS172" s="30"/>
      <c r="BT172" s="30"/>
      <c r="BU172" s="30"/>
      <c r="BV172" s="30"/>
      <c r="BW172" s="30"/>
      <c r="BX172" s="39"/>
      <c r="BY172" s="37"/>
      <c r="BZ172" s="39"/>
      <c r="CA172" s="37"/>
      <c r="CB172" s="37"/>
      <c r="CC172" s="34">
        <f t="shared" si="14"/>
        <v>0</v>
      </c>
      <c r="CD172" s="30"/>
      <c r="CE172" s="30"/>
      <c r="CF172" s="30"/>
      <c r="CG172" s="30"/>
      <c r="CH172" s="30"/>
    </row>
    <row r="173" spans="2:86" ht="75" x14ac:dyDescent="0.25">
      <c r="B173" s="30" t="s">
        <v>1706</v>
      </c>
      <c r="C173" s="30" t="s">
        <v>1707</v>
      </c>
      <c r="D173" s="36">
        <v>45244</v>
      </c>
      <c r="E173" s="30" t="s">
        <v>1708</v>
      </c>
      <c r="F173" s="30" t="s">
        <v>1709</v>
      </c>
      <c r="G173" s="30"/>
      <c r="H173" s="30" t="s">
        <v>187</v>
      </c>
      <c r="I173" s="38"/>
      <c r="J173" s="30"/>
      <c r="K173" s="38"/>
      <c r="L173" s="38"/>
      <c r="M173" s="30" t="s">
        <v>1739</v>
      </c>
      <c r="N173" s="30"/>
      <c r="O173" s="30">
        <v>1</v>
      </c>
      <c r="P173" s="30" t="s">
        <v>164</v>
      </c>
      <c r="Q173" s="30" t="s">
        <v>1740</v>
      </c>
      <c r="R173" s="30" t="s">
        <v>1741</v>
      </c>
      <c r="S173" s="30" t="s">
        <v>1742</v>
      </c>
      <c r="T173" s="30" t="s">
        <v>1743</v>
      </c>
      <c r="U173" s="30" t="s">
        <v>1744</v>
      </c>
      <c r="V173" s="30" t="s">
        <v>1302</v>
      </c>
      <c r="W173" s="30" t="s">
        <v>1715</v>
      </c>
      <c r="X173" s="30" t="s">
        <v>146</v>
      </c>
      <c r="Y173" s="30" t="s">
        <v>75</v>
      </c>
      <c r="Z173" s="36">
        <v>45229</v>
      </c>
      <c r="AA173" s="36">
        <v>45234</v>
      </c>
      <c r="AB173" s="30" t="s">
        <v>91</v>
      </c>
      <c r="AC173" s="30"/>
      <c r="AD173" s="30"/>
      <c r="AE173" s="30" t="s">
        <v>1727</v>
      </c>
      <c r="AF173" s="30"/>
      <c r="AG173" s="30"/>
      <c r="AH173" s="30"/>
      <c r="AI173" s="30"/>
      <c r="AJ173" s="33">
        <f t="shared" si="10"/>
        <v>0</v>
      </c>
      <c r="AK173" s="37"/>
      <c r="AL173" s="33">
        <f t="shared" si="11"/>
        <v>0</v>
      </c>
      <c r="AM173" s="37"/>
      <c r="AN173" s="72">
        <v>1318000000</v>
      </c>
      <c r="AO173" s="74"/>
      <c r="AP173" s="30" t="s">
        <v>1728</v>
      </c>
      <c r="AQ173" s="30" t="s">
        <v>187</v>
      </c>
      <c r="AR173" s="30"/>
      <c r="AS173" s="30"/>
      <c r="AT173" s="30" t="s">
        <v>1729</v>
      </c>
      <c r="AU173" s="30">
        <v>2014</v>
      </c>
      <c r="AV173" s="38"/>
      <c r="AW173" s="37"/>
      <c r="AX173" s="38"/>
      <c r="AY173" s="37"/>
      <c r="AZ173" s="37">
        <v>875000000</v>
      </c>
      <c r="BA173" s="34">
        <f t="shared" si="12"/>
        <v>0</v>
      </c>
      <c r="BB173" s="30" t="s">
        <v>1730</v>
      </c>
      <c r="BC173" s="30" t="s">
        <v>82</v>
      </c>
      <c r="BD173" s="30" t="s">
        <v>1721</v>
      </c>
      <c r="BE173" s="30" t="s">
        <v>187</v>
      </c>
      <c r="BF173" s="30"/>
      <c r="BG173" s="30"/>
      <c r="BH173" s="30" t="s">
        <v>1729</v>
      </c>
      <c r="BI173" s="30">
        <v>2018</v>
      </c>
      <c r="BJ173" s="39"/>
      <c r="BK173" s="37"/>
      <c r="BL173" s="39"/>
      <c r="BM173" s="37"/>
      <c r="BN173" s="37">
        <v>850000000</v>
      </c>
      <c r="BO173" s="34">
        <f t="shared" si="13"/>
        <v>0</v>
      </c>
      <c r="BP173" s="30" t="s">
        <v>1731</v>
      </c>
      <c r="BQ173" s="30" t="s">
        <v>82</v>
      </c>
      <c r="BR173" s="30" t="s">
        <v>1728</v>
      </c>
      <c r="BS173" s="30" t="s">
        <v>187</v>
      </c>
      <c r="BT173" s="30"/>
      <c r="BU173" s="30"/>
      <c r="BV173" s="30" t="s">
        <v>1732</v>
      </c>
      <c r="BW173" s="30">
        <v>2019</v>
      </c>
      <c r="BX173" s="39"/>
      <c r="BY173" s="37"/>
      <c r="BZ173" s="39"/>
      <c r="CA173" s="37"/>
      <c r="CB173" s="37">
        <v>725000000</v>
      </c>
      <c r="CC173" s="34">
        <f t="shared" si="14"/>
        <v>0</v>
      </c>
      <c r="CD173" s="30" t="s">
        <v>1733</v>
      </c>
      <c r="CE173" s="30" t="s">
        <v>82</v>
      </c>
      <c r="CF173" s="30" t="s">
        <v>644</v>
      </c>
      <c r="CG173" s="30"/>
      <c r="CH173" s="30"/>
    </row>
    <row r="174" spans="2:86" ht="135" x14ac:dyDescent="0.25">
      <c r="B174" s="30" t="s">
        <v>1745</v>
      </c>
      <c r="C174" s="30" t="s">
        <v>1746</v>
      </c>
      <c r="D174" s="36">
        <v>45259</v>
      </c>
      <c r="E174" s="30" t="s">
        <v>1747</v>
      </c>
      <c r="F174" s="30" t="s">
        <v>1747</v>
      </c>
      <c r="G174" s="30"/>
      <c r="H174" s="30" t="s">
        <v>1013</v>
      </c>
      <c r="I174" s="38">
        <v>22630</v>
      </c>
      <c r="J174" s="30" t="s">
        <v>70</v>
      </c>
      <c r="K174" s="38"/>
      <c r="L174" s="38"/>
      <c r="M174" s="30"/>
      <c r="N174" s="30"/>
      <c r="O174" s="30"/>
      <c r="P174" s="30"/>
      <c r="Q174" s="30"/>
      <c r="R174" s="30" t="s">
        <v>1748</v>
      </c>
      <c r="S174" s="30" t="s">
        <v>1749</v>
      </c>
      <c r="T174" s="30" t="s">
        <v>71</v>
      </c>
      <c r="U174" s="30" t="s">
        <v>1750</v>
      </c>
      <c r="V174" s="30" t="s">
        <v>72</v>
      </c>
      <c r="W174" s="30" t="s">
        <v>73</v>
      </c>
      <c r="X174" s="30" t="s">
        <v>146</v>
      </c>
      <c r="Y174" s="30" t="s">
        <v>75</v>
      </c>
      <c r="Z174" s="36">
        <v>45250</v>
      </c>
      <c r="AA174" s="36">
        <v>45250</v>
      </c>
      <c r="AB174" s="30" t="s">
        <v>91</v>
      </c>
      <c r="AC174" s="30"/>
      <c r="AD174" s="30"/>
      <c r="AE174" s="30"/>
      <c r="AF174" s="30"/>
      <c r="AG174" s="30"/>
      <c r="AH174" s="30"/>
      <c r="AI174" s="30"/>
      <c r="AJ174" s="33">
        <f t="shared" si="10"/>
        <v>22630</v>
      </c>
      <c r="AK174" s="37">
        <v>7720000</v>
      </c>
      <c r="AL174" s="33">
        <f t="shared" si="11"/>
        <v>0</v>
      </c>
      <c r="AM174" s="37"/>
      <c r="AN174" s="37"/>
      <c r="AO174" s="37">
        <v>174704000000</v>
      </c>
      <c r="AP174" s="30" t="s">
        <v>1751</v>
      </c>
      <c r="AQ174" s="30" t="s">
        <v>78</v>
      </c>
      <c r="AR174" s="30"/>
      <c r="AS174" s="30"/>
      <c r="AT174" s="30"/>
      <c r="AU174" s="30"/>
      <c r="AV174" s="38">
        <v>1073</v>
      </c>
      <c r="AW174" s="37">
        <v>10000000</v>
      </c>
      <c r="AX174" s="38"/>
      <c r="AY174" s="37"/>
      <c r="AZ174" s="37">
        <v>12876000000</v>
      </c>
      <c r="BA174" s="34">
        <f t="shared" si="12"/>
        <v>10730000000</v>
      </c>
      <c r="BB174" s="30" t="s">
        <v>1752</v>
      </c>
      <c r="BC174" s="30" t="s">
        <v>82</v>
      </c>
      <c r="BD174" s="30" t="s">
        <v>1753</v>
      </c>
      <c r="BE174" s="30" t="s">
        <v>101</v>
      </c>
      <c r="BF174" s="30"/>
      <c r="BG174" s="30"/>
      <c r="BH174" s="30"/>
      <c r="BI174" s="30"/>
      <c r="BJ174" s="39">
        <v>525</v>
      </c>
      <c r="BK174" s="37">
        <v>9326495</v>
      </c>
      <c r="BL174" s="39">
        <v>450</v>
      </c>
      <c r="BM174" s="37"/>
      <c r="BN174" s="37">
        <v>6750000000</v>
      </c>
      <c r="BO174" s="34">
        <f t="shared" si="13"/>
        <v>4896409875</v>
      </c>
      <c r="BP174" s="30" t="s">
        <v>1754</v>
      </c>
      <c r="BQ174" s="30" t="s">
        <v>82</v>
      </c>
      <c r="BR174" s="30" t="s">
        <v>1753</v>
      </c>
      <c r="BS174" s="30" t="s">
        <v>78</v>
      </c>
      <c r="BT174" s="30"/>
      <c r="BU174" s="30"/>
      <c r="BV174" s="30"/>
      <c r="BW174" s="30"/>
      <c r="BX174" s="39">
        <v>10168</v>
      </c>
      <c r="BY174" s="37">
        <v>9500000</v>
      </c>
      <c r="BZ174" s="39"/>
      <c r="CA174" s="37"/>
      <c r="CB174" s="37">
        <v>122016000000</v>
      </c>
      <c r="CC174" s="34">
        <f t="shared" si="14"/>
        <v>96596000000</v>
      </c>
      <c r="CD174" s="30" t="s">
        <v>1755</v>
      </c>
      <c r="CE174" s="30" t="s">
        <v>82</v>
      </c>
      <c r="CF174" s="30" t="s">
        <v>1756</v>
      </c>
      <c r="CG174" s="30"/>
      <c r="CH174" s="30"/>
    </row>
    <row r="175" spans="2:86" ht="135" x14ac:dyDescent="0.25">
      <c r="B175" s="30" t="s">
        <v>1757</v>
      </c>
      <c r="C175" s="30" t="s">
        <v>1758</v>
      </c>
      <c r="D175" s="36">
        <v>45260</v>
      </c>
      <c r="E175" s="30" t="s">
        <v>83</v>
      </c>
      <c r="F175" s="30" t="s">
        <v>83</v>
      </c>
      <c r="G175" s="30"/>
      <c r="H175" s="30" t="s">
        <v>84</v>
      </c>
      <c r="I175" s="38">
        <v>412</v>
      </c>
      <c r="J175" s="30" t="s">
        <v>70</v>
      </c>
      <c r="K175" s="38">
        <v>472</v>
      </c>
      <c r="L175" s="38"/>
      <c r="M175" s="30"/>
      <c r="N175" s="30"/>
      <c r="O175" s="30"/>
      <c r="P175" s="30"/>
      <c r="Q175" s="30"/>
      <c r="R175" s="30" t="s">
        <v>1759</v>
      </c>
      <c r="S175" s="30" t="s">
        <v>1760</v>
      </c>
      <c r="T175" s="30" t="s">
        <v>696</v>
      </c>
      <c r="U175" s="30" t="s">
        <v>108</v>
      </c>
      <c r="V175" s="30" t="s">
        <v>85</v>
      </c>
      <c r="W175" s="30" t="s">
        <v>73</v>
      </c>
      <c r="X175" s="30" t="s">
        <v>86</v>
      </c>
      <c r="Y175" s="30" t="s">
        <v>75</v>
      </c>
      <c r="Z175" s="36">
        <v>45258</v>
      </c>
      <c r="AA175" s="36">
        <v>45258</v>
      </c>
      <c r="AB175" s="30" t="s">
        <v>76</v>
      </c>
      <c r="AC175" s="30"/>
      <c r="AD175" s="30"/>
      <c r="AE175" s="30"/>
      <c r="AF175" s="30"/>
      <c r="AG175" s="30"/>
      <c r="AH175" s="30"/>
      <c r="AI175" s="30"/>
      <c r="AJ175" s="33">
        <f t="shared" si="10"/>
        <v>412</v>
      </c>
      <c r="AK175" s="37">
        <v>29700000</v>
      </c>
      <c r="AL175" s="33">
        <f t="shared" si="11"/>
        <v>472</v>
      </c>
      <c r="AM175" s="37">
        <v>4636000</v>
      </c>
      <c r="AN175" s="37"/>
      <c r="AO175" s="37">
        <v>13724000000</v>
      </c>
      <c r="AP175" s="30" t="s">
        <v>1761</v>
      </c>
      <c r="AQ175" s="30" t="s">
        <v>84</v>
      </c>
      <c r="AR175" s="30"/>
      <c r="AS175" s="30"/>
      <c r="AT175" s="30"/>
      <c r="AU175" s="30"/>
      <c r="AV175" s="38">
        <v>650</v>
      </c>
      <c r="AW175" s="37">
        <v>31343388</v>
      </c>
      <c r="AX175" s="38">
        <v>450</v>
      </c>
      <c r="AY175" s="37"/>
      <c r="AZ175" s="37">
        <v>30000000000</v>
      </c>
      <c r="BA175" s="34">
        <f t="shared" si="12"/>
        <v>20373202200</v>
      </c>
      <c r="BB175" s="30" t="s">
        <v>1762</v>
      </c>
      <c r="BC175" s="30" t="s">
        <v>82</v>
      </c>
      <c r="BD175" s="30" t="s">
        <v>1763</v>
      </c>
      <c r="BE175" s="30" t="s">
        <v>84</v>
      </c>
      <c r="BF175" s="30"/>
      <c r="BG175" s="30"/>
      <c r="BH175" s="30"/>
      <c r="BI175" s="30"/>
      <c r="BJ175" s="39">
        <v>645</v>
      </c>
      <c r="BK175" s="37">
        <v>29492326</v>
      </c>
      <c r="BL175" s="39">
        <v>300</v>
      </c>
      <c r="BM175" s="37"/>
      <c r="BN175" s="37">
        <v>23000000000</v>
      </c>
      <c r="BO175" s="34">
        <f t="shared" si="13"/>
        <v>19022550270</v>
      </c>
      <c r="BP175" s="30" t="s">
        <v>1764</v>
      </c>
      <c r="BQ175" s="30" t="s">
        <v>82</v>
      </c>
      <c r="BR175" s="30" t="s">
        <v>1765</v>
      </c>
      <c r="BS175" s="30" t="s">
        <v>84</v>
      </c>
      <c r="BT175" s="30"/>
      <c r="BU175" s="30"/>
      <c r="BV175" s="30"/>
      <c r="BW175" s="30"/>
      <c r="BX175" s="39">
        <v>917</v>
      </c>
      <c r="BY175" s="37">
        <v>30187568</v>
      </c>
      <c r="BZ175" s="39">
        <v>1000</v>
      </c>
      <c r="CA175" s="37"/>
      <c r="CB175" s="37">
        <v>35000000000</v>
      </c>
      <c r="CC175" s="34">
        <f t="shared" si="14"/>
        <v>27681999856</v>
      </c>
      <c r="CD175" s="30" t="s">
        <v>1766</v>
      </c>
      <c r="CE175" s="30" t="s">
        <v>82</v>
      </c>
      <c r="CF175" s="30" t="s">
        <v>790</v>
      </c>
      <c r="CG175" s="30"/>
      <c r="CH175" s="30"/>
    </row>
    <row r="176" spans="2:86" ht="180" x14ac:dyDescent="0.25">
      <c r="B176" s="30" t="s">
        <v>1767</v>
      </c>
      <c r="C176" s="30" t="s">
        <v>1768</v>
      </c>
      <c r="D176" s="36">
        <v>45267</v>
      </c>
      <c r="E176" s="30" t="s">
        <v>584</v>
      </c>
      <c r="F176" s="30" t="s">
        <v>680</v>
      </c>
      <c r="G176" s="30"/>
      <c r="H176" s="30" t="s">
        <v>84</v>
      </c>
      <c r="I176" s="38">
        <v>235</v>
      </c>
      <c r="J176" s="30" t="s">
        <v>70</v>
      </c>
      <c r="K176" s="38">
        <v>202</v>
      </c>
      <c r="L176" s="38"/>
      <c r="M176" s="30"/>
      <c r="N176" s="30"/>
      <c r="O176" s="30"/>
      <c r="P176" s="30"/>
      <c r="Q176" s="30" t="s">
        <v>1769</v>
      </c>
      <c r="R176" s="30" t="s">
        <v>1770</v>
      </c>
      <c r="S176" s="30" t="s">
        <v>1771</v>
      </c>
      <c r="T176" s="30" t="s">
        <v>734</v>
      </c>
      <c r="U176" s="30" t="s">
        <v>135</v>
      </c>
      <c r="V176" s="30" t="s">
        <v>95</v>
      </c>
      <c r="W176" s="30" t="s">
        <v>73</v>
      </c>
      <c r="X176" s="30" t="s">
        <v>86</v>
      </c>
      <c r="Y176" s="30" t="s">
        <v>75</v>
      </c>
      <c r="Z176" s="36">
        <v>45264</v>
      </c>
      <c r="AA176" s="36">
        <v>45264</v>
      </c>
      <c r="AB176" s="30" t="s">
        <v>91</v>
      </c>
      <c r="AC176" s="30"/>
      <c r="AD176" s="30"/>
      <c r="AE176" s="30"/>
      <c r="AF176" s="30"/>
      <c r="AG176" s="30"/>
      <c r="AH176" s="30"/>
      <c r="AI176" s="30"/>
      <c r="AJ176" s="33">
        <f t="shared" si="10"/>
        <v>235</v>
      </c>
      <c r="AK176" s="37">
        <v>4900000</v>
      </c>
      <c r="AL176" s="33">
        <f t="shared" si="11"/>
        <v>202</v>
      </c>
      <c r="AM176" s="37"/>
      <c r="AN176" s="37"/>
      <c r="AO176" s="37">
        <v>1850000000</v>
      </c>
      <c r="AP176" s="30" t="s">
        <v>1772</v>
      </c>
      <c r="AQ176" s="30" t="s">
        <v>84</v>
      </c>
      <c r="AR176" s="30"/>
      <c r="AS176" s="30"/>
      <c r="AT176" s="30"/>
      <c r="AU176" s="30"/>
      <c r="AV176" s="38">
        <v>93</v>
      </c>
      <c r="AW176" s="37">
        <v>5209379</v>
      </c>
      <c r="AX176" s="38">
        <v>85</v>
      </c>
      <c r="AY176" s="37"/>
      <c r="AZ176" s="37">
        <v>850000000</v>
      </c>
      <c r="BA176" s="34">
        <f t="shared" si="12"/>
        <v>484472247</v>
      </c>
      <c r="BB176" s="30" t="s">
        <v>1773</v>
      </c>
      <c r="BC176" s="30" t="s">
        <v>82</v>
      </c>
      <c r="BD176" s="30" t="s">
        <v>1774</v>
      </c>
      <c r="BE176" s="30" t="s">
        <v>84</v>
      </c>
      <c r="BF176" s="30"/>
      <c r="BG176" s="30"/>
      <c r="BH176" s="30"/>
      <c r="BI176" s="30"/>
      <c r="BJ176" s="39">
        <v>200</v>
      </c>
      <c r="BK176" s="37">
        <v>4959200</v>
      </c>
      <c r="BL176" s="39">
        <v>400</v>
      </c>
      <c r="BM176" s="37"/>
      <c r="BN176" s="37">
        <v>2850000000</v>
      </c>
      <c r="BO176" s="34">
        <f t="shared" si="13"/>
        <v>991840000</v>
      </c>
      <c r="BP176" s="30" t="s">
        <v>1775</v>
      </c>
      <c r="BQ176" s="30" t="s">
        <v>82</v>
      </c>
      <c r="BR176" s="30" t="s">
        <v>1776</v>
      </c>
      <c r="BS176" s="30" t="s">
        <v>84</v>
      </c>
      <c r="BT176" s="30"/>
      <c r="BU176" s="30"/>
      <c r="BV176" s="30"/>
      <c r="BW176" s="30"/>
      <c r="BX176" s="39">
        <v>105</v>
      </c>
      <c r="BY176" s="37">
        <v>5203217</v>
      </c>
      <c r="BZ176" s="39">
        <v>74</v>
      </c>
      <c r="CA176" s="37"/>
      <c r="CB176" s="37">
        <v>900000000</v>
      </c>
      <c r="CC176" s="34">
        <f t="shared" si="14"/>
        <v>546337785</v>
      </c>
      <c r="CD176" s="30" t="s">
        <v>1777</v>
      </c>
      <c r="CE176" s="30" t="s">
        <v>82</v>
      </c>
      <c r="CF176" s="30" t="s">
        <v>1778</v>
      </c>
      <c r="CG176" s="30"/>
      <c r="CH176" s="30"/>
    </row>
    <row r="177" spans="2:86" ht="210" x14ac:dyDescent="0.25">
      <c r="B177" s="30" t="s">
        <v>1779</v>
      </c>
      <c r="C177" s="30" t="s">
        <v>1780</v>
      </c>
      <c r="D177" s="36">
        <v>45273</v>
      </c>
      <c r="E177" s="30" t="s">
        <v>92</v>
      </c>
      <c r="F177" s="30" t="s">
        <v>560</v>
      </c>
      <c r="G177" s="30"/>
      <c r="H177" s="30" t="s">
        <v>78</v>
      </c>
      <c r="I177" s="38">
        <v>2890</v>
      </c>
      <c r="J177" s="30" t="s">
        <v>70</v>
      </c>
      <c r="K177" s="38"/>
      <c r="L177" s="38"/>
      <c r="M177" s="30"/>
      <c r="N177" s="30"/>
      <c r="O177" s="30"/>
      <c r="P177" s="30"/>
      <c r="Q177" s="30" t="s">
        <v>1781</v>
      </c>
      <c r="R177" s="30" t="s">
        <v>1782</v>
      </c>
      <c r="S177" s="30" t="s">
        <v>1783</v>
      </c>
      <c r="T177" s="30" t="s">
        <v>79</v>
      </c>
      <c r="U177" s="30" t="s">
        <v>486</v>
      </c>
      <c r="V177" s="30" t="s">
        <v>80</v>
      </c>
      <c r="W177" s="30" t="s">
        <v>73</v>
      </c>
      <c r="X177" s="30" t="s">
        <v>86</v>
      </c>
      <c r="Y177" s="30" t="s">
        <v>75</v>
      </c>
      <c r="Z177" s="36">
        <v>45268</v>
      </c>
      <c r="AA177" s="36">
        <v>45268</v>
      </c>
      <c r="AB177" s="30" t="s">
        <v>91</v>
      </c>
      <c r="AC177" s="30"/>
      <c r="AD177" s="30"/>
      <c r="AE177" s="30"/>
      <c r="AF177" s="30"/>
      <c r="AG177" s="30"/>
      <c r="AH177" s="30"/>
      <c r="AI177" s="30"/>
      <c r="AJ177" s="33">
        <f t="shared" si="10"/>
        <v>2890</v>
      </c>
      <c r="AK177" s="37">
        <v>14100000</v>
      </c>
      <c r="AL177" s="33">
        <f t="shared" si="11"/>
        <v>0</v>
      </c>
      <c r="AM177" s="37"/>
      <c r="AN177" s="72">
        <v>40749000000</v>
      </c>
      <c r="AO177" s="87">
        <f>AN177+AN178</f>
        <v>57294000000</v>
      </c>
      <c r="AP177" s="30" t="s">
        <v>1784</v>
      </c>
      <c r="AQ177" s="30" t="s">
        <v>78</v>
      </c>
      <c r="AR177" s="30"/>
      <c r="AS177" s="30"/>
      <c r="AT177" s="30"/>
      <c r="AU177" s="30"/>
      <c r="AV177" s="38">
        <v>1144</v>
      </c>
      <c r="AW177" s="37">
        <v>15122378</v>
      </c>
      <c r="AX177" s="38"/>
      <c r="AY177" s="37"/>
      <c r="AZ177" s="37">
        <v>21736000000</v>
      </c>
      <c r="BA177" s="34">
        <f t="shared" si="12"/>
        <v>17300000432</v>
      </c>
      <c r="BB177" s="30" t="s">
        <v>1785</v>
      </c>
      <c r="BC177" s="30" t="s">
        <v>82</v>
      </c>
      <c r="BD177" s="30" t="s">
        <v>1786</v>
      </c>
      <c r="BE177" s="30" t="s">
        <v>78</v>
      </c>
      <c r="BF177" s="30"/>
      <c r="BG177" s="30"/>
      <c r="BH177" s="30"/>
      <c r="BI177" s="30"/>
      <c r="BJ177" s="39">
        <v>1760</v>
      </c>
      <c r="BK177" s="37">
        <v>15056818</v>
      </c>
      <c r="BL177" s="39"/>
      <c r="BM177" s="37"/>
      <c r="BN177" s="37">
        <v>34000000000</v>
      </c>
      <c r="BO177" s="34">
        <f t="shared" si="13"/>
        <v>26499999680</v>
      </c>
      <c r="BP177" s="30" t="s">
        <v>1787</v>
      </c>
      <c r="BQ177" s="30" t="s">
        <v>82</v>
      </c>
      <c r="BR177" s="30" t="s">
        <v>1788</v>
      </c>
      <c r="BS177" s="30" t="s">
        <v>78</v>
      </c>
      <c r="BT177" s="30"/>
      <c r="BU177" s="30"/>
      <c r="BV177" s="30"/>
      <c r="BW177" s="30"/>
      <c r="BX177" s="39">
        <v>1022</v>
      </c>
      <c r="BY177" s="37">
        <v>15166341</v>
      </c>
      <c r="BZ177" s="39"/>
      <c r="CA177" s="37"/>
      <c r="CB177" s="37">
        <v>20440000000</v>
      </c>
      <c r="CC177" s="34">
        <f t="shared" si="14"/>
        <v>15500000502</v>
      </c>
      <c r="CD177" s="30" t="s">
        <v>1787</v>
      </c>
      <c r="CE177" s="30" t="s">
        <v>82</v>
      </c>
      <c r="CF177" s="30" t="s">
        <v>1789</v>
      </c>
      <c r="CG177" s="30"/>
      <c r="CH177" s="30"/>
    </row>
    <row r="178" spans="2:86" ht="210" x14ac:dyDescent="0.25">
      <c r="B178" s="30" t="s">
        <v>1779</v>
      </c>
      <c r="C178" s="30" t="s">
        <v>1780</v>
      </c>
      <c r="D178" s="36">
        <v>45273</v>
      </c>
      <c r="E178" s="30" t="s">
        <v>92</v>
      </c>
      <c r="F178" s="30" t="s">
        <v>560</v>
      </c>
      <c r="G178" s="30"/>
      <c r="H178" s="30" t="s">
        <v>78</v>
      </c>
      <c r="I178" s="38">
        <v>1103</v>
      </c>
      <c r="J178" s="30" t="s">
        <v>70</v>
      </c>
      <c r="K178" s="38"/>
      <c r="L178" s="38"/>
      <c r="M178" s="30"/>
      <c r="N178" s="30"/>
      <c r="O178" s="30"/>
      <c r="P178" s="30"/>
      <c r="Q178" s="30" t="s">
        <v>1781</v>
      </c>
      <c r="R178" s="30" t="s">
        <v>1790</v>
      </c>
      <c r="S178" s="30" t="s">
        <v>1783</v>
      </c>
      <c r="T178" s="30" t="s">
        <v>79</v>
      </c>
      <c r="U178" s="30" t="s">
        <v>486</v>
      </c>
      <c r="V178" s="30" t="s">
        <v>80</v>
      </c>
      <c r="W178" s="30" t="s">
        <v>73</v>
      </c>
      <c r="X178" s="30" t="s">
        <v>86</v>
      </c>
      <c r="Y178" s="30" t="s">
        <v>75</v>
      </c>
      <c r="Z178" s="36">
        <v>45268</v>
      </c>
      <c r="AA178" s="36">
        <v>45268</v>
      </c>
      <c r="AB178" s="30" t="s">
        <v>91</v>
      </c>
      <c r="AC178" s="30"/>
      <c r="AD178" s="30"/>
      <c r="AE178" s="30"/>
      <c r="AF178" s="30"/>
      <c r="AG178" s="30"/>
      <c r="AH178" s="30"/>
      <c r="AI178" s="30"/>
      <c r="AJ178" s="33">
        <f t="shared" si="10"/>
        <v>1103</v>
      </c>
      <c r="AK178" s="37">
        <v>15000000</v>
      </c>
      <c r="AL178" s="33">
        <f t="shared" si="11"/>
        <v>0</v>
      </c>
      <c r="AM178" s="37"/>
      <c r="AN178" s="72">
        <v>16545000000</v>
      </c>
      <c r="AO178" s="88"/>
      <c r="AP178" s="30" t="s">
        <v>1784</v>
      </c>
      <c r="AQ178" s="30" t="s">
        <v>78</v>
      </c>
      <c r="AR178" s="30"/>
      <c r="AS178" s="30"/>
      <c r="AT178" s="30"/>
      <c r="AU178" s="30"/>
      <c r="AV178" s="38">
        <v>1144</v>
      </c>
      <c r="AW178" s="37">
        <v>15122378</v>
      </c>
      <c r="AX178" s="38"/>
      <c r="AY178" s="37"/>
      <c r="AZ178" s="37">
        <v>21736000000</v>
      </c>
      <c r="BA178" s="34">
        <f t="shared" si="12"/>
        <v>17300000432</v>
      </c>
      <c r="BB178" s="30" t="s">
        <v>1785</v>
      </c>
      <c r="BC178" s="30" t="s">
        <v>82</v>
      </c>
      <c r="BD178" s="30" t="s">
        <v>1786</v>
      </c>
      <c r="BE178" s="30" t="s">
        <v>78</v>
      </c>
      <c r="BF178" s="30"/>
      <c r="BG178" s="30"/>
      <c r="BH178" s="30"/>
      <c r="BI178" s="30"/>
      <c r="BJ178" s="39">
        <v>1760</v>
      </c>
      <c r="BK178" s="37">
        <v>15056818</v>
      </c>
      <c r="BL178" s="39"/>
      <c r="BM178" s="37"/>
      <c r="BN178" s="37">
        <v>34000000000</v>
      </c>
      <c r="BO178" s="34">
        <f t="shared" si="13"/>
        <v>26499999680</v>
      </c>
      <c r="BP178" s="30" t="s">
        <v>1787</v>
      </c>
      <c r="BQ178" s="30" t="s">
        <v>82</v>
      </c>
      <c r="BR178" s="30" t="s">
        <v>1788</v>
      </c>
      <c r="BS178" s="30" t="s">
        <v>78</v>
      </c>
      <c r="BT178" s="30"/>
      <c r="BU178" s="30"/>
      <c r="BV178" s="30"/>
      <c r="BW178" s="30"/>
      <c r="BX178" s="39">
        <v>1022</v>
      </c>
      <c r="BY178" s="37">
        <v>15166341</v>
      </c>
      <c r="BZ178" s="39"/>
      <c r="CA178" s="37"/>
      <c r="CB178" s="37">
        <v>20440000000</v>
      </c>
      <c r="CC178" s="34">
        <f t="shared" si="14"/>
        <v>15500000502</v>
      </c>
      <c r="CD178" s="30" t="s">
        <v>1787</v>
      </c>
      <c r="CE178" s="30" t="s">
        <v>82</v>
      </c>
      <c r="CF178" s="30" t="s">
        <v>1789</v>
      </c>
      <c r="CG178" s="30"/>
      <c r="CH178" s="30"/>
    </row>
    <row r="179" spans="2:86" ht="165" x14ac:dyDescent="0.25">
      <c r="B179" s="30" t="s">
        <v>1791</v>
      </c>
      <c r="C179" s="30" t="s">
        <v>1792</v>
      </c>
      <c r="D179" s="36">
        <v>45275</v>
      </c>
      <c r="E179" s="30" t="s">
        <v>92</v>
      </c>
      <c r="F179" s="30" t="s">
        <v>560</v>
      </c>
      <c r="G179" s="30"/>
      <c r="H179" s="30" t="s">
        <v>78</v>
      </c>
      <c r="I179" s="38">
        <v>2582</v>
      </c>
      <c r="J179" s="30" t="s">
        <v>70</v>
      </c>
      <c r="K179" s="38"/>
      <c r="L179" s="38"/>
      <c r="M179" s="30"/>
      <c r="N179" s="30"/>
      <c r="O179" s="30"/>
      <c r="P179" s="30"/>
      <c r="Q179" s="30" t="s">
        <v>1793</v>
      </c>
      <c r="R179" s="30" t="s">
        <v>1794</v>
      </c>
      <c r="S179" s="30" t="s">
        <v>1795</v>
      </c>
      <c r="T179" s="30" t="s">
        <v>1796</v>
      </c>
      <c r="U179" s="30" t="s">
        <v>104</v>
      </c>
      <c r="V179" s="30" t="s">
        <v>85</v>
      </c>
      <c r="W179" s="30" t="s">
        <v>73</v>
      </c>
      <c r="X179" s="30" t="s">
        <v>86</v>
      </c>
      <c r="Y179" s="30" t="s">
        <v>75</v>
      </c>
      <c r="Z179" s="36">
        <v>45271</v>
      </c>
      <c r="AA179" s="36">
        <v>45271</v>
      </c>
      <c r="AB179" s="30" t="s">
        <v>76</v>
      </c>
      <c r="AC179" s="30"/>
      <c r="AD179" s="30"/>
      <c r="AE179" s="30"/>
      <c r="AF179" s="30"/>
      <c r="AG179" s="30"/>
      <c r="AH179" s="30"/>
      <c r="AI179" s="30"/>
      <c r="AJ179" s="33">
        <f t="shared" si="10"/>
        <v>2582</v>
      </c>
      <c r="AK179" s="37">
        <v>20000000</v>
      </c>
      <c r="AL179" s="33">
        <f t="shared" si="11"/>
        <v>0</v>
      </c>
      <c r="AM179" s="37"/>
      <c r="AN179" s="37"/>
      <c r="AO179" s="37">
        <v>51640000000</v>
      </c>
      <c r="AP179" s="30" t="s">
        <v>1797</v>
      </c>
      <c r="AQ179" s="30" t="s">
        <v>84</v>
      </c>
      <c r="AR179" s="30"/>
      <c r="AS179" s="30"/>
      <c r="AT179" s="30"/>
      <c r="AU179" s="30"/>
      <c r="AV179" s="38">
        <v>495</v>
      </c>
      <c r="AW179" s="37">
        <v>22613014</v>
      </c>
      <c r="AX179" s="38">
        <v>530</v>
      </c>
      <c r="AY179" s="37"/>
      <c r="AZ179" s="37">
        <v>15000000000</v>
      </c>
      <c r="BA179" s="34">
        <f t="shared" si="12"/>
        <v>11193441930</v>
      </c>
      <c r="BB179" s="30" t="s">
        <v>1798</v>
      </c>
      <c r="BC179" s="30" t="s">
        <v>82</v>
      </c>
      <c r="BD179" s="30" t="s">
        <v>1799</v>
      </c>
      <c r="BE179" s="30" t="s">
        <v>84</v>
      </c>
      <c r="BF179" s="30"/>
      <c r="BG179" s="30"/>
      <c r="BH179" s="30"/>
      <c r="BI179" s="30"/>
      <c r="BJ179" s="39">
        <v>548</v>
      </c>
      <c r="BK179" s="37">
        <v>22470766</v>
      </c>
      <c r="BL179" s="39">
        <v>700</v>
      </c>
      <c r="BM179" s="37"/>
      <c r="BN179" s="37">
        <v>18000000000</v>
      </c>
      <c r="BO179" s="34">
        <f t="shared" si="13"/>
        <v>12313979768</v>
      </c>
      <c r="BP179" s="30" t="s">
        <v>1800</v>
      </c>
      <c r="BQ179" s="30" t="s">
        <v>82</v>
      </c>
      <c r="BR179" s="30" t="s">
        <v>1801</v>
      </c>
      <c r="BS179" s="30" t="s">
        <v>78</v>
      </c>
      <c r="BT179" s="30"/>
      <c r="BU179" s="30"/>
      <c r="BV179" s="30"/>
      <c r="BW179" s="30"/>
      <c r="BX179" s="39">
        <v>1200</v>
      </c>
      <c r="BY179" s="37">
        <v>22083333</v>
      </c>
      <c r="BZ179" s="39"/>
      <c r="CA179" s="37"/>
      <c r="CB179" s="37">
        <v>31200000000</v>
      </c>
      <c r="CC179" s="34">
        <f t="shared" si="14"/>
        <v>26499999600</v>
      </c>
      <c r="CD179" s="30" t="s">
        <v>1798</v>
      </c>
      <c r="CE179" s="30" t="s">
        <v>82</v>
      </c>
      <c r="CF179" s="30" t="s">
        <v>1802</v>
      </c>
      <c r="CG179" s="30"/>
      <c r="CH179" s="30"/>
    </row>
    <row r="180" spans="2:86" ht="105" x14ac:dyDescent="0.25">
      <c r="B180" s="30" t="s">
        <v>1803</v>
      </c>
      <c r="C180" s="30" t="s">
        <v>1804</v>
      </c>
      <c r="D180" s="36">
        <v>45275</v>
      </c>
      <c r="E180" s="30" t="s">
        <v>162</v>
      </c>
      <c r="F180" s="30" t="s">
        <v>162</v>
      </c>
      <c r="G180" s="30"/>
      <c r="H180" s="30" t="s">
        <v>78</v>
      </c>
      <c r="I180" s="38">
        <v>19600</v>
      </c>
      <c r="J180" s="30" t="s">
        <v>70</v>
      </c>
      <c r="K180" s="38"/>
      <c r="L180" s="38"/>
      <c r="M180" s="30"/>
      <c r="N180" s="30"/>
      <c r="O180" s="30"/>
      <c r="P180" s="30"/>
      <c r="Q180" s="30"/>
      <c r="R180" s="30"/>
      <c r="S180" s="30" t="s">
        <v>1805</v>
      </c>
      <c r="T180" s="30" t="s">
        <v>1806</v>
      </c>
      <c r="U180" s="30" t="s">
        <v>1807</v>
      </c>
      <c r="V180" s="30" t="s">
        <v>421</v>
      </c>
      <c r="W180" s="30" t="s">
        <v>73</v>
      </c>
      <c r="X180" s="30" t="s">
        <v>86</v>
      </c>
      <c r="Y180" s="30" t="s">
        <v>75</v>
      </c>
      <c r="Z180" s="36">
        <v>45231</v>
      </c>
      <c r="AA180" s="36">
        <v>44968</v>
      </c>
      <c r="AB180" s="30" t="s">
        <v>91</v>
      </c>
      <c r="AC180" s="30"/>
      <c r="AD180" s="30"/>
      <c r="AE180" s="30"/>
      <c r="AF180" s="30"/>
      <c r="AG180" s="30"/>
      <c r="AH180" s="30"/>
      <c r="AI180" s="30"/>
      <c r="AJ180" s="33">
        <f t="shared" si="10"/>
        <v>19600</v>
      </c>
      <c r="AK180" s="37">
        <v>39000</v>
      </c>
      <c r="AL180" s="33">
        <f t="shared" si="11"/>
        <v>0</v>
      </c>
      <c r="AM180" s="37"/>
      <c r="AN180" s="37"/>
      <c r="AO180" s="37">
        <v>764000000</v>
      </c>
      <c r="AP180" s="30" t="s">
        <v>1808</v>
      </c>
      <c r="AQ180" s="30" t="s">
        <v>78</v>
      </c>
      <c r="AR180" s="30"/>
      <c r="AS180" s="30"/>
      <c r="AT180" s="30"/>
      <c r="AU180" s="30"/>
      <c r="AV180" s="38">
        <v>45000</v>
      </c>
      <c r="AW180" s="37">
        <v>34889</v>
      </c>
      <c r="AX180" s="38"/>
      <c r="AY180" s="37"/>
      <c r="AZ180" s="37">
        <v>1750000000</v>
      </c>
      <c r="BA180" s="34">
        <f t="shared" si="12"/>
        <v>1570005000</v>
      </c>
      <c r="BB180" s="30" t="s">
        <v>1809</v>
      </c>
      <c r="BC180" s="30" t="s">
        <v>82</v>
      </c>
      <c r="BD180" s="30" t="s">
        <v>1808</v>
      </c>
      <c r="BE180" s="30" t="s">
        <v>78</v>
      </c>
      <c r="BF180" s="30"/>
      <c r="BG180" s="30"/>
      <c r="BH180" s="30"/>
      <c r="BI180" s="30"/>
      <c r="BJ180" s="39">
        <v>19500</v>
      </c>
      <c r="BK180" s="37">
        <v>38462</v>
      </c>
      <c r="BL180" s="39"/>
      <c r="BM180" s="37"/>
      <c r="BN180" s="37">
        <v>800000000</v>
      </c>
      <c r="BO180" s="34">
        <f t="shared" si="13"/>
        <v>750009000</v>
      </c>
      <c r="BP180" s="30" t="s">
        <v>1810</v>
      </c>
      <c r="BQ180" s="30" t="s">
        <v>82</v>
      </c>
      <c r="BR180" s="30" t="s">
        <v>1808</v>
      </c>
      <c r="BS180" s="30" t="s">
        <v>78</v>
      </c>
      <c r="BT180" s="30"/>
      <c r="BU180" s="30"/>
      <c r="BV180" s="30"/>
      <c r="BW180" s="30"/>
      <c r="BX180" s="39">
        <v>19600</v>
      </c>
      <c r="BY180" s="37">
        <v>38265</v>
      </c>
      <c r="BZ180" s="39"/>
      <c r="CA180" s="37"/>
      <c r="CB180" s="37">
        <v>750000000</v>
      </c>
      <c r="CC180" s="34">
        <f t="shared" si="14"/>
        <v>749994000</v>
      </c>
      <c r="CD180" s="30" t="s">
        <v>1811</v>
      </c>
      <c r="CE180" s="30" t="s">
        <v>82</v>
      </c>
      <c r="CF180" s="30" t="s">
        <v>1812</v>
      </c>
      <c r="CG180" s="30"/>
      <c r="CH180" s="30"/>
    </row>
    <row r="181" spans="2:86" ht="135" x14ac:dyDescent="0.25">
      <c r="B181" s="30" t="s">
        <v>1813</v>
      </c>
      <c r="C181" s="30" t="s">
        <v>1814</v>
      </c>
      <c r="D181" s="36">
        <v>45279</v>
      </c>
      <c r="E181" s="30" t="s">
        <v>811</v>
      </c>
      <c r="F181" s="30" t="s">
        <v>811</v>
      </c>
      <c r="G181" s="30"/>
      <c r="H181" s="30" t="s">
        <v>1815</v>
      </c>
      <c r="I181" s="38">
        <v>3986</v>
      </c>
      <c r="J181" s="30" t="s">
        <v>70</v>
      </c>
      <c r="K181" s="38">
        <v>42947</v>
      </c>
      <c r="L181" s="38"/>
      <c r="M181" s="30"/>
      <c r="N181" s="30"/>
      <c r="O181" s="30"/>
      <c r="P181" s="30"/>
      <c r="Q181" s="30"/>
      <c r="R181" s="30" t="s">
        <v>1816</v>
      </c>
      <c r="S181" s="30" t="s">
        <v>1817</v>
      </c>
      <c r="T181" s="30" t="s">
        <v>1818</v>
      </c>
      <c r="U181" s="30" t="s">
        <v>138</v>
      </c>
      <c r="V181" s="30" t="s">
        <v>139</v>
      </c>
      <c r="W181" s="30" t="s">
        <v>73</v>
      </c>
      <c r="X181" s="30" t="s">
        <v>638</v>
      </c>
      <c r="Y181" s="30" t="s">
        <v>1286</v>
      </c>
      <c r="Z181" s="36">
        <v>45267</v>
      </c>
      <c r="AA181" s="36">
        <v>45268</v>
      </c>
      <c r="AB181" s="30" t="s">
        <v>91</v>
      </c>
      <c r="AC181" s="30"/>
      <c r="AD181" s="30"/>
      <c r="AE181" s="30"/>
      <c r="AF181" s="30"/>
      <c r="AG181" s="30"/>
      <c r="AH181" s="30"/>
      <c r="AI181" s="30"/>
      <c r="AJ181" s="33">
        <f t="shared" si="10"/>
        <v>3986</v>
      </c>
      <c r="AK181" s="37">
        <v>46100000</v>
      </c>
      <c r="AL181" s="33">
        <f t="shared" si="11"/>
        <v>42947</v>
      </c>
      <c r="AM181" s="37"/>
      <c r="AN181" s="37">
        <v>8056500000</v>
      </c>
      <c r="AO181" s="71">
        <v>585829000000</v>
      </c>
      <c r="AP181" s="30" t="s">
        <v>1819</v>
      </c>
      <c r="AQ181" s="30" t="s">
        <v>1820</v>
      </c>
      <c r="AR181" s="30"/>
      <c r="AS181" s="30"/>
      <c r="AT181" s="30"/>
      <c r="AU181" s="30"/>
      <c r="AV181" s="38">
        <v>4960</v>
      </c>
      <c r="AW181" s="37">
        <v>45189573</v>
      </c>
      <c r="AX181" s="38">
        <v>12812</v>
      </c>
      <c r="AY181" s="37"/>
      <c r="AZ181" s="37">
        <v>272800000000</v>
      </c>
      <c r="BA181" s="34">
        <f t="shared" si="12"/>
        <v>224140282080</v>
      </c>
      <c r="BB181" s="30" t="s">
        <v>1821</v>
      </c>
      <c r="BC181" s="30" t="s">
        <v>82</v>
      </c>
      <c r="BD181" s="30" t="s">
        <v>1822</v>
      </c>
      <c r="BE181" s="30" t="s">
        <v>78</v>
      </c>
      <c r="BF181" s="30"/>
      <c r="BG181" s="30"/>
      <c r="BH181" s="30"/>
      <c r="BI181" s="30"/>
      <c r="BJ181" s="39">
        <v>2087</v>
      </c>
      <c r="BK181" s="37">
        <v>46000000</v>
      </c>
      <c r="BL181" s="39"/>
      <c r="BM181" s="37"/>
      <c r="BN181" s="37">
        <v>104350000000</v>
      </c>
      <c r="BO181" s="34">
        <f t="shared" si="13"/>
        <v>96002000000</v>
      </c>
      <c r="BP181" s="30" t="s">
        <v>1823</v>
      </c>
      <c r="BQ181" s="30" t="s">
        <v>82</v>
      </c>
      <c r="BR181" s="30" t="s">
        <v>1824</v>
      </c>
      <c r="BS181" s="30" t="s">
        <v>1825</v>
      </c>
      <c r="BT181" s="30"/>
      <c r="BU181" s="30"/>
      <c r="BV181" s="30"/>
      <c r="BW181" s="30"/>
      <c r="BX181" s="39">
        <v>2170</v>
      </c>
      <c r="BY181" s="37">
        <v>46950816</v>
      </c>
      <c r="BZ181" s="39">
        <v>2900</v>
      </c>
      <c r="CA181" s="37"/>
      <c r="CB181" s="37">
        <v>125000000000</v>
      </c>
      <c r="CC181" s="34">
        <f t="shared" si="14"/>
        <v>101883270720</v>
      </c>
      <c r="CD181" s="30" t="s">
        <v>1826</v>
      </c>
      <c r="CE181" s="30" t="s">
        <v>82</v>
      </c>
      <c r="CF181" s="80" t="s">
        <v>644</v>
      </c>
      <c r="CG181" s="30"/>
      <c r="CH181" s="30"/>
    </row>
    <row r="182" spans="2:86" ht="135" x14ac:dyDescent="0.25">
      <c r="B182" s="30" t="s">
        <v>1813</v>
      </c>
      <c r="C182" s="30" t="s">
        <v>1814</v>
      </c>
      <c r="D182" s="36">
        <v>45279</v>
      </c>
      <c r="E182" s="30" t="s">
        <v>811</v>
      </c>
      <c r="F182" s="30" t="s">
        <v>811</v>
      </c>
      <c r="G182" s="30"/>
      <c r="H182" s="30" t="s">
        <v>1827</v>
      </c>
      <c r="I182" s="38"/>
      <c r="J182" s="30"/>
      <c r="K182" s="38"/>
      <c r="L182" s="38"/>
      <c r="M182" s="30" t="s">
        <v>1828</v>
      </c>
      <c r="N182" s="30"/>
      <c r="O182" s="30"/>
      <c r="P182" s="30"/>
      <c r="Q182" s="30"/>
      <c r="R182" s="30" t="s">
        <v>1816</v>
      </c>
      <c r="S182" s="30" t="s">
        <v>1817</v>
      </c>
      <c r="T182" s="30" t="s">
        <v>1818</v>
      </c>
      <c r="U182" s="30" t="s">
        <v>138</v>
      </c>
      <c r="V182" s="30" t="s">
        <v>139</v>
      </c>
      <c r="W182" s="30" t="s">
        <v>73</v>
      </c>
      <c r="X182" s="30" t="s">
        <v>638</v>
      </c>
      <c r="Y182" s="30" t="s">
        <v>1286</v>
      </c>
      <c r="Z182" s="36">
        <v>45267</v>
      </c>
      <c r="AA182" s="36">
        <v>45268</v>
      </c>
      <c r="AB182" s="30" t="s">
        <v>91</v>
      </c>
      <c r="AC182" s="30"/>
      <c r="AD182" s="30"/>
      <c r="AE182" s="30"/>
      <c r="AF182" s="30"/>
      <c r="AG182" s="30"/>
      <c r="AH182" s="30"/>
      <c r="AI182" s="30"/>
      <c r="AJ182" s="33">
        <f t="shared" si="10"/>
        <v>0</v>
      </c>
      <c r="AK182" s="37"/>
      <c r="AL182" s="33">
        <f t="shared" si="11"/>
        <v>0</v>
      </c>
      <c r="AM182" s="37"/>
      <c r="AN182" s="37">
        <v>17254200000</v>
      </c>
      <c r="AO182" s="74"/>
      <c r="AP182" s="30"/>
      <c r="AQ182" s="30"/>
      <c r="AR182" s="30"/>
      <c r="AS182" s="30"/>
      <c r="AT182" s="30"/>
      <c r="AU182" s="30"/>
      <c r="AV182" s="38"/>
      <c r="AW182" s="37"/>
      <c r="AX182" s="38"/>
      <c r="AY182" s="37"/>
      <c r="AZ182" s="37"/>
      <c r="BA182" s="34">
        <f t="shared" si="12"/>
        <v>0</v>
      </c>
      <c r="BB182" s="30"/>
      <c r="BC182" s="30"/>
      <c r="BD182" s="30"/>
      <c r="BE182" s="30"/>
      <c r="BF182" s="30"/>
      <c r="BG182" s="30"/>
      <c r="BH182" s="30"/>
      <c r="BI182" s="30"/>
      <c r="BJ182" s="39"/>
      <c r="BK182" s="37"/>
      <c r="BL182" s="39"/>
      <c r="BM182" s="37"/>
      <c r="BN182" s="37"/>
      <c r="BO182" s="34">
        <f t="shared" si="13"/>
        <v>0</v>
      </c>
      <c r="BP182" s="30"/>
      <c r="BQ182" s="30"/>
      <c r="BR182" s="30"/>
      <c r="BS182" s="30"/>
      <c r="BT182" s="30"/>
      <c r="BU182" s="30"/>
      <c r="BV182" s="30"/>
      <c r="BW182" s="30"/>
      <c r="BX182" s="39"/>
      <c r="BY182" s="37"/>
      <c r="BZ182" s="39"/>
      <c r="CA182" s="37"/>
      <c r="CB182" s="37"/>
      <c r="CC182" s="34">
        <f t="shared" si="14"/>
        <v>0</v>
      </c>
      <c r="CD182" s="30"/>
      <c r="CE182" s="30"/>
      <c r="CF182" s="85"/>
      <c r="CG182" s="30"/>
      <c r="CH182" s="30"/>
    </row>
    <row r="183" spans="2:86" ht="135" x14ac:dyDescent="0.25">
      <c r="B183" s="30" t="s">
        <v>1829</v>
      </c>
      <c r="C183" s="30" t="s">
        <v>1830</v>
      </c>
      <c r="D183" s="36">
        <v>45279</v>
      </c>
      <c r="E183" s="30" t="s">
        <v>1831</v>
      </c>
      <c r="F183" s="30" t="s">
        <v>680</v>
      </c>
      <c r="G183" s="30"/>
      <c r="H183" s="30" t="s">
        <v>101</v>
      </c>
      <c r="I183" s="38">
        <v>450</v>
      </c>
      <c r="J183" s="30" t="s">
        <v>70</v>
      </c>
      <c r="K183" s="38">
        <v>709</v>
      </c>
      <c r="L183" s="38"/>
      <c r="M183" s="30"/>
      <c r="N183" s="30"/>
      <c r="O183" s="30"/>
      <c r="P183" s="30"/>
      <c r="Q183" s="30"/>
      <c r="R183" s="30" t="s">
        <v>1832</v>
      </c>
      <c r="S183" s="30" t="s">
        <v>1833</v>
      </c>
      <c r="T183" s="30" t="s">
        <v>1834</v>
      </c>
      <c r="U183" s="30" t="s">
        <v>1835</v>
      </c>
      <c r="V183" s="30" t="s">
        <v>1836</v>
      </c>
      <c r="W183" s="30" t="s">
        <v>73</v>
      </c>
      <c r="X183" s="30" t="s">
        <v>86</v>
      </c>
      <c r="Y183" s="30" t="s">
        <v>75</v>
      </c>
      <c r="Z183" s="36">
        <v>45272</v>
      </c>
      <c r="AA183" s="36">
        <v>45272</v>
      </c>
      <c r="AB183" s="30" t="s">
        <v>91</v>
      </c>
      <c r="AC183" s="30"/>
      <c r="AD183" s="30"/>
      <c r="AE183" s="30"/>
      <c r="AF183" s="30"/>
      <c r="AG183" s="30"/>
      <c r="AH183" s="30"/>
      <c r="AI183" s="30"/>
      <c r="AJ183" s="33">
        <f t="shared" si="10"/>
        <v>450</v>
      </c>
      <c r="AK183" s="37">
        <v>1550000</v>
      </c>
      <c r="AL183" s="33">
        <f t="shared" si="11"/>
        <v>709</v>
      </c>
      <c r="AM183" s="37"/>
      <c r="AN183" s="37">
        <v>57976000</v>
      </c>
      <c r="AO183" s="37">
        <v>3427276000</v>
      </c>
      <c r="AP183" s="30" t="s">
        <v>1837</v>
      </c>
      <c r="AQ183" s="30" t="s">
        <v>101</v>
      </c>
      <c r="AR183" s="30"/>
      <c r="AS183" s="30"/>
      <c r="AT183" s="30"/>
      <c r="AU183" s="30"/>
      <c r="AV183" s="38">
        <v>325</v>
      </c>
      <c r="AW183" s="37">
        <v>1293046</v>
      </c>
      <c r="AX183" s="38">
        <v>112</v>
      </c>
      <c r="AY183" s="37"/>
      <c r="AZ183" s="37">
        <v>600000000</v>
      </c>
      <c r="BA183" s="34">
        <f t="shared" si="12"/>
        <v>420239950</v>
      </c>
      <c r="BB183" s="30" t="s">
        <v>1838</v>
      </c>
      <c r="BC183" s="30" t="s">
        <v>82</v>
      </c>
      <c r="BD183" s="30" t="s">
        <v>1839</v>
      </c>
      <c r="BE183" s="30" t="s">
        <v>101</v>
      </c>
      <c r="BF183" s="30"/>
      <c r="BG183" s="30"/>
      <c r="BH183" s="30"/>
      <c r="BI183" s="30"/>
      <c r="BJ183" s="39">
        <v>110</v>
      </c>
      <c r="BK183" s="37">
        <v>1374545</v>
      </c>
      <c r="BL183" s="39">
        <v>60</v>
      </c>
      <c r="BM183" s="37"/>
      <c r="BN183" s="37">
        <v>250000000</v>
      </c>
      <c r="BO183" s="34">
        <f t="shared" si="13"/>
        <v>151199950</v>
      </c>
      <c r="BP183" s="30" t="s">
        <v>1840</v>
      </c>
      <c r="BQ183" s="30" t="s">
        <v>82</v>
      </c>
      <c r="BR183" s="30" t="s">
        <v>1841</v>
      </c>
      <c r="BS183" s="30" t="s">
        <v>78</v>
      </c>
      <c r="BT183" s="30"/>
      <c r="BU183" s="30"/>
      <c r="BV183" s="30"/>
      <c r="BW183" s="30"/>
      <c r="BX183" s="39">
        <v>1657</v>
      </c>
      <c r="BY183" s="37">
        <v>2400000</v>
      </c>
      <c r="BZ183" s="39"/>
      <c r="CA183" s="37"/>
      <c r="CB183" s="37">
        <v>4888150000</v>
      </c>
      <c r="CC183" s="34">
        <f t="shared" si="14"/>
        <v>3976800000</v>
      </c>
      <c r="CD183" s="30" t="s">
        <v>1842</v>
      </c>
      <c r="CE183" s="30" t="s">
        <v>82</v>
      </c>
      <c r="CF183" s="30" t="s">
        <v>1843</v>
      </c>
      <c r="CG183" s="30"/>
      <c r="CH183" s="30"/>
    </row>
    <row r="184" spans="2:86" ht="135" x14ac:dyDescent="0.25">
      <c r="B184" s="30" t="s">
        <v>1844</v>
      </c>
      <c r="C184" s="30" t="s">
        <v>1845</v>
      </c>
      <c r="D184" s="36">
        <v>45279</v>
      </c>
      <c r="E184" s="30" t="s">
        <v>1846</v>
      </c>
      <c r="F184" s="30" t="s">
        <v>680</v>
      </c>
      <c r="G184" s="30"/>
      <c r="H184" s="30" t="s">
        <v>78</v>
      </c>
      <c r="I184" s="38">
        <v>32960</v>
      </c>
      <c r="J184" s="30" t="s">
        <v>70</v>
      </c>
      <c r="K184" s="38"/>
      <c r="L184" s="38"/>
      <c r="M184" s="30"/>
      <c r="N184" s="30"/>
      <c r="O184" s="30"/>
      <c r="P184" s="30"/>
      <c r="Q184" s="30" t="s">
        <v>1847</v>
      </c>
      <c r="R184" s="30" t="s">
        <v>1848</v>
      </c>
      <c r="S184" s="30" t="s">
        <v>1849</v>
      </c>
      <c r="T184" s="30" t="s">
        <v>1850</v>
      </c>
      <c r="U184" s="30" t="s">
        <v>169</v>
      </c>
      <c r="V184" s="30" t="s">
        <v>80</v>
      </c>
      <c r="W184" s="30" t="s">
        <v>73</v>
      </c>
      <c r="X184" s="30" t="s">
        <v>86</v>
      </c>
      <c r="Y184" s="30" t="s">
        <v>75</v>
      </c>
      <c r="Z184" s="36">
        <v>45272</v>
      </c>
      <c r="AA184" s="36">
        <v>45272</v>
      </c>
      <c r="AB184" s="30" t="s">
        <v>91</v>
      </c>
      <c r="AC184" s="30"/>
      <c r="AD184" s="30"/>
      <c r="AE184" s="30"/>
      <c r="AF184" s="30"/>
      <c r="AG184" s="30"/>
      <c r="AH184" s="30"/>
      <c r="AI184" s="30"/>
      <c r="AJ184" s="33">
        <f t="shared" si="10"/>
        <v>32960</v>
      </c>
      <c r="AK184" s="37">
        <v>484554</v>
      </c>
      <c r="AL184" s="33">
        <f t="shared" si="11"/>
        <v>0</v>
      </c>
      <c r="AM184" s="37"/>
      <c r="AN184" s="37"/>
      <c r="AO184" s="37">
        <v>15970877784</v>
      </c>
      <c r="AP184" s="30" t="s">
        <v>1851</v>
      </c>
      <c r="AQ184" s="30" t="s">
        <v>84</v>
      </c>
      <c r="AR184" s="30"/>
      <c r="AS184" s="30"/>
      <c r="AT184" s="30"/>
      <c r="AU184" s="30"/>
      <c r="AV184" s="38">
        <v>60</v>
      </c>
      <c r="AW184" s="37">
        <v>1419267</v>
      </c>
      <c r="AX184" s="38">
        <v>27</v>
      </c>
      <c r="AY184" s="37"/>
      <c r="AZ184" s="37">
        <v>160000000</v>
      </c>
      <c r="BA184" s="34">
        <f t="shared" si="12"/>
        <v>85156020</v>
      </c>
      <c r="BB184" s="30" t="s">
        <v>1852</v>
      </c>
      <c r="BC184" s="30" t="s">
        <v>82</v>
      </c>
      <c r="BD184" s="30" t="s">
        <v>1853</v>
      </c>
      <c r="BE184" s="30" t="s">
        <v>84</v>
      </c>
      <c r="BF184" s="30"/>
      <c r="BG184" s="30"/>
      <c r="BH184" s="30"/>
      <c r="BI184" s="30"/>
      <c r="BJ184" s="39">
        <v>60</v>
      </c>
      <c r="BK184" s="37">
        <v>1452600</v>
      </c>
      <c r="BL184" s="39">
        <v>27</v>
      </c>
      <c r="BM184" s="37"/>
      <c r="BN184" s="37">
        <v>162000000</v>
      </c>
      <c r="BO184" s="34">
        <f t="shared" si="13"/>
        <v>87156000</v>
      </c>
      <c r="BP184" s="30" t="s">
        <v>1854</v>
      </c>
      <c r="BQ184" s="30" t="s">
        <v>82</v>
      </c>
      <c r="BR184" s="30" t="s">
        <v>1855</v>
      </c>
      <c r="BS184" s="30" t="s">
        <v>84</v>
      </c>
      <c r="BT184" s="30"/>
      <c r="BU184" s="30"/>
      <c r="BV184" s="30"/>
      <c r="BW184" s="30"/>
      <c r="BX184" s="39">
        <v>60</v>
      </c>
      <c r="BY184" s="37">
        <v>1419267</v>
      </c>
      <c r="BZ184" s="39">
        <v>27</v>
      </c>
      <c r="CA184" s="37"/>
      <c r="CB184" s="37">
        <v>160000000</v>
      </c>
      <c r="CC184" s="34">
        <f t="shared" si="14"/>
        <v>85156020</v>
      </c>
      <c r="CD184" s="30" t="s">
        <v>1856</v>
      </c>
      <c r="CE184" s="30" t="s">
        <v>82</v>
      </c>
      <c r="CF184" s="30" t="s">
        <v>1812</v>
      </c>
      <c r="CG184" s="30"/>
      <c r="CH184" s="30"/>
    </row>
    <row r="185" spans="2:86" ht="150" x14ac:dyDescent="0.25">
      <c r="B185" s="30" t="s">
        <v>1857</v>
      </c>
      <c r="C185" s="30" t="s">
        <v>1858</v>
      </c>
      <c r="D185" s="36">
        <v>45279</v>
      </c>
      <c r="E185" s="30" t="s">
        <v>1859</v>
      </c>
      <c r="F185" s="30" t="s">
        <v>97</v>
      </c>
      <c r="G185" s="30"/>
      <c r="H185" s="30" t="s">
        <v>1860</v>
      </c>
      <c r="I185" s="38">
        <v>6414</v>
      </c>
      <c r="J185" s="30" t="s">
        <v>70</v>
      </c>
      <c r="K185" s="38">
        <v>16160</v>
      </c>
      <c r="L185" s="38"/>
      <c r="M185" s="30"/>
      <c r="N185" s="30"/>
      <c r="O185" s="30"/>
      <c r="P185" s="30"/>
      <c r="Q185" s="30"/>
      <c r="R185" s="30" t="s">
        <v>1861</v>
      </c>
      <c r="S185" s="30" t="s">
        <v>1862</v>
      </c>
      <c r="T185" s="30" t="s">
        <v>1863</v>
      </c>
      <c r="U185" s="30" t="s">
        <v>1864</v>
      </c>
      <c r="V185" s="30" t="s">
        <v>95</v>
      </c>
      <c r="W185" s="30" t="s">
        <v>73</v>
      </c>
      <c r="X185" s="30" t="s">
        <v>86</v>
      </c>
      <c r="Y185" s="30" t="s">
        <v>75</v>
      </c>
      <c r="Z185" s="36">
        <v>45231</v>
      </c>
      <c r="AA185" s="36">
        <v>45231</v>
      </c>
      <c r="AB185" s="30" t="s">
        <v>91</v>
      </c>
      <c r="AC185" s="30"/>
      <c r="AD185" s="30"/>
      <c r="AE185" s="30"/>
      <c r="AF185" s="30"/>
      <c r="AG185" s="30"/>
      <c r="AH185" s="30"/>
      <c r="AI185" s="30"/>
      <c r="AJ185" s="33">
        <f t="shared" si="10"/>
        <v>6414</v>
      </c>
      <c r="AK185" s="37">
        <v>14000000</v>
      </c>
      <c r="AL185" s="33">
        <f t="shared" si="11"/>
        <v>16160</v>
      </c>
      <c r="AM185" s="37"/>
      <c r="AN185" s="37">
        <v>2449960000</v>
      </c>
      <c r="AO185" s="37">
        <v>178002000000</v>
      </c>
      <c r="AP185" s="30" t="s">
        <v>1865</v>
      </c>
      <c r="AQ185" s="30" t="s">
        <v>78</v>
      </c>
      <c r="AR185" s="30"/>
      <c r="AS185" s="30"/>
      <c r="AT185" s="30"/>
      <c r="AU185" s="30"/>
      <c r="AV185" s="38">
        <v>2500</v>
      </c>
      <c r="AW185" s="37">
        <v>14800000</v>
      </c>
      <c r="AX185" s="38"/>
      <c r="AY185" s="37"/>
      <c r="AZ185" s="37">
        <v>45000000000</v>
      </c>
      <c r="BA185" s="34">
        <f t="shared" si="12"/>
        <v>37000000000</v>
      </c>
      <c r="BB185" s="30" t="s">
        <v>1866</v>
      </c>
      <c r="BC185" s="30" t="s">
        <v>82</v>
      </c>
      <c r="BD185" s="30" t="s">
        <v>1865</v>
      </c>
      <c r="BE185" s="30" t="s">
        <v>78</v>
      </c>
      <c r="BF185" s="30"/>
      <c r="BG185" s="30"/>
      <c r="BH185" s="30"/>
      <c r="BI185" s="30"/>
      <c r="BJ185" s="39">
        <v>10000</v>
      </c>
      <c r="BK185" s="37">
        <v>13800000</v>
      </c>
      <c r="BL185" s="39"/>
      <c r="BM185" s="37"/>
      <c r="BN185" s="37">
        <v>170000000000</v>
      </c>
      <c r="BO185" s="34">
        <f t="shared" si="13"/>
        <v>138000000000</v>
      </c>
      <c r="BP185" s="30" t="s">
        <v>1867</v>
      </c>
      <c r="BQ185" s="30" t="s">
        <v>82</v>
      </c>
      <c r="BR185" s="30" t="s">
        <v>1868</v>
      </c>
      <c r="BS185" s="30" t="s">
        <v>78</v>
      </c>
      <c r="BT185" s="30"/>
      <c r="BU185" s="30"/>
      <c r="BV185" s="30"/>
      <c r="BW185" s="30"/>
      <c r="BX185" s="39">
        <v>4819</v>
      </c>
      <c r="BY185" s="37">
        <v>11205644</v>
      </c>
      <c r="BZ185" s="39"/>
      <c r="CA185" s="37"/>
      <c r="CB185" s="37">
        <v>63128900000</v>
      </c>
      <c r="CC185" s="34">
        <f t="shared" si="14"/>
        <v>53999998436</v>
      </c>
      <c r="CD185" s="30" t="s">
        <v>1869</v>
      </c>
      <c r="CE185" s="30" t="s">
        <v>82</v>
      </c>
      <c r="CF185" s="30" t="s">
        <v>1870</v>
      </c>
      <c r="CG185" s="30"/>
      <c r="CH185" s="30"/>
    </row>
    <row r="186" spans="2:86" ht="135" x14ac:dyDescent="0.25">
      <c r="B186" s="30" t="s">
        <v>1871</v>
      </c>
      <c r="C186" s="30" t="s">
        <v>1872</v>
      </c>
      <c r="D186" s="36">
        <v>45288</v>
      </c>
      <c r="E186" s="30" t="s">
        <v>1873</v>
      </c>
      <c r="F186" s="30" t="s">
        <v>97</v>
      </c>
      <c r="G186" s="30"/>
      <c r="H186" s="30" t="s">
        <v>1874</v>
      </c>
      <c r="I186" s="38">
        <v>3755</v>
      </c>
      <c r="J186" s="30" t="s">
        <v>70</v>
      </c>
      <c r="K186" s="38">
        <v>2650</v>
      </c>
      <c r="L186" s="38"/>
      <c r="M186" s="30"/>
      <c r="N186" s="30"/>
      <c r="O186" s="30"/>
      <c r="P186" s="30"/>
      <c r="Q186" s="30"/>
      <c r="R186" s="30" t="s">
        <v>1875</v>
      </c>
      <c r="S186" s="30" t="s">
        <v>1876</v>
      </c>
      <c r="T186" s="30" t="s">
        <v>1877</v>
      </c>
      <c r="U186" s="30" t="s">
        <v>99</v>
      </c>
      <c r="V186" s="30" t="s">
        <v>80</v>
      </c>
      <c r="W186" s="30" t="s">
        <v>73</v>
      </c>
      <c r="X186" s="30" t="s">
        <v>86</v>
      </c>
      <c r="Y186" s="30" t="s">
        <v>75</v>
      </c>
      <c r="Z186" s="36">
        <v>45230</v>
      </c>
      <c r="AA186" s="36">
        <v>45230</v>
      </c>
      <c r="AB186" s="30" t="s">
        <v>91</v>
      </c>
      <c r="AC186" s="30"/>
      <c r="AD186" s="30"/>
      <c r="AE186" s="30"/>
      <c r="AF186" s="30"/>
      <c r="AG186" s="30"/>
      <c r="AH186" s="30"/>
      <c r="AI186" s="30"/>
      <c r="AJ186" s="33">
        <f t="shared" si="10"/>
        <v>3755</v>
      </c>
      <c r="AK186" s="37">
        <v>11100000</v>
      </c>
      <c r="AL186" s="33">
        <f t="shared" si="11"/>
        <v>2650</v>
      </c>
      <c r="AM186" s="37">
        <f>7058400000/AL186</f>
        <v>2663547.169811321</v>
      </c>
      <c r="AN186" s="37">
        <v>354885000</v>
      </c>
      <c r="AO186" s="37">
        <f>(AJ186*AK186)+(AL186*AM186)+AN186</f>
        <v>49093785000</v>
      </c>
      <c r="AP186" s="30" t="s">
        <v>1878</v>
      </c>
      <c r="AQ186" s="30" t="s">
        <v>78</v>
      </c>
      <c r="AR186" s="30"/>
      <c r="AS186" s="30"/>
      <c r="AT186" s="30"/>
      <c r="AU186" s="30"/>
      <c r="AV186" s="38">
        <v>5852</v>
      </c>
      <c r="AW186" s="37">
        <v>11200000</v>
      </c>
      <c r="AX186" s="38"/>
      <c r="AY186" s="37"/>
      <c r="AZ186" s="37">
        <v>79002000000</v>
      </c>
      <c r="BA186" s="34">
        <f t="shared" si="12"/>
        <v>65542400000</v>
      </c>
      <c r="BB186" s="30" t="s">
        <v>1879</v>
      </c>
      <c r="BC186" s="30" t="s">
        <v>82</v>
      </c>
      <c r="BD186" s="30" t="s">
        <v>1880</v>
      </c>
      <c r="BE186" s="30" t="s">
        <v>101</v>
      </c>
      <c r="BF186" s="30"/>
      <c r="BG186" s="30"/>
      <c r="BH186" s="30"/>
      <c r="BI186" s="30"/>
      <c r="BJ186" s="39">
        <v>1450</v>
      </c>
      <c r="BK186" s="37">
        <v>12636800</v>
      </c>
      <c r="BL186" s="39">
        <v>600</v>
      </c>
      <c r="BM186" s="37"/>
      <c r="BN186" s="37">
        <v>22475000000</v>
      </c>
      <c r="BO186" s="34">
        <f t="shared" si="13"/>
        <v>18323360000</v>
      </c>
      <c r="BP186" s="30" t="s">
        <v>1881</v>
      </c>
      <c r="BQ186" s="30" t="s">
        <v>82</v>
      </c>
      <c r="BR186" s="30" t="s">
        <v>1882</v>
      </c>
      <c r="BS186" s="30" t="s">
        <v>101</v>
      </c>
      <c r="BT186" s="30"/>
      <c r="BU186" s="30"/>
      <c r="BV186" s="30"/>
      <c r="BW186" s="30"/>
      <c r="BX186" s="39">
        <v>1500</v>
      </c>
      <c r="BY186" s="37">
        <v>12518027</v>
      </c>
      <c r="BZ186" s="39">
        <v>80</v>
      </c>
      <c r="CA186" s="37"/>
      <c r="CB186" s="37">
        <v>21000000000</v>
      </c>
      <c r="CC186" s="34">
        <f t="shared" si="14"/>
        <v>18777040500</v>
      </c>
      <c r="CD186" s="30" t="s">
        <v>1883</v>
      </c>
      <c r="CE186" s="30" t="s">
        <v>82</v>
      </c>
      <c r="CF186" s="30" t="s">
        <v>1601</v>
      </c>
      <c r="CG186" s="30"/>
      <c r="CH186" s="30"/>
    </row>
    <row r="187" spans="2:86" ht="120" x14ac:dyDescent="0.25">
      <c r="B187" s="30" t="s">
        <v>1884</v>
      </c>
      <c r="C187" s="30" t="s">
        <v>1885</v>
      </c>
      <c r="D187" s="36">
        <v>45288</v>
      </c>
      <c r="E187" s="30" t="s">
        <v>1886</v>
      </c>
      <c r="F187" s="30" t="s">
        <v>97</v>
      </c>
      <c r="G187" s="30"/>
      <c r="H187" s="30" t="s">
        <v>1887</v>
      </c>
      <c r="I187" s="38">
        <v>10000</v>
      </c>
      <c r="J187" s="30" t="s">
        <v>70</v>
      </c>
      <c r="K187" s="38">
        <v>6038</v>
      </c>
      <c r="L187" s="38"/>
      <c r="M187" s="30"/>
      <c r="N187" s="30"/>
      <c r="O187" s="30"/>
      <c r="P187" s="30"/>
      <c r="Q187" s="30"/>
      <c r="R187" s="30" t="s">
        <v>1888</v>
      </c>
      <c r="S187" s="30" t="s">
        <v>1889</v>
      </c>
      <c r="T187" s="30" t="s">
        <v>1890</v>
      </c>
      <c r="U187" s="30" t="s">
        <v>133</v>
      </c>
      <c r="V187" s="30" t="s">
        <v>134</v>
      </c>
      <c r="W187" s="30" t="s">
        <v>73</v>
      </c>
      <c r="X187" s="30" t="s">
        <v>86</v>
      </c>
      <c r="Y187" s="30" t="s">
        <v>75</v>
      </c>
      <c r="Z187" s="36">
        <v>45232</v>
      </c>
      <c r="AA187" s="36">
        <v>45232</v>
      </c>
      <c r="AB187" s="30" t="s">
        <v>91</v>
      </c>
      <c r="AC187" s="30"/>
      <c r="AD187" s="30"/>
      <c r="AE187" s="30"/>
      <c r="AF187" s="30"/>
      <c r="AG187" s="30"/>
      <c r="AH187" s="30"/>
      <c r="AI187" s="30"/>
      <c r="AJ187" s="33">
        <f t="shared" si="10"/>
        <v>10000</v>
      </c>
      <c r="AK187" s="37">
        <v>3400000</v>
      </c>
      <c r="AL187" s="33">
        <f t="shared" si="11"/>
        <v>6038</v>
      </c>
      <c r="AM187" s="37">
        <f>39204600000/AL187</f>
        <v>6492977.807220934</v>
      </c>
      <c r="AN187" s="37">
        <v>2321466000</v>
      </c>
      <c r="AO187" s="37">
        <f>(AJ187*AK187)+(AL187*AM187)+AN187</f>
        <v>75526066000</v>
      </c>
      <c r="AP187" s="30" t="s">
        <v>1891</v>
      </c>
      <c r="AQ187" s="30" t="s">
        <v>78</v>
      </c>
      <c r="AR187" s="30"/>
      <c r="AS187" s="30"/>
      <c r="AT187" s="30"/>
      <c r="AU187" s="30"/>
      <c r="AV187" s="38">
        <v>11500</v>
      </c>
      <c r="AW187" s="37">
        <v>3600000</v>
      </c>
      <c r="AX187" s="38"/>
      <c r="AY187" s="37"/>
      <c r="AZ187" s="37">
        <v>57500000000</v>
      </c>
      <c r="BA187" s="34">
        <f t="shared" si="12"/>
        <v>41400000000</v>
      </c>
      <c r="BB187" s="30" t="s">
        <v>1892</v>
      </c>
      <c r="BC187" s="30" t="s">
        <v>82</v>
      </c>
      <c r="BD187" s="30" t="s">
        <v>1893</v>
      </c>
      <c r="BE187" s="30" t="s">
        <v>78</v>
      </c>
      <c r="BF187" s="30"/>
      <c r="BG187" s="30"/>
      <c r="BH187" s="30"/>
      <c r="BI187" s="30"/>
      <c r="BJ187" s="39">
        <v>10000</v>
      </c>
      <c r="BK187" s="37">
        <v>3700000</v>
      </c>
      <c r="BL187" s="39"/>
      <c r="BM187" s="37"/>
      <c r="BN187" s="37">
        <v>50000000000</v>
      </c>
      <c r="BO187" s="34">
        <f t="shared" si="13"/>
        <v>37000000000</v>
      </c>
      <c r="BP187" s="30" t="s">
        <v>1894</v>
      </c>
      <c r="BQ187" s="30" t="s">
        <v>82</v>
      </c>
      <c r="BR187" s="30" t="s">
        <v>1891</v>
      </c>
      <c r="BS187" s="30" t="s">
        <v>78</v>
      </c>
      <c r="BT187" s="30"/>
      <c r="BU187" s="30"/>
      <c r="BV187" s="30"/>
      <c r="BW187" s="30"/>
      <c r="BX187" s="39">
        <v>30000</v>
      </c>
      <c r="BY187" s="37">
        <v>3100000</v>
      </c>
      <c r="BZ187" s="39"/>
      <c r="CA187" s="37"/>
      <c r="CB187" s="37">
        <v>105000000000</v>
      </c>
      <c r="CC187" s="34">
        <f t="shared" si="14"/>
        <v>93000000000</v>
      </c>
      <c r="CD187" s="30" t="s">
        <v>1895</v>
      </c>
      <c r="CE187" s="30" t="s">
        <v>82</v>
      </c>
      <c r="CF187" s="30" t="s">
        <v>1705</v>
      </c>
      <c r="CG187" s="30"/>
      <c r="CH187" s="30"/>
    </row>
    <row r="188" spans="2:86" ht="135" x14ac:dyDescent="0.25">
      <c r="B188" s="30" t="s">
        <v>1896</v>
      </c>
      <c r="C188" s="30" t="s">
        <v>1897</v>
      </c>
      <c r="D188" s="36">
        <v>45288</v>
      </c>
      <c r="E188" s="30" t="s">
        <v>1898</v>
      </c>
      <c r="F188" s="30" t="s">
        <v>97</v>
      </c>
      <c r="G188" s="30"/>
      <c r="H188" s="30" t="s">
        <v>1899</v>
      </c>
      <c r="I188" s="38">
        <v>2683</v>
      </c>
      <c r="J188" s="30" t="s">
        <v>70</v>
      </c>
      <c r="K188" s="38">
        <v>5562</v>
      </c>
      <c r="L188" s="38"/>
      <c r="M188" s="30"/>
      <c r="N188" s="30"/>
      <c r="O188" s="30"/>
      <c r="P188" s="30"/>
      <c r="Q188" s="30"/>
      <c r="R188" s="30" t="s">
        <v>1900</v>
      </c>
      <c r="S188" s="30" t="s">
        <v>152</v>
      </c>
      <c r="T188" s="30" t="s">
        <v>1901</v>
      </c>
      <c r="U188" s="30" t="s">
        <v>110</v>
      </c>
      <c r="V188" s="30" t="s">
        <v>85</v>
      </c>
      <c r="W188" s="30" t="s">
        <v>73</v>
      </c>
      <c r="X188" s="30" t="s">
        <v>86</v>
      </c>
      <c r="Y188" s="30" t="s">
        <v>75</v>
      </c>
      <c r="Z188" s="36">
        <v>45229</v>
      </c>
      <c r="AA188" s="36">
        <v>45229</v>
      </c>
      <c r="AB188" s="30" t="s">
        <v>91</v>
      </c>
      <c r="AC188" s="30"/>
      <c r="AD188" s="30"/>
      <c r="AE188" s="30"/>
      <c r="AF188" s="30"/>
      <c r="AG188" s="30"/>
      <c r="AH188" s="30"/>
      <c r="AI188" s="30"/>
      <c r="AJ188" s="33">
        <f t="shared" si="10"/>
        <v>2683</v>
      </c>
      <c r="AK188" s="37">
        <f>64392000000/AJ188</f>
        <v>24000000</v>
      </c>
      <c r="AL188" s="33">
        <f t="shared" si="11"/>
        <v>5562</v>
      </c>
      <c r="AM188" s="37">
        <f>23104700000/AL188</f>
        <v>4154027.3282991732</v>
      </c>
      <c r="AN188" s="37">
        <v>1799862000</v>
      </c>
      <c r="AO188" s="37">
        <f>(AJ188*AK188)+(AL188*AM188)+AN188</f>
        <v>89296562000</v>
      </c>
      <c r="AP188" s="30" t="s">
        <v>1902</v>
      </c>
      <c r="AQ188" s="30" t="s">
        <v>101</v>
      </c>
      <c r="AR188" s="30"/>
      <c r="AS188" s="30"/>
      <c r="AT188" s="30"/>
      <c r="AU188" s="30"/>
      <c r="AV188" s="38">
        <v>620</v>
      </c>
      <c r="AW188" s="37">
        <v>25823363</v>
      </c>
      <c r="AX188" s="38">
        <v>450</v>
      </c>
      <c r="AY188" s="37"/>
      <c r="AZ188" s="37">
        <v>20000000000</v>
      </c>
      <c r="BA188" s="34">
        <f t="shared" si="12"/>
        <v>16010485060</v>
      </c>
      <c r="BB188" s="30" t="s">
        <v>1903</v>
      </c>
      <c r="BC188" s="30" t="s">
        <v>82</v>
      </c>
      <c r="BD188" s="30" t="s">
        <v>1904</v>
      </c>
      <c r="BE188" s="30" t="s">
        <v>78</v>
      </c>
      <c r="BF188" s="30"/>
      <c r="BG188" s="30"/>
      <c r="BH188" s="30"/>
      <c r="BI188" s="30"/>
      <c r="BJ188" s="39">
        <v>3975</v>
      </c>
      <c r="BK188" s="37">
        <v>23500000</v>
      </c>
      <c r="BL188" s="39"/>
      <c r="BM188" s="37"/>
      <c r="BN188" s="37">
        <v>119250000000</v>
      </c>
      <c r="BO188" s="34">
        <f t="shared" si="13"/>
        <v>93412500000</v>
      </c>
      <c r="BP188" s="30" t="s">
        <v>1905</v>
      </c>
      <c r="BQ188" s="30" t="s">
        <v>82</v>
      </c>
      <c r="BR188" s="30" t="s">
        <v>1906</v>
      </c>
      <c r="BS188" s="30" t="s">
        <v>101</v>
      </c>
      <c r="BT188" s="30"/>
      <c r="BU188" s="30"/>
      <c r="BV188" s="30"/>
      <c r="BW188" s="30"/>
      <c r="BX188" s="39">
        <v>1120</v>
      </c>
      <c r="BY188" s="37">
        <v>25343933</v>
      </c>
      <c r="BZ188" s="39">
        <v>700</v>
      </c>
      <c r="CA188" s="37"/>
      <c r="CB188" s="37">
        <v>40000000000</v>
      </c>
      <c r="CC188" s="34">
        <f t="shared" si="14"/>
        <v>28385204960</v>
      </c>
      <c r="CD188" s="30" t="s">
        <v>1907</v>
      </c>
      <c r="CE188" s="30" t="s">
        <v>82</v>
      </c>
      <c r="CF188" s="30" t="s">
        <v>1908</v>
      </c>
      <c r="CG188" s="30"/>
      <c r="CH188" s="30"/>
    </row>
    <row r="189" spans="2:86" ht="150" x14ac:dyDescent="0.25">
      <c r="B189" s="30" t="s">
        <v>1909</v>
      </c>
      <c r="C189" s="30" t="s">
        <v>1910</v>
      </c>
      <c r="D189" s="36">
        <v>45288</v>
      </c>
      <c r="E189" s="30" t="s">
        <v>1911</v>
      </c>
      <c r="F189" s="30" t="s">
        <v>97</v>
      </c>
      <c r="G189" s="30"/>
      <c r="H189" s="30" t="s">
        <v>1912</v>
      </c>
      <c r="I189" s="38">
        <v>10950</v>
      </c>
      <c r="J189" s="30" t="s">
        <v>70</v>
      </c>
      <c r="K189" s="38">
        <v>11432</v>
      </c>
      <c r="L189" s="38"/>
      <c r="M189" s="30"/>
      <c r="N189" s="30"/>
      <c r="O189" s="30"/>
      <c r="P189" s="30"/>
      <c r="Q189" s="30"/>
      <c r="R189" s="30" t="s">
        <v>1913</v>
      </c>
      <c r="S189" s="30" t="s">
        <v>1914</v>
      </c>
      <c r="T189" s="30" t="s">
        <v>1915</v>
      </c>
      <c r="U189" s="30" t="s">
        <v>1916</v>
      </c>
      <c r="V189" s="30" t="s">
        <v>130</v>
      </c>
      <c r="W189" s="30" t="s">
        <v>73</v>
      </c>
      <c r="X189" s="30" t="s">
        <v>86</v>
      </c>
      <c r="Y189" s="30" t="s">
        <v>75</v>
      </c>
      <c r="Z189" s="36">
        <v>45229</v>
      </c>
      <c r="AA189" s="36">
        <v>45229</v>
      </c>
      <c r="AB189" s="30" t="s">
        <v>91</v>
      </c>
      <c r="AC189" s="30"/>
      <c r="AD189" s="30"/>
      <c r="AE189" s="30"/>
      <c r="AF189" s="30"/>
      <c r="AG189" s="30"/>
      <c r="AH189" s="30"/>
      <c r="AI189" s="30"/>
      <c r="AJ189" s="33">
        <f t="shared" si="10"/>
        <v>10950</v>
      </c>
      <c r="AK189" s="37">
        <f>27375000000/AJ189</f>
        <v>2500000</v>
      </c>
      <c r="AL189" s="33">
        <f t="shared" si="11"/>
        <v>11432</v>
      </c>
      <c r="AM189" s="37">
        <f>60615200000/AL189</f>
        <v>5302239.3282015398</v>
      </c>
      <c r="AN189" s="37">
        <v>2477133500</v>
      </c>
      <c r="AO189" s="37">
        <f>(AJ189*AK189)+(AL189*AM189)+AN189</f>
        <v>90467333500</v>
      </c>
      <c r="AP189" s="30" t="s">
        <v>1917</v>
      </c>
      <c r="AQ189" s="30" t="s">
        <v>78</v>
      </c>
      <c r="AR189" s="30"/>
      <c r="AS189" s="30"/>
      <c r="AT189" s="30"/>
      <c r="AU189" s="30"/>
      <c r="AV189" s="38">
        <v>10000</v>
      </c>
      <c r="AW189" s="37">
        <v>2400000</v>
      </c>
      <c r="AX189" s="38"/>
      <c r="AY189" s="37"/>
      <c r="AZ189" s="37">
        <v>30000000000</v>
      </c>
      <c r="BA189" s="34">
        <f t="shared" si="12"/>
        <v>24000000000</v>
      </c>
      <c r="BB189" s="30" t="s">
        <v>1918</v>
      </c>
      <c r="BC189" s="30" t="s">
        <v>82</v>
      </c>
      <c r="BD189" s="30" t="s">
        <v>1917</v>
      </c>
      <c r="BE189" s="30" t="s">
        <v>78</v>
      </c>
      <c r="BF189" s="30"/>
      <c r="BG189" s="30"/>
      <c r="BH189" s="30"/>
      <c r="BI189" s="30"/>
      <c r="BJ189" s="39">
        <v>16600</v>
      </c>
      <c r="BK189" s="37">
        <v>3012048</v>
      </c>
      <c r="BL189" s="39"/>
      <c r="BM189" s="37"/>
      <c r="BN189" s="37">
        <v>66400000000</v>
      </c>
      <c r="BO189" s="34">
        <f t="shared" si="13"/>
        <v>49999996800</v>
      </c>
      <c r="BP189" s="30" t="s">
        <v>1919</v>
      </c>
      <c r="BQ189" s="30" t="s">
        <v>82</v>
      </c>
      <c r="BR189" s="30" t="s">
        <v>1920</v>
      </c>
      <c r="BS189" s="30" t="s">
        <v>78</v>
      </c>
      <c r="BT189" s="30"/>
      <c r="BU189" s="30"/>
      <c r="BV189" s="30"/>
      <c r="BW189" s="30"/>
      <c r="BX189" s="39">
        <v>6900</v>
      </c>
      <c r="BY189" s="37">
        <v>2246377</v>
      </c>
      <c r="BZ189" s="39"/>
      <c r="CA189" s="37"/>
      <c r="CB189" s="37">
        <v>17250000000</v>
      </c>
      <c r="CC189" s="34">
        <f t="shared" si="14"/>
        <v>15500001300</v>
      </c>
      <c r="CD189" s="30" t="s">
        <v>1921</v>
      </c>
      <c r="CE189" s="30" t="s">
        <v>82</v>
      </c>
      <c r="CF189" s="30" t="s">
        <v>1503</v>
      </c>
      <c r="CG189" s="30"/>
      <c r="CH189" s="30"/>
    </row>
    <row r="190" spans="2:86" ht="150" x14ac:dyDescent="0.25">
      <c r="B190" s="30" t="s">
        <v>1922</v>
      </c>
      <c r="C190" s="30" t="s">
        <v>1923</v>
      </c>
      <c r="D190" s="36">
        <v>45289</v>
      </c>
      <c r="E190" s="30" t="s">
        <v>1924</v>
      </c>
      <c r="F190" s="30" t="s">
        <v>97</v>
      </c>
      <c r="G190" s="30"/>
      <c r="H190" s="30" t="s">
        <v>78</v>
      </c>
      <c r="I190" s="38">
        <v>37978</v>
      </c>
      <c r="J190" s="30" t="s">
        <v>70</v>
      </c>
      <c r="K190" s="38"/>
      <c r="L190" s="38"/>
      <c r="M190" s="30"/>
      <c r="N190" s="30"/>
      <c r="O190" s="30"/>
      <c r="P190" s="30"/>
      <c r="Q190" s="30"/>
      <c r="R190" s="30" t="s">
        <v>1925</v>
      </c>
      <c r="S190" s="30" t="s">
        <v>1926</v>
      </c>
      <c r="T190" s="30" t="s">
        <v>1927</v>
      </c>
      <c r="U190" s="30" t="s">
        <v>1928</v>
      </c>
      <c r="V190" s="30" t="s">
        <v>1929</v>
      </c>
      <c r="W190" s="30" t="s">
        <v>73</v>
      </c>
      <c r="X190" s="30" t="s">
        <v>86</v>
      </c>
      <c r="Y190" s="30" t="s">
        <v>111</v>
      </c>
      <c r="Z190" s="36">
        <v>45257</v>
      </c>
      <c r="AA190" s="36">
        <v>45258</v>
      </c>
      <c r="AB190" s="30" t="s">
        <v>91</v>
      </c>
      <c r="AC190" s="30"/>
      <c r="AD190" s="30"/>
      <c r="AE190" s="30"/>
      <c r="AF190" s="30"/>
      <c r="AG190" s="30"/>
      <c r="AH190" s="30"/>
      <c r="AI190" s="30"/>
      <c r="AJ190" s="33">
        <f t="shared" si="10"/>
        <v>37978</v>
      </c>
      <c r="AK190" s="37">
        <f>53169200000/AJ190</f>
        <v>1400000</v>
      </c>
      <c r="AL190" s="33">
        <f t="shared" si="11"/>
        <v>0</v>
      </c>
      <c r="AM190" s="37"/>
      <c r="AN190" s="37"/>
      <c r="AO190" s="71">
        <f>(AJ190*AK190)+(AJ191*AK191)+(AJ192*AK192)+(AJ193*AK193)+(AL194*AM194)</f>
        <v>89283270000</v>
      </c>
      <c r="AP190" s="30" t="s">
        <v>1930</v>
      </c>
      <c r="AQ190" s="30" t="s">
        <v>78</v>
      </c>
      <c r="AR190" s="30"/>
      <c r="AS190" s="30"/>
      <c r="AT190" s="30"/>
      <c r="AU190" s="30"/>
      <c r="AV190" s="38">
        <v>9784</v>
      </c>
      <c r="AW190" s="37">
        <v>1750000</v>
      </c>
      <c r="AX190" s="38"/>
      <c r="AY190" s="37"/>
      <c r="AZ190" s="37">
        <v>19586000000</v>
      </c>
      <c r="BA190" s="34">
        <f t="shared" si="12"/>
        <v>17122000000</v>
      </c>
      <c r="BB190" s="30" t="s">
        <v>1931</v>
      </c>
      <c r="BC190" s="30" t="s">
        <v>82</v>
      </c>
      <c r="BD190" s="30" t="s">
        <v>1930</v>
      </c>
      <c r="BE190" s="30" t="s">
        <v>78</v>
      </c>
      <c r="BF190" s="30"/>
      <c r="BG190" s="30"/>
      <c r="BH190" s="30"/>
      <c r="BI190" s="30"/>
      <c r="BJ190" s="39">
        <v>10171</v>
      </c>
      <c r="BK190" s="37">
        <v>1750000</v>
      </c>
      <c r="BL190" s="39"/>
      <c r="BM190" s="37"/>
      <c r="BN190" s="37">
        <v>20342000000</v>
      </c>
      <c r="BO190" s="34">
        <f t="shared" si="13"/>
        <v>17799250000</v>
      </c>
      <c r="BP190" s="30" t="s">
        <v>1932</v>
      </c>
      <c r="BQ190" s="30" t="s">
        <v>82</v>
      </c>
      <c r="BR190" s="30" t="s">
        <v>1933</v>
      </c>
      <c r="BS190" s="30" t="s">
        <v>1934</v>
      </c>
      <c r="BT190" s="30"/>
      <c r="BU190" s="30"/>
      <c r="BV190" s="30"/>
      <c r="BW190" s="30"/>
      <c r="BX190" s="39">
        <v>13800</v>
      </c>
      <c r="BY190" s="37">
        <v>1350000</v>
      </c>
      <c r="BZ190" s="39">
        <v>500</v>
      </c>
      <c r="CA190" s="37"/>
      <c r="CB190" s="37">
        <v>20700000000</v>
      </c>
      <c r="CC190" s="34">
        <f t="shared" si="14"/>
        <v>18630000000</v>
      </c>
      <c r="CD190" s="30" t="s">
        <v>1935</v>
      </c>
      <c r="CE190" s="30" t="s">
        <v>82</v>
      </c>
      <c r="CF190" s="30" t="s">
        <v>644</v>
      </c>
      <c r="CG190" s="30"/>
      <c r="CH190" s="30"/>
    </row>
    <row r="191" spans="2:86" ht="150" x14ac:dyDescent="0.25">
      <c r="B191" s="30" t="s">
        <v>1922</v>
      </c>
      <c r="C191" s="30" t="s">
        <v>1923</v>
      </c>
      <c r="D191" s="36">
        <v>45289</v>
      </c>
      <c r="E191" s="30" t="s">
        <v>1924</v>
      </c>
      <c r="F191" s="30" t="s">
        <v>97</v>
      </c>
      <c r="G191" s="30"/>
      <c r="H191" s="30" t="s">
        <v>78</v>
      </c>
      <c r="I191" s="38">
        <v>5414</v>
      </c>
      <c r="J191" s="30" t="s">
        <v>70</v>
      </c>
      <c r="K191" s="38"/>
      <c r="L191" s="38"/>
      <c r="M191" s="30"/>
      <c r="N191" s="30"/>
      <c r="O191" s="30"/>
      <c r="P191" s="30"/>
      <c r="Q191" s="30"/>
      <c r="R191" s="30" t="s">
        <v>1936</v>
      </c>
      <c r="S191" s="30" t="s">
        <v>1926</v>
      </c>
      <c r="T191" s="30" t="s">
        <v>1927</v>
      </c>
      <c r="U191" s="30" t="s">
        <v>1928</v>
      </c>
      <c r="V191" s="30" t="s">
        <v>1929</v>
      </c>
      <c r="W191" s="30" t="s">
        <v>73</v>
      </c>
      <c r="X191" s="30" t="s">
        <v>86</v>
      </c>
      <c r="Y191" s="30" t="s">
        <v>111</v>
      </c>
      <c r="Z191" s="36">
        <v>45257</v>
      </c>
      <c r="AA191" s="36">
        <v>45258</v>
      </c>
      <c r="AB191" s="30" t="s">
        <v>91</v>
      </c>
      <c r="AC191" s="30"/>
      <c r="AD191" s="30"/>
      <c r="AE191" s="30"/>
      <c r="AF191" s="30"/>
      <c r="AG191" s="30"/>
      <c r="AH191" s="30"/>
      <c r="AI191" s="30"/>
      <c r="AJ191" s="33">
        <f t="shared" si="10"/>
        <v>5414</v>
      </c>
      <c r="AK191" s="37">
        <f>5143300000/AJ191</f>
        <v>950000</v>
      </c>
      <c r="AL191" s="33">
        <f t="shared" si="11"/>
        <v>0</v>
      </c>
      <c r="AM191" s="37"/>
      <c r="AN191" s="37"/>
      <c r="AO191" s="73"/>
      <c r="AP191" s="30" t="s">
        <v>1937</v>
      </c>
      <c r="AQ191" s="30" t="s">
        <v>78</v>
      </c>
      <c r="AR191" s="30"/>
      <c r="AS191" s="30"/>
      <c r="AT191" s="30"/>
      <c r="AU191" s="30"/>
      <c r="AV191" s="38">
        <v>7069</v>
      </c>
      <c r="AW191" s="37">
        <v>850000</v>
      </c>
      <c r="AX191" s="38"/>
      <c r="AY191" s="37"/>
      <c r="AZ191" s="37">
        <v>6715509150</v>
      </c>
      <c r="BA191" s="34">
        <f t="shared" si="12"/>
        <v>6008650000</v>
      </c>
      <c r="BB191" s="30" t="s">
        <v>1938</v>
      </c>
      <c r="BC191" s="30" t="s">
        <v>82</v>
      </c>
      <c r="BD191" s="30" t="s">
        <v>1930</v>
      </c>
      <c r="BE191" s="30" t="s">
        <v>78</v>
      </c>
      <c r="BF191" s="30"/>
      <c r="BG191" s="30"/>
      <c r="BH191" s="30"/>
      <c r="BI191" s="30"/>
      <c r="BJ191" s="38">
        <v>9784</v>
      </c>
      <c r="BK191" s="37">
        <v>1750000</v>
      </c>
      <c r="BL191" s="38"/>
      <c r="BM191" s="37"/>
      <c r="BN191" s="37">
        <v>19586000000</v>
      </c>
      <c r="BO191" s="34">
        <f t="shared" si="13"/>
        <v>17122000000</v>
      </c>
      <c r="BP191" s="30" t="s">
        <v>1931</v>
      </c>
      <c r="BQ191" s="30" t="s">
        <v>82</v>
      </c>
      <c r="BR191" s="30" t="s">
        <v>1930</v>
      </c>
      <c r="BS191" s="30" t="s">
        <v>78</v>
      </c>
      <c r="BT191" s="30"/>
      <c r="BU191" s="30"/>
      <c r="BV191" s="30"/>
      <c r="BW191" s="30"/>
      <c r="BX191" s="39">
        <v>10171</v>
      </c>
      <c r="BY191" s="37">
        <v>1750000</v>
      </c>
      <c r="BZ191" s="39"/>
      <c r="CA191" s="37"/>
      <c r="CB191" s="37">
        <v>20342000000</v>
      </c>
      <c r="CC191" s="34">
        <f t="shared" si="14"/>
        <v>17799250000</v>
      </c>
      <c r="CD191" s="30" t="s">
        <v>1932</v>
      </c>
      <c r="CE191" s="30" t="s">
        <v>82</v>
      </c>
      <c r="CF191" s="30" t="s">
        <v>644</v>
      </c>
      <c r="CG191" s="30"/>
      <c r="CH191" s="30"/>
    </row>
    <row r="192" spans="2:86" ht="150" x14ac:dyDescent="0.25">
      <c r="B192" s="30" t="s">
        <v>1922</v>
      </c>
      <c r="C192" s="30" t="s">
        <v>1923</v>
      </c>
      <c r="D192" s="36">
        <v>45289</v>
      </c>
      <c r="E192" s="30" t="s">
        <v>1924</v>
      </c>
      <c r="F192" s="30" t="s">
        <v>97</v>
      </c>
      <c r="G192" s="30"/>
      <c r="H192" s="30" t="s">
        <v>78</v>
      </c>
      <c r="I192" s="38">
        <v>19930</v>
      </c>
      <c r="J192" s="30" t="s">
        <v>70</v>
      </c>
      <c r="K192" s="38"/>
      <c r="L192" s="38"/>
      <c r="M192" s="30"/>
      <c r="N192" s="30"/>
      <c r="O192" s="30"/>
      <c r="P192" s="30"/>
      <c r="Q192" s="30"/>
      <c r="R192" s="30" t="s">
        <v>1939</v>
      </c>
      <c r="S192" s="30" t="s">
        <v>1926</v>
      </c>
      <c r="T192" s="30" t="s">
        <v>1927</v>
      </c>
      <c r="U192" s="30" t="s">
        <v>1928</v>
      </c>
      <c r="V192" s="30" t="s">
        <v>1929</v>
      </c>
      <c r="W192" s="30" t="s">
        <v>73</v>
      </c>
      <c r="X192" s="30" t="s">
        <v>86</v>
      </c>
      <c r="Y192" s="30" t="s">
        <v>111</v>
      </c>
      <c r="Z192" s="36">
        <v>45257</v>
      </c>
      <c r="AA192" s="36">
        <v>45258</v>
      </c>
      <c r="AB192" s="30" t="s">
        <v>91</v>
      </c>
      <c r="AC192" s="30"/>
      <c r="AD192" s="30"/>
      <c r="AE192" s="30"/>
      <c r="AF192" s="30"/>
      <c r="AG192" s="30"/>
      <c r="AH192" s="30"/>
      <c r="AI192" s="30"/>
      <c r="AJ192" s="33">
        <f t="shared" si="10"/>
        <v>19930</v>
      </c>
      <c r="AK192" s="37">
        <f>13951000000/AJ192</f>
        <v>700000</v>
      </c>
      <c r="AL192" s="33">
        <f t="shared" si="11"/>
        <v>0</v>
      </c>
      <c r="AM192" s="37"/>
      <c r="AN192" s="37"/>
      <c r="AO192" s="73"/>
      <c r="AP192" s="30" t="s">
        <v>1940</v>
      </c>
      <c r="AQ192" s="30" t="s">
        <v>78</v>
      </c>
      <c r="AR192" s="30"/>
      <c r="AS192" s="30"/>
      <c r="AT192" s="30"/>
      <c r="AU192" s="30"/>
      <c r="AV192" s="38">
        <v>1023</v>
      </c>
      <c r="AW192" s="37">
        <v>900000</v>
      </c>
      <c r="AX192" s="38"/>
      <c r="AY192" s="37"/>
      <c r="AZ192" s="37">
        <v>1227600000</v>
      </c>
      <c r="BA192" s="34">
        <f t="shared" si="12"/>
        <v>920700000</v>
      </c>
      <c r="BB192" s="30" t="s">
        <v>1941</v>
      </c>
      <c r="BC192" s="30" t="s">
        <v>82</v>
      </c>
      <c r="BD192" s="30" t="s">
        <v>1942</v>
      </c>
      <c r="BE192" s="30" t="s">
        <v>78</v>
      </c>
      <c r="BF192" s="30"/>
      <c r="BG192" s="30"/>
      <c r="BH192" s="30"/>
      <c r="BI192" s="30"/>
      <c r="BJ192" s="39">
        <v>22018</v>
      </c>
      <c r="BK192" s="37">
        <v>540000</v>
      </c>
      <c r="BL192" s="39"/>
      <c r="BM192" s="37"/>
      <c r="BN192" s="37">
        <v>13210800000</v>
      </c>
      <c r="BO192" s="34">
        <f t="shared" si="13"/>
        <v>11889720000</v>
      </c>
      <c r="BP192" s="30" t="s">
        <v>1943</v>
      </c>
      <c r="BQ192" s="30" t="s">
        <v>82</v>
      </c>
      <c r="BR192" s="30" t="s">
        <v>1944</v>
      </c>
      <c r="BS192" s="30" t="s">
        <v>78</v>
      </c>
      <c r="BT192" s="30"/>
      <c r="BU192" s="30"/>
      <c r="BV192" s="30"/>
      <c r="BW192" s="30"/>
      <c r="BX192" s="39">
        <v>9000</v>
      </c>
      <c r="BY192" s="37">
        <v>400000</v>
      </c>
      <c r="BZ192" s="39"/>
      <c r="CA192" s="37"/>
      <c r="CB192" s="37">
        <v>4000000000</v>
      </c>
      <c r="CC192" s="34">
        <f t="shared" si="14"/>
        <v>3600000000</v>
      </c>
      <c r="CD192" s="30" t="s">
        <v>1945</v>
      </c>
      <c r="CE192" s="30" t="s">
        <v>82</v>
      </c>
      <c r="CF192" s="30" t="s">
        <v>644</v>
      </c>
      <c r="CG192" s="30"/>
      <c r="CH192" s="30"/>
    </row>
    <row r="193" spans="2:86" ht="150" x14ac:dyDescent="0.25">
      <c r="B193" s="30" t="s">
        <v>1922</v>
      </c>
      <c r="C193" s="30" t="s">
        <v>1923</v>
      </c>
      <c r="D193" s="36">
        <v>45289</v>
      </c>
      <c r="E193" s="30" t="s">
        <v>1924</v>
      </c>
      <c r="F193" s="30" t="s">
        <v>97</v>
      </c>
      <c r="G193" s="30"/>
      <c r="H193" s="30" t="s">
        <v>78</v>
      </c>
      <c r="I193" s="38">
        <v>19531</v>
      </c>
      <c r="J193" s="30" t="s">
        <v>70</v>
      </c>
      <c r="K193" s="38"/>
      <c r="L193" s="38"/>
      <c r="M193" s="30"/>
      <c r="N193" s="30"/>
      <c r="O193" s="30"/>
      <c r="P193" s="30"/>
      <c r="Q193" s="30"/>
      <c r="R193" s="30" t="s">
        <v>1946</v>
      </c>
      <c r="S193" s="30" t="s">
        <v>1926</v>
      </c>
      <c r="T193" s="30" t="s">
        <v>1927</v>
      </c>
      <c r="U193" s="30" t="s">
        <v>1928</v>
      </c>
      <c r="V193" s="30" t="s">
        <v>1929</v>
      </c>
      <c r="W193" s="30" t="s">
        <v>73</v>
      </c>
      <c r="X193" s="30" t="s">
        <v>86</v>
      </c>
      <c r="Y193" s="30" t="s">
        <v>111</v>
      </c>
      <c r="Z193" s="36">
        <v>45257</v>
      </c>
      <c r="AA193" s="36">
        <v>45258</v>
      </c>
      <c r="AB193" s="30" t="s">
        <v>91</v>
      </c>
      <c r="AC193" s="30"/>
      <c r="AD193" s="30"/>
      <c r="AE193" s="30"/>
      <c r="AF193" s="30"/>
      <c r="AG193" s="30"/>
      <c r="AH193" s="30"/>
      <c r="AI193" s="30"/>
      <c r="AJ193" s="33">
        <f t="shared" si="10"/>
        <v>19531</v>
      </c>
      <c r="AK193" s="37">
        <f>13085770000/AJ193</f>
        <v>670000</v>
      </c>
      <c r="AL193" s="33">
        <f t="shared" si="11"/>
        <v>0</v>
      </c>
      <c r="AM193" s="37"/>
      <c r="AN193" s="37"/>
      <c r="AO193" s="73"/>
      <c r="AP193" s="30" t="s">
        <v>1940</v>
      </c>
      <c r="AQ193" s="30" t="s">
        <v>78</v>
      </c>
      <c r="AR193" s="30"/>
      <c r="AS193" s="30"/>
      <c r="AT193" s="30"/>
      <c r="AU193" s="30"/>
      <c r="AV193" s="38">
        <v>1023</v>
      </c>
      <c r="AW193" s="37">
        <v>900000</v>
      </c>
      <c r="AX193" s="38"/>
      <c r="AY193" s="37"/>
      <c r="AZ193" s="37">
        <v>1227600000</v>
      </c>
      <c r="BA193" s="34">
        <f t="shared" si="12"/>
        <v>920700000</v>
      </c>
      <c r="BB193" s="30" t="s">
        <v>1941</v>
      </c>
      <c r="BC193" s="30" t="s">
        <v>82</v>
      </c>
      <c r="BD193" s="30" t="s">
        <v>1942</v>
      </c>
      <c r="BE193" s="30" t="s">
        <v>78</v>
      </c>
      <c r="BF193" s="30"/>
      <c r="BG193" s="30"/>
      <c r="BH193" s="30"/>
      <c r="BI193" s="30"/>
      <c r="BJ193" s="39">
        <v>22018</v>
      </c>
      <c r="BK193" s="37">
        <v>540000</v>
      </c>
      <c r="BL193" s="39"/>
      <c r="BM193" s="37"/>
      <c r="BN193" s="37">
        <v>13210800000</v>
      </c>
      <c r="BO193" s="34">
        <f t="shared" si="13"/>
        <v>11889720000</v>
      </c>
      <c r="BP193" s="30" t="s">
        <v>1943</v>
      </c>
      <c r="BQ193" s="30" t="s">
        <v>82</v>
      </c>
      <c r="BR193" s="30" t="s">
        <v>1944</v>
      </c>
      <c r="BS193" s="30" t="s">
        <v>78</v>
      </c>
      <c r="BT193" s="30"/>
      <c r="BU193" s="30"/>
      <c r="BV193" s="30"/>
      <c r="BW193" s="30"/>
      <c r="BX193" s="39">
        <v>9000</v>
      </c>
      <c r="BY193" s="37">
        <v>400000</v>
      </c>
      <c r="BZ193" s="39"/>
      <c r="CA193" s="37"/>
      <c r="CB193" s="37">
        <v>4000000000</v>
      </c>
      <c r="CC193" s="34">
        <f t="shared" si="14"/>
        <v>3600000000</v>
      </c>
      <c r="CD193" s="30" t="s">
        <v>1945</v>
      </c>
      <c r="CE193" s="30" t="s">
        <v>82</v>
      </c>
      <c r="CF193" s="30" t="s">
        <v>644</v>
      </c>
      <c r="CG193" s="30"/>
      <c r="CH193" s="30"/>
    </row>
    <row r="194" spans="2:86" ht="195" x14ac:dyDescent="0.25">
      <c r="B194" s="30" t="s">
        <v>1922</v>
      </c>
      <c r="C194" s="30" t="s">
        <v>1923</v>
      </c>
      <c r="D194" s="36">
        <v>45289</v>
      </c>
      <c r="E194" s="30" t="s">
        <v>1924</v>
      </c>
      <c r="F194" s="30" t="s">
        <v>97</v>
      </c>
      <c r="G194" s="30"/>
      <c r="H194" s="30" t="s">
        <v>107</v>
      </c>
      <c r="I194" s="38">
        <v>82</v>
      </c>
      <c r="J194" s="30" t="s">
        <v>70</v>
      </c>
      <c r="K194" s="38">
        <v>303</v>
      </c>
      <c r="L194" s="38"/>
      <c r="M194" s="30"/>
      <c r="N194" s="30"/>
      <c r="O194" s="30"/>
      <c r="P194" s="30"/>
      <c r="Q194" s="30" t="s">
        <v>1947</v>
      </c>
      <c r="R194" s="30" t="s">
        <v>1948</v>
      </c>
      <c r="S194" s="30" t="s">
        <v>1437</v>
      </c>
      <c r="T194" s="30" t="s">
        <v>1949</v>
      </c>
      <c r="U194" s="30" t="s">
        <v>1950</v>
      </c>
      <c r="V194" s="30" t="s">
        <v>85</v>
      </c>
      <c r="W194" s="30" t="s">
        <v>73</v>
      </c>
      <c r="X194" s="30" t="s">
        <v>86</v>
      </c>
      <c r="Y194" s="30" t="s">
        <v>1951</v>
      </c>
      <c r="Z194" s="36">
        <v>45253</v>
      </c>
      <c r="AA194" s="36">
        <v>45253</v>
      </c>
      <c r="AB194" s="30" t="s">
        <v>91</v>
      </c>
      <c r="AC194" s="30"/>
      <c r="AD194" s="30"/>
      <c r="AE194" s="30"/>
      <c r="AF194" s="30"/>
      <c r="AG194" s="30"/>
      <c r="AH194" s="30"/>
      <c r="AI194" s="30"/>
      <c r="AJ194" s="33">
        <f t="shared" si="10"/>
        <v>82</v>
      </c>
      <c r="AK194" s="37"/>
      <c r="AL194" s="33">
        <f t="shared" si="11"/>
        <v>303</v>
      </c>
      <c r="AM194" s="37">
        <f>3934000000/AL194</f>
        <v>12983498.349834984</v>
      </c>
      <c r="AN194" s="37"/>
      <c r="AO194" s="74"/>
      <c r="AP194" s="30" t="s">
        <v>1952</v>
      </c>
      <c r="AQ194" s="30" t="s">
        <v>1953</v>
      </c>
      <c r="AR194" s="30"/>
      <c r="AS194" s="30"/>
      <c r="AT194" s="30"/>
      <c r="AU194" s="30"/>
      <c r="AV194" s="38">
        <v>164</v>
      </c>
      <c r="AW194" s="37">
        <v>12106918</v>
      </c>
      <c r="AX194" s="38">
        <v>636</v>
      </c>
      <c r="AY194" s="37"/>
      <c r="AZ194" s="37">
        <v>9500000000</v>
      </c>
      <c r="BA194" s="34">
        <f t="shared" si="12"/>
        <v>1985534552</v>
      </c>
      <c r="BB194" s="30" t="s">
        <v>1954</v>
      </c>
      <c r="BC194" s="30" t="s">
        <v>82</v>
      </c>
      <c r="BD194" s="30" t="s">
        <v>1955</v>
      </c>
      <c r="BE194" s="30" t="s">
        <v>107</v>
      </c>
      <c r="BF194" s="30"/>
      <c r="BG194" s="30"/>
      <c r="BH194" s="30"/>
      <c r="BI194" s="30"/>
      <c r="BJ194" s="39">
        <v>82</v>
      </c>
      <c r="BK194" s="37">
        <v>13050314</v>
      </c>
      <c r="BL194" s="39">
        <v>318</v>
      </c>
      <c r="BM194" s="37"/>
      <c r="BN194" s="37">
        <v>4500000000</v>
      </c>
      <c r="BO194" s="34">
        <f t="shared" si="13"/>
        <v>1070125748</v>
      </c>
      <c r="BP194" s="30" t="s">
        <v>1956</v>
      </c>
      <c r="BQ194" s="30" t="s">
        <v>82</v>
      </c>
      <c r="BR194" s="30" t="s">
        <v>1957</v>
      </c>
      <c r="BS194" s="30" t="s">
        <v>107</v>
      </c>
      <c r="BT194" s="30"/>
      <c r="BU194" s="30"/>
      <c r="BV194" s="30"/>
      <c r="BW194" s="30"/>
      <c r="BX194" s="39">
        <v>85</v>
      </c>
      <c r="BY194" s="37">
        <v>13351878</v>
      </c>
      <c r="BZ194" s="39">
        <v>360</v>
      </c>
      <c r="CA194" s="37"/>
      <c r="CB194" s="37">
        <v>5800000000</v>
      </c>
      <c r="CC194" s="34">
        <f t="shared" si="14"/>
        <v>1134909630</v>
      </c>
      <c r="CD194" s="30" t="s">
        <v>1958</v>
      </c>
      <c r="CE194" s="30" t="s">
        <v>82</v>
      </c>
      <c r="CF194" s="30" t="s">
        <v>1959</v>
      </c>
      <c r="CG194" s="30"/>
      <c r="CH194" s="30"/>
    </row>
  </sheetData>
  <mergeCells count="33">
    <mergeCell ref="AO181:AO182"/>
    <mergeCell ref="CF181:CF182"/>
    <mergeCell ref="AO190:AO194"/>
    <mergeCell ref="AO152:AO155"/>
    <mergeCell ref="AO156:AO157"/>
    <mergeCell ref="CF156:CF157"/>
    <mergeCell ref="AO160:AO163"/>
    <mergeCell ref="CF160:CF162"/>
    <mergeCell ref="AO170:AO173"/>
    <mergeCell ref="AO177:AO178"/>
    <mergeCell ref="BR3:CE3"/>
    <mergeCell ref="CF3:CF4"/>
    <mergeCell ref="CG3:CG4"/>
    <mergeCell ref="CH3:CH4"/>
    <mergeCell ref="A1:M2"/>
    <mergeCell ref="AA3:AA4"/>
    <mergeCell ref="AB3:AB4"/>
    <mergeCell ref="AJ3:AN3"/>
    <mergeCell ref="AO3:AO4"/>
    <mergeCell ref="AP3:BC3"/>
    <mergeCell ref="BD3:BQ3"/>
    <mergeCell ref="G3:H3"/>
    <mergeCell ref="I3:P3"/>
    <mergeCell ref="Q3:W3"/>
    <mergeCell ref="X3:X4"/>
    <mergeCell ref="Y3:Y4"/>
    <mergeCell ref="Z3:Z4"/>
    <mergeCell ref="A3:A4"/>
    <mergeCell ref="B3:B4"/>
    <mergeCell ref="C3:C4"/>
    <mergeCell ref="D3:D4"/>
    <mergeCell ref="E3:E4"/>
    <mergeCell ref="F3: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cicak betina</dc:creator>
  <cp:lastModifiedBy>cicak betina</cp:lastModifiedBy>
  <dcterms:created xsi:type="dcterms:W3CDTF">2025-11-12T05:24:47Z</dcterms:created>
  <dcterms:modified xsi:type="dcterms:W3CDTF">2025-11-12T05:30:20Z</dcterms:modified>
</cp:coreProperties>
</file>