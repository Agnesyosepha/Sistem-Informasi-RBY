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usb to lan by ALBAR\"/>
    </mc:Choice>
  </mc:AlternateContent>
  <xr:revisionPtr revIDLastSave="0" documentId="8_{DF33B67F-3D6A-49C0-B4A6-7BF5E8DEB5F8}" xr6:coauthVersionLast="47" xr6:coauthVersionMax="47" xr10:uidLastSave="{00000000-0000-0000-0000-000000000000}"/>
  <bookViews>
    <workbookView xWindow="-120" yWindow="-120" windowWidth="20730" windowHeight="11040" xr2:uid="{A9AB80A4-06DF-460A-9F2C-8DBBB97040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382" i="1" l="1"/>
  <c r="BO382" i="1"/>
  <c r="BA382" i="1"/>
  <c r="AN382" i="1"/>
  <c r="AL382" i="1"/>
  <c r="AJ382" i="1"/>
  <c r="CC381" i="1"/>
  <c r="BO381" i="1"/>
  <c r="BA381" i="1"/>
  <c r="AN381" i="1"/>
  <c r="AL381" i="1"/>
  <c r="AM381" i="1" s="1"/>
  <c r="AJ381" i="1"/>
  <c r="CC380" i="1"/>
  <c r="BO380" i="1"/>
  <c r="BA380" i="1"/>
  <c r="AL380" i="1"/>
  <c r="AM380" i="1" s="1"/>
  <c r="AJ380" i="1"/>
  <c r="CC379" i="1"/>
  <c r="BO379" i="1"/>
  <c r="BA379" i="1"/>
  <c r="AN379" i="1"/>
  <c r="AL379" i="1"/>
  <c r="AJ379" i="1"/>
  <c r="CC378" i="1"/>
  <c r="BO378" i="1"/>
  <c r="BA378" i="1"/>
  <c r="AN378" i="1"/>
  <c r="AL378" i="1"/>
  <c r="AM378" i="1" s="1"/>
  <c r="AJ378" i="1"/>
  <c r="AK378" i="1" s="1"/>
  <c r="CC377" i="1"/>
  <c r="BO377" i="1"/>
  <c r="BA377" i="1"/>
  <c r="AL377" i="1"/>
  <c r="AJ377" i="1"/>
  <c r="CC376" i="1"/>
  <c r="BO376" i="1"/>
  <c r="BA376" i="1"/>
  <c r="AN376" i="1"/>
  <c r="AL376" i="1"/>
  <c r="AM376" i="1" s="1"/>
  <c r="AJ376" i="1"/>
  <c r="CC375" i="1"/>
  <c r="BO375" i="1"/>
  <c r="BA375" i="1"/>
  <c r="AL375" i="1"/>
  <c r="AM375" i="1" s="1"/>
  <c r="AJ375" i="1"/>
  <c r="CC374" i="1"/>
  <c r="BO374" i="1"/>
  <c r="BA374" i="1"/>
  <c r="AL374" i="1"/>
  <c r="AM374" i="1" s="1"/>
  <c r="AJ374" i="1"/>
  <c r="AO374" i="1" s="1"/>
  <c r="AL373" i="1"/>
  <c r="AJ373" i="1"/>
  <c r="AL372" i="1"/>
  <c r="AJ372" i="1"/>
  <c r="AL371" i="1"/>
  <c r="AJ371" i="1"/>
  <c r="AL370" i="1"/>
  <c r="AJ370" i="1"/>
  <c r="CC369" i="1"/>
  <c r="BO369" i="1"/>
  <c r="BA369" i="1"/>
  <c r="AL369" i="1"/>
  <c r="AJ369" i="1"/>
  <c r="CC368" i="1"/>
  <c r="BO368" i="1"/>
  <c r="BA368" i="1"/>
  <c r="AL368" i="1"/>
  <c r="AM368" i="1" s="1"/>
  <c r="AJ368" i="1"/>
  <c r="CC367" i="1"/>
  <c r="BO367" i="1"/>
  <c r="BA367" i="1"/>
  <c r="AL367" i="1"/>
  <c r="AJ367" i="1"/>
  <c r="CC366" i="1"/>
  <c r="BO366" i="1"/>
  <c r="BA366" i="1"/>
  <c r="AN366" i="1"/>
  <c r="AL366" i="1"/>
  <c r="AJ366" i="1"/>
  <c r="CC365" i="1"/>
  <c r="BO365" i="1"/>
  <c r="BA365" i="1"/>
  <c r="AN365" i="1"/>
  <c r="AL365" i="1"/>
  <c r="AM365" i="1" s="1"/>
  <c r="AJ365" i="1"/>
  <c r="CC364" i="1"/>
  <c r="BO364" i="1"/>
  <c r="BA364" i="1"/>
  <c r="AL364" i="1"/>
  <c r="AJ364" i="1"/>
  <c r="AO364" i="1" s="1"/>
  <c r="CC363" i="1"/>
  <c r="BO363" i="1"/>
  <c r="BA363" i="1"/>
  <c r="AL363" i="1"/>
  <c r="AM363" i="1" s="1"/>
  <c r="AJ363" i="1"/>
  <c r="CC362" i="1"/>
  <c r="BO362" i="1"/>
  <c r="BA362" i="1"/>
  <c r="AL362" i="1"/>
  <c r="AM362" i="1" s="1"/>
  <c r="AJ362" i="1"/>
  <c r="CC361" i="1"/>
  <c r="BO361" i="1"/>
  <c r="BA361" i="1"/>
  <c r="AL361" i="1"/>
  <c r="AJ361" i="1"/>
  <c r="AL360" i="1"/>
  <c r="AJ360" i="1"/>
  <c r="CC359" i="1"/>
  <c r="BO359" i="1"/>
  <c r="BA359" i="1"/>
  <c r="AL359" i="1"/>
  <c r="AM359" i="1" s="1"/>
  <c r="AJ359" i="1"/>
  <c r="CC358" i="1"/>
  <c r="BO358" i="1"/>
  <c r="BA358" i="1"/>
  <c r="AL358" i="1"/>
  <c r="AJ358" i="1"/>
  <c r="AL357" i="1"/>
  <c r="AJ357" i="1"/>
  <c r="CC356" i="1"/>
  <c r="BO356" i="1"/>
  <c r="BA356" i="1"/>
  <c r="AL356" i="1"/>
  <c r="AJ356" i="1"/>
  <c r="CC355" i="1"/>
  <c r="BO355" i="1"/>
  <c r="BA355" i="1"/>
  <c r="AL355" i="1"/>
  <c r="AM355" i="1" s="1"/>
  <c r="AJ355" i="1"/>
  <c r="CC354" i="1"/>
  <c r="BO354" i="1"/>
  <c r="BA354" i="1"/>
  <c r="AL354" i="1"/>
  <c r="AM354" i="1" s="1"/>
  <c r="AJ354" i="1"/>
  <c r="AL353" i="1"/>
  <c r="AJ353" i="1"/>
  <c r="CC352" i="1"/>
  <c r="BO352" i="1"/>
  <c r="BA352" i="1"/>
  <c r="AL352" i="1"/>
  <c r="AM352" i="1" s="1"/>
  <c r="AJ352" i="1"/>
  <c r="CC351" i="1"/>
  <c r="BO351" i="1"/>
  <c r="BA351" i="1"/>
  <c r="AL351" i="1"/>
  <c r="AM351" i="1" s="1"/>
  <c r="AJ351" i="1"/>
  <c r="AL350" i="1"/>
  <c r="AM350" i="1" s="1"/>
  <c r="AJ350" i="1"/>
  <c r="CC349" i="1"/>
  <c r="BO349" i="1"/>
  <c r="BA349" i="1"/>
  <c r="AL349" i="1"/>
  <c r="AM349" i="1" s="1"/>
  <c r="AJ349" i="1"/>
  <c r="CC348" i="1"/>
  <c r="BO348" i="1"/>
  <c r="BA348" i="1"/>
  <c r="AL348" i="1"/>
  <c r="AM348" i="1" s="1"/>
  <c r="AJ348" i="1"/>
  <c r="CC347" i="1"/>
  <c r="BO347" i="1"/>
  <c r="BA347" i="1"/>
  <c r="AL347" i="1"/>
  <c r="AM347" i="1" s="1"/>
  <c r="AJ347" i="1"/>
  <c r="AL346" i="1"/>
  <c r="AM346" i="1" s="1"/>
  <c r="AJ346" i="1"/>
  <c r="CC345" i="1"/>
  <c r="BO345" i="1"/>
  <c r="BA345" i="1"/>
  <c r="AL345" i="1"/>
  <c r="AM345" i="1" s="1"/>
  <c r="AJ345" i="1"/>
  <c r="CC344" i="1"/>
  <c r="BO344" i="1"/>
  <c r="BA344" i="1"/>
  <c r="AL344" i="1"/>
  <c r="AM344" i="1" s="1"/>
  <c r="AJ344" i="1"/>
  <c r="CC343" i="1"/>
  <c r="BO343" i="1"/>
  <c r="BA343" i="1"/>
  <c r="AL343" i="1"/>
  <c r="AM343" i="1" s="1"/>
  <c r="AJ343" i="1"/>
  <c r="AL342" i="1"/>
  <c r="AM342" i="1" s="1"/>
  <c r="AJ342" i="1"/>
  <c r="CC341" i="1"/>
  <c r="BO341" i="1"/>
  <c r="BA341" i="1"/>
  <c r="AL341" i="1"/>
  <c r="AM341" i="1" s="1"/>
  <c r="AJ341" i="1"/>
  <c r="CC340" i="1"/>
  <c r="BO340" i="1"/>
  <c r="BA340" i="1"/>
  <c r="AL340" i="1"/>
  <c r="AM340" i="1" s="1"/>
  <c r="AJ340" i="1"/>
  <c r="CC339" i="1"/>
  <c r="BO339" i="1"/>
  <c r="BA339" i="1"/>
  <c r="AL339" i="1"/>
  <c r="AM339" i="1" s="1"/>
  <c r="AJ339" i="1"/>
  <c r="AO339" i="1" s="1"/>
  <c r="CC338" i="1"/>
  <c r="BO338" i="1"/>
  <c r="BA338" i="1"/>
  <c r="AL338" i="1"/>
  <c r="AM338" i="1" s="1"/>
  <c r="AJ338" i="1"/>
  <c r="AO338" i="1" s="1"/>
  <c r="CC337" i="1"/>
  <c r="BO337" i="1"/>
  <c r="BA337" i="1"/>
  <c r="AL337" i="1"/>
  <c r="AJ337" i="1"/>
  <c r="AL336" i="1"/>
  <c r="AJ336" i="1"/>
  <c r="CC335" i="1"/>
  <c r="BO335" i="1"/>
  <c r="BA335" i="1"/>
  <c r="AL335" i="1"/>
  <c r="AJ335" i="1"/>
  <c r="AL334" i="1"/>
  <c r="AJ334" i="1"/>
  <c r="CC333" i="1"/>
  <c r="BO333" i="1"/>
  <c r="BA333" i="1"/>
  <c r="AL333" i="1"/>
  <c r="AJ333" i="1"/>
  <c r="AL332" i="1"/>
  <c r="AJ332" i="1"/>
  <c r="AL331" i="1"/>
  <c r="AJ331" i="1"/>
  <c r="AL330" i="1"/>
  <c r="AJ330" i="1"/>
  <c r="AL329" i="1"/>
  <c r="AJ329" i="1"/>
  <c r="AL328" i="1"/>
  <c r="AJ328" i="1"/>
  <c r="CC327" i="1"/>
  <c r="BO327" i="1"/>
  <c r="BA327" i="1"/>
  <c r="AL327" i="1"/>
  <c r="AJ327" i="1"/>
  <c r="CC326" i="1"/>
  <c r="BO326" i="1"/>
  <c r="BA326" i="1"/>
  <c r="AL326" i="1"/>
  <c r="AJ326" i="1"/>
  <c r="CC325" i="1"/>
  <c r="BO325" i="1"/>
  <c r="BA325" i="1"/>
  <c r="AL325" i="1"/>
  <c r="AJ325" i="1"/>
  <c r="CC324" i="1"/>
  <c r="BO324" i="1"/>
  <c r="BA324" i="1"/>
  <c r="AL324" i="1"/>
  <c r="AM324" i="1" s="1"/>
  <c r="AJ324" i="1"/>
  <c r="CC323" i="1"/>
  <c r="BO323" i="1"/>
  <c r="BA323" i="1"/>
  <c r="AL323" i="1"/>
  <c r="AM323" i="1" s="1"/>
  <c r="AJ323" i="1"/>
  <c r="CC322" i="1"/>
  <c r="BO322" i="1"/>
  <c r="BA322" i="1"/>
  <c r="AL322" i="1"/>
  <c r="AM322" i="1" s="1"/>
  <c r="AJ322" i="1"/>
  <c r="AO322" i="1" s="1"/>
  <c r="CC321" i="1"/>
  <c r="BO321" i="1"/>
  <c r="BA321" i="1"/>
  <c r="AL321" i="1"/>
  <c r="AM321" i="1" s="1"/>
  <c r="AJ321" i="1"/>
  <c r="AO321" i="1" s="1"/>
  <c r="CC320" i="1"/>
  <c r="BO320" i="1"/>
  <c r="BA320" i="1"/>
  <c r="AL320" i="1"/>
  <c r="AM320" i="1" s="1"/>
  <c r="AJ320" i="1"/>
  <c r="AO320" i="1" s="1"/>
  <c r="AL319" i="1"/>
  <c r="AM319" i="1" s="1"/>
  <c r="AJ319" i="1"/>
  <c r="AO319" i="1" s="1"/>
  <c r="CC318" i="1"/>
  <c r="BO318" i="1"/>
  <c r="BA318" i="1"/>
  <c r="AL318" i="1"/>
  <c r="AM318" i="1" s="1"/>
  <c r="AJ318" i="1"/>
  <c r="AO318" i="1" s="1"/>
  <c r="AL317" i="1"/>
  <c r="AM317" i="1" s="1"/>
  <c r="AJ317" i="1"/>
  <c r="AO317" i="1" s="1"/>
  <c r="CC316" i="1"/>
  <c r="BO316" i="1"/>
  <c r="BA316" i="1"/>
  <c r="AL316" i="1"/>
  <c r="AM316" i="1" s="1"/>
  <c r="AJ316" i="1"/>
  <c r="AO316" i="1" s="1"/>
  <c r="CC315" i="1"/>
  <c r="BO315" i="1"/>
  <c r="BA315" i="1"/>
  <c r="AL315" i="1"/>
  <c r="AM315" i="1" s="1"/>
  <c r="AJ315" i="1"/>
  <c r="AO315" i="1" s="1"/>
  <c r="CC314" i="1"/>
  <c r="BO314" i="1"/>
  <c r="BA314" i="1"/>
  <c r="AL314" i="1"/>
  <c r="AJ314" i="1"/>
  <c r="BO313" i="1"/>
  <c r="AL313" i="1"/>
  <c r="AM313" i="1" s="1"/>
  <c r="AJ313" i="1"/>
  <c r="AO313" i="1" s="1"/>
  <c r="CC312" i="1"/>
  <c r="BO312" i="1"/>
  <c r="BA312" i="1"/>
  <c r="AL312" i="1"/>
  <c r="AM312" i="1" s="1"/>
  <c r="AJ312" i="1"/>
  <c r="AO312" i="1" s="1"/>
  <c r="CC311" i="1"/>
  <c r="BO311" i="1"/>
  <c r="BA311" i="1"/>
  <c r="AL311" i="1"/>
  <c r="AJ311" i="1"/>
  <c r="CC310" i="1"/>
  <c r="BO310" i="1"/>
  <c r="BA310" i="1"/>
  <c r="AL310" i="1"/>
  <c r="AM310" i="1" s="1"/>
  <c r="AJ310" i="1"/>
  <c r="AL309" i="1"/>
  <c r="AM309" i="1" s="1"/>
  <c r="AJ309" i="1"/>
  <c r="CC308" i="1"/>
  <c r="BO308" i="1"/>
  <c r="BA308" i="1"/>
  <c r="AL308" i="1"/>
  <c r="AM308" i="1" s="1"/>
  <c r="AJ308" i="1"/>
  <c r="CC307" i="1"/>
  <c r="BO307" i="1"/>
  <c r="BA307" i="1"/>
  <c r="AL307" i="1"/>
  <c r="AJ307" i="1"/>
  <c r="AL306" i="1"/>
  <c r="AJ306" i="1"/>
  <c r="CC305" i="1"/>
  <c r="BO305" i="1"/>
  <c r="BA305" i="1"/>
  <c r="AL305" i="1"/>
  <c r="AM305" i="1" s="1"/>
  <c r="AJ305" i="1"/>
  <c r="AL304" i="1"/>
  <c r="AM304" i="1" s="1"/>
  <c r="AJ304" i="1"/>
  <c r="AL303" i="1"/>
  <c r="AM303" i="1" s="1"/>
  <c r="AJ303" i="1"/>
  <c r="CC302" i="1"/>
  <c r="BO302" i="1"/>
  <c r="BA302" i="1"/>
  <c r="AL302" i="1"/>
  <c r="AM302" i="1" s="1"/>
  <c r="AJ302" i="1"/>
  <c r="CC301" i="1"/>
  <c r="BO301" i="1"/>
  <c r="BA301" i="1"/>
  <c r="AL301" i="1"/>
  <c r="AM301" i="1" s="1"/>
  <c r="AJ301" i="1"/>
  <c r="CC300" i="1"/>
  <c r="BO300" i="1"/>
  <c r="BA300" i="1"/>
  <c r="AL300" i="1"/>
  <c r="AM300" i="1" s="1"/>
  <c r="AJ300" i="1"/>
  <c r="CC299" i="1"/>
  <c r="BO299" i="1"/>
  <c r="BA299" i="1"/>
  <c r="AL299" i="1"/>
  <c r="AM299" i="1" s="1"/>
  <c r="AJ299" i="1"/>
  <c r="CC298" i="1"/>
  <c r="BO298" i="1"/>
  <c r="BA298" i="1"/>
  <c r="AL298" i="1"/>
  <c r="AM298" i="1" s="1"/>
  <c r="AJ298" i="1"/>
  <c r="CC297" i="1"/>
  <c r="BO297" i="1"/>
  <c r="BA297" i="1"/>
  <c r="AL297" i="1"/>
  <c r="AM297" i="1" s="1"/>
  <c r="AJ297" i="1"/>
  <c r="CC296" i="1"/>
  <c r="BO296" i="1"/>
  <c r="BA296" i="1"/>
  <c r="AL296" i="1"/>
  <c r="AM296" i="1" s="1"/>
  <c r="AJ296" i="1"/>
  <c r="CC295" i="1"/>
  <c r="BO295" i="1"/>
  <c r="BA295" i="1"/>
  <c r="AL295" i="1"/>
  <c r="AJ295" i="1"/>
  <c r="CC294" i="1"/>
  <c r="BO294" i="1"/>
  <c r="BA294" i="1"/>
  <c r="AL294" i="1"/>
  <c r="AM294" i="1" s="1"/>
  <c r="AJ294" i="1"/>
  <c r="CC293" i="1"/>
  <c r="BO293" i="1"/>
  <c r="BA293" i="1"/>
  <c r="AL293" i="1"/>
  <c r="AM293" i="1" s="1"/>
  <c r="AJ293" i="1"/>
  <c r="CC292" i="1"/>
  <c r="BO292" i="1"/>
  <c r="BA292" i="1"/>
  <c r="AL292" i="1"/>
  <c r="AM292" i="1" s="1"/>
  <c r="AJ292" i="1"/>
  <c r="CC291" i="1"/>
  <c r="BO291" i="1"/>
  <c r="BA291" i="1"/>
  <c r="AL291" i="1"/>
  <c r="AM291" i="1" s="1"/>
  <c r="AJ291" i="1"/>
  <c r="CC290" i="1"/>
  <c r="BO290" i="1"/>
  <c r="BA290" i="1"/>
  <c r="AL290" i="1"/>
  <c r="AM290" i="1" s="1"/>
  <c r="AJ290" i="1"/>
  <c r="CC289" i="1"/>
  <c r="BO289" i="1"/>
  <c r="BA289" i="1"/>
  <c r="AL289" i="1"/>
  <c r="AJ289" i="1"/>
  <c r="CC288" i="1"/>
  <c r="BO288" i="1"/>
  <c r="BA288" i="1"/>
  <c r="AL288" i="1"/>
  <c r="AM288" i="1" s="1"/>
  <c r="AJ288" i="1"/>
  <c r="CC287" i="1"/>
  <c r="BO287" i="1"/>
  <c r="BA287" i="1"/>
  <c r="AL287" i="1"/>
  <c r="AM287" i="1" s="1"/>
  <c r="AJ287" i="1"/>
  <c r="CC286" i="1"/>
  <c r="BO286" i="1"/>
  <c r="BA286" i="1"/>
  <c r="AL286" i="1"/>
  <c r="AM286" i="1" s="1"/>
  <c r="AJ286" i="1"/>
  <c r="CC285" i="1"/>
  <c r="BO285" i="1"/>
  <c r="BA285" i="1"/>
  <c r="AL285" i="1"/>
  <c r="AM285" i="1" s="1"/>
  <c r="AJ285" i="1"/>
  <c r="CC284" i="1"/>
  <c r="BO284" i="1"/>
  <c r="BA284" i="1"/>
  <c r="AL284" i="1"/>
  <c r="AM284" i="1" s="1"/>
  <c r="AJ284" i="1"/>
  <c r="CC283" i="1"/>
  <c r="BO283" i="1"/>
  <c r="BA283" i="1"/>
  <c r="AL283" i="1"/>
  <c r="AJ283" i="1"/>
  <c r="AL282" i="1"/>
  <c r="AM282" i="1" s="1"/>
  <c r="AJ282" i="1"/>
  <c r="CC281" i="1"/>
  <c r="BO281" i="1"/>
  <c r="BA281" i="1"/>
  <c r="AL281" i="1"/>
  <c r="AJ281" i="1"/>
  <c r="CC280" i="1"/>
  <c r="BO280" i="1"/>
  <c r="BA280" i="1"/>
  <c r="AL280" i="1"/>
  <c r="AM280" i="1" s="1"/>
  <c r="AJ280" i="1"/>
  <c r="CC279" i="1"/>
  <c r="BO279" i="1"/>
  <c r="BA279" i="1"/>
  <c r="AL279" i="1"/>
  <c r="AM279" i="1" s="1"/>
  <c r="AJ279" i="1"/>
  <c r="CC278" i="1"/>
  <c r="BO278" i="1"/>
  <c r="BA278" i="1"/>
  <c r="AL278" i="1"/>
  <c r="AM278" i="1" s="1"/>
  <c r="AJ278" i="1"/>
  <c r="CC277" i="1"/>
  <c r="BO277" i="1"/>
  <c r="BA277" i="1"/>
  <c r="AL277" i="1"/>
  <c r="AJ277" i="1"/>
  <c r="CC276" i="1"/>
  <c r="BO276" i="1"/>
  <c r="BA276" i="1"/>
  <c r="AL276" i="1"/>
  <c r="AM276" i="1" s="1"/>
  <c r="AJ276" i="1"/>
  <c r="CC275" i="1"/>
  <c r="BO275" i="1"/>
  <c r="BA275" i="1"/>
  <c r="AL275" i="1"/>
  <c r="AM275" i="1" s="1"/>
  <c r="AJ275" i="1"/>
  <c r="CC274" i="1"/>
  <c r="BO274" i="1"/>
  <c r="BA274" i="1"/>
  <c r="AL274" i="1"/>
  <c r="AM274" i="1" s="1"/>
  <c r="AJ274" i="1"/>
  <c r="CC273" i="1"/>
  <c r="BO273" i="1"/>
  <c r="BA273" i="1"/>
  <c r="AL273" i="1"/>
  <c r="AM273" i="1" s="1"/>
  <c r="AJ273" i="1"/>
  <c r="CC272" i="1"/>
  <c r="BO272" i="1"/>
  <c r="BA272" i="1"/>
  <c r="AL272" i="1"/>
  <c r="AM272" i="1" s="1"/>
  <c r="AJ272" i="1"/>
  <c r="CC271" i="1"/>
  <c r="BO271" i="1"/>
  <c r="BA271" i="1"/>
  <c r="AL271" i="1"/>
  <c r="AM271" i="1" s="1"/>
  <c r="AJ271" i="1"/>
  <c r="AL270" i="1"/>
  <c r="AJ270" i="1"/>
  <c r="CC269" i="1"/>
  <c r="BO269" i="1"/>
  <c r="BA269" i="1"/>
  <c r="AL269" i="1"/>
  <c r="AM269" i="1" s="1"/>
  <c r="AJ269" i="1"/>
  <c r="CC268" i="1"/>
  <c r="BO268" i="1"/>
  <c r="BA268" i="1"/>
  <c r="AL268" i="1"/>
  <c r="AJ268" i="1"/>
  <c r="CC267" i="1"/>
  <c r="BO267" i="1"/>
  <c r="BA267" i="1"/>
  <c r="AL267" i="1"/>
  <c r="AJ267" i="1"/>
  <c r="AO267" i="1" s="1"/>
  <c r="CC266" i="1"/>
  <c r="BO266" i="1"/>
  <c r="BA266" i="1"/>
  <c r="AN266" i="1"/>
  <c r="AL266" i="1"/>
  <c r="AJ266" i="1"/>
  <c r="AO266" i="1" s="1"/>
  <c r="CC265" i="1"/>
  <c r="BO265" i="1"/>
  <c r="BA265" i="1"/>
  <c r="AL265" i="1"/>
  <c r="AM265" i="1" s="1"/>
  <c r="AJ265" i="1"/>
  <c r="CC264" i="1"/>
  <c r="BO264" i="1"/>
  <c r="BA264" i="1"/>
  <c r="AL264" i="1"/>
  <c r="AM264" i="1" s="1"/>
  <c r="AJ264" i="1"/>
  <c r="CC263" i="1"/>
  <c r="BO263" i="1"/>
  <c r="BA263" i="1"/>
  <c r="AL263" i="1"/>
  <c r="AM263" i="1" s="1"/>
  <c r="AJ263" i="1"/>
  <c r="CC262" i="1"/>
  <c r="BO262" i="1"/>
  <c r="BA262" i="1"/>
  <c r="AN262" i="1"/>
  <c r="AL262" i="1"/>
  <c r="AM262" i="1" s="1"/>
  <c r="AJ262" i="1"/>
  <c r="CC261" i="1"/>
  <c r="BO261" i="1"/>
  <c r="BA261" i="1"/>
  <c r="AL261" i="1"/>
  <c r="AJ261" i="1"/>
  <c r="CC260" i="1"/>
  <c r="BO260" i="1"/>
  <c r="BA260" i="1"/>
  <c r="AL260" i="1"/>
  <c r="AM260" i="1" s="1"/>
  <c r="AJ260" i="1"/>
  <c r="CC259" i="1"/>
  <c r="BO259" i="1"/>
  <c r="BA259" i="1"/>
  <c r="AL259" i="1"/>
  <c r="AM259" i="1" s="1"/>
  <c r="AJ259" i="1"/>
  <c r="CC258" i="1"/>
  <c r="BO258" i="1"/>
  <c r="BA258" i="1"/>
  <c r="AL258" i="1"/>
  <c r="AM258" i="1" s="1"/>
  <c r="AJ258" i="1"/>
  <c r="CC257" i="1"/>
  <c r="BO257" i="1"/>
  <c r="BA257" i="1"/>
  <c r="AL257" i="1"/>
  <c r="AM257" i="1" s="1"/>
  <c r="AJ257" i="1"/>
  <c r="CC256" i="1"/>
  <c r="BO256" i="1"/>
  <c r="BA256" i="1"/>
  <c r="AL256" i="1"/>
  <c r="AM256" i="1" s="1"/>
  <c r="AJ256" i="1"/>
  <c r="CC255" i="1"/>
  <c r="BO255" i="1"/>
  <c r="BA255" i="1"/>
  <c r="AL255" i="1"/>
  <c r="AK255" i="1"/>
  <c r="AJ255" i="1"/>
  <c r="CC254" i="1"/>
  <c r="BO254" i="1"/>
  <c r="BA254" i="1"/>
  <c r="AL254" i="1"/>
  <c r="AM254" i="1" s="1"/>
  <c r="AJ254" i="1"/>
  <c r="CC253" i="1"/>
  <c r="BO253" i="1"/>
  <c r="BA253" i="1"/>
  <c r="AL253" i="1"/>
  <c r="AM253" i="1" s="1"/>
  <c r="AJ253" i="1"/>
  <c r="CC252" i="1"/>
  <c r="BO252" i="1"/>
  <c r="BA252" i="1"/>
  <c r="AL252" i="1"/>
  <c r="AM252" i="1" s="1"/>
  <c r="AJ252" i="1"/>
  <c r="CC251" i="1"/>
  <c r="BO251" i="1"/>
  <c r="BA251" i="1"/>
  <c r="AL251" i="1"/>
  <c r="AM251" i="1" s="1"/>
  <c r="AJ251" i="1"/>
  <c r="CC250" i="1"/>
  <c r="BO250" i="1"/>
  <c r="BA250" i="1"/>
  <c r="AL250" i="1"/>
  <c r="AJ250" i="1"/>
  <c r="AK250" i="1" s="1"/>
  <c r="CC249" i="1"/>
  <c r="BO249" i="1"/>
  <c r="BA249" i="1"/>
  <c r="AL249" i="1"/>
  <c r="AJ249" i="1"/>
  <c r="AK249" i="1" s="1"/>
  <c r="CC248" i="1"/>
  <c r="BO248" i="1"/>
  <c r="BA248" i="1"/>
  <c r="AL248" i="1"/>
  <c r="AJ248" i="1"/>
  <c r="CC247" i="1"/>
  <c r="BO247" i="1"/>
  <c r="BA247" i="1"/>
  <c r="AL247" i="1"/>
  <c r="AM247" i="1" s="1"/>
  <c r="AJ247" i="1"/>
  <c r="CC246" i="1"/>
  <c r="BO246" i="1"/>
  <c r="BA246" i="1"/>
  <c r="AL246" i="1"/>
  <c r="AJ246" i="1"/>
  <c r="CC245" i="1"/>
  <c r="BO245" i="1"/>
  <c r="BA245" i="1"/>
  <c r="AL245" i="1"/>
  <c r="AJ245" i="1"/>
  <c r="AO245" i="1" s="1"/>
  <c r="CC244" i="1"/>
  <c r="BO244" i="1"/>
  <c r="BA244" i="1"/>
  <c r="AL244" i="1"/>
  <c r="AJ244" i="1"/>
  <c r="AO244" i="1" s="1"/>
  <c r="CC243" i="1"/>
  <c r="BO243" i="1"/>
  <c r="BA243" i="1"/>
  <c r="AL243" i="1"/>
  <c r="AJ243" i="1"/>
  <c r="AO243" i="1" s="1"/>
  <c r="CC242" i="1"/>
  <c r="BO242" i="1"/>
  <c r="BA242" i="1"/>
  <c r="AL242" i="1"/>
  <c r="AJ242" i="1"/>
  <c r="CC241" i="1"/>
  <c r="BO241" i="1"/>
  <c r="BA241" i="1"/>
  <c r="AL241" i="1"/>
  <c r="AJ241" i="1"/>
  <c r="AO241" i="1" s="1"/>
  <c r="CC240" i="1"/>
  <c r="BO240" i="1"/>
  <c r="BA240" i="1"/>
  <c r="AL240" i="1"/>
  <c r="AJ240" i="1"/>
  <c r="AO240" i="1" s="1"/>
  <c r="CC239" i="1"/>
  <c r="BO239" i="1"/>
  <c r="BA239" i="1"/>
  <c r="AN239" i="1"/>
  <c r="AL239" i="1"/>
  <c r="AJ239" i="1"/>
  <c r="CC238" i="1"/>
  <c r="BO238" i="1"/>
  <c r="BA238" i="1"/>
  <c r="AN238" i="1"/>
  <c r="AL238" i="1"/>
  <c r="AJ238" i="1"/>
  <c r="CC237" i="1"/>
  <c r="BO237" i="1"/>
  <c r="BA237" i="1"/>
  <c r="AL237" i="1"/>
  <c r="AM237" i="1" s="1"/>
  <c r="AJ237" i="1"/>
  <c r="CC236" i="1"/>
  <c r="BO236" i="1"/>
  <c r="BA236" i="1"/>
  <c r="AL236" i="1"/>
  <c r="AJ236" i="1"/>
  <c r="CC235" i="1"/>
  <c r="BO235" i="1"/>
  <c r="BA235" i="1"/>
  <c r="AL235" i="1"/>
  <c r="AJ235" i="1"/>
  <c r="CC234" i="1"/>
  <c r="BO234" i="1"/>
  <c r="BA234" i="1"/>
  <c r="AL234" i="1"/>
  <c r="AJ234" i="1"/>
  <c r="CC233" i="1"/>
  <c r="BO233" i="1"/>
  <c r="BA233" i="1"/>
  <c r="AL233" i="1"/>
  <c r="AJ233" i="1"/>
  <c r="CC232" i="1"/>
  <c r="BO232" i="1"/>
  <c r="BA232" i="1"/>
  <c r="AN232" i="1"/>
  <c r="AL232" i="1"/>
  <c r="AJ232" i="1"/>
  <c r="CC231" i="1"/>
  <c r="BO231" i="1"/>
  <c r="BA231" i="1"/>
  <c r="AN231" i="1"/>
  <c r="AL231" i="1"/>
  <c r="AJ231" i="1"/>
  <c r="CC230" i="1"/>
  <c r="BO230" i="1"/>
  <c r="BA230" i="1"/>
  <c r="AN230" i="1"/>
  <c r="AL230" i="1"/>
  <c r="AJ230" i="1"/>
  <c r="CC229" i="1"/>
  <c r="BO229" i="1"/>
  <c r="BA229" i="1"/>
  <c r="AN229" i="1"/>
  <c r="AL229" i="1"/>
  <c r="AM229" i="1" s="1"/>
  <c r="AJ229" i="1"/>
  <c r="AO229" i="1" s="1"/>
  <c r="CC228" i="1"/>
  <c r="BO228" i="1"/>
  <c r="BA228" i="1"/>
  <c r="AL228" i="1"/>
  <c r="AJ228" i="1"/>
  <c r="CC227" i="1"/>
  <c r="BO227" i="1"/>
  <c r="BA227" i="1"/>
  <c r="AL227" i="1"/>
  <c r="AJ227" i="1"/>
  <c r="CC226" i="1"/>
  <c r="BO226" i="1"/>
  <c r="BA226" i="1"/>
  <c r="AL226" i="1"/>
  <c r="AJ226" i="1"/>
  <c r="CC225" i="1"/>
  <c r="BO225" i="1"/>
  <c r="BA225" i="1"/>
  <c r="AL225" i="1"/>
  <c r="AJ225" i="1"/>
  <c r="CC224" i="1"/>
  <c r="BO224" i="1"/>
  <c r="BA224" i="1"/>
  <c r="AN224" i="1"/>
  <c r="AL224" i="1"/>
  <c r="AJ224" i="1"/>
  <c r="CC223" i="1"/>
  <c r="BO223" i="1"/>
  <c r="BA223" i="1"/>
  <c r="AN223" i="1"/>
  <c r="AL223" i="1"/>
  <c r="AJ223" i="1"/>
  <c r="AN222" i="1"/>
  <c r="AL222" i="1"/>
  <c r="AM222" i="1" s="1"/>
  <c r="AJ222" i="1"/>
  <c r="AO222" i="1" s="1"/>
  <c r="CC221" i="1"/>
  <c r="BO221" i="1"/>
  <c r="BA221" i="1"/>
  <c r="AL221" i="1"/>
  <c r="AJ221" i="1"/>
  <c r="CC220" i="1"/>
  <c r="BO220" i="1"/>
  <c r="BA220" i="1"/>
  <c r="AN220" i="1"/>
  <c r="AL220" i="1"/>
  <c r="AJ220" i="1"/>
  <c r="CC219" i="1"/>
  <c r="BO219" i="1"/>
  <c r="BA219" i="1"/>
  <c r="AN219" i="1"/>
  <c r="AL219" i="1"/>
  <c r="AJ219" i="1"/>
  <c r="CC218" i="1"/>
  <c r="BO218" i="1"/>
  <c r="BA218" i="1"/>
  <c r="AN218" i="1"/>
  <c r="AL218" i="1"/>
  <c r="AJ218" i="1"/>
  <c r="CC217" i="1"/>
  <c r="BO217" i="1"/>
  <c r="BA217" i="1"/>
  <c r="AN217" i="1"/>
  <c r="AL217" i="1"/>
  <c r="AJ217" i="1"/>
  <c r="AN216" i="1"/>
  <c r="AL216" i="1"/>
  <c r="AJ216" i="1"/>
  <c r="CC215" i="1"/>
  <c r="BO215" i="1"/>
  <c r="BA215" i="1"/>
  <c r="AL215" i="1"/>
  <c r="AJ215" i="1"/>
  <c r="CC214" i="1"/>
  <c r="BO214" i="1"/>
  <c r="BA214" i="1"/>
  <c r="AL214" i="1"/>
  <c r="AJ214" i="1"/>
  <c r="CC213" i="1"/>
  <c r="BO213" i="1"/>
  <c r="BA213" i="1"/>
  <c r="AL213" i="1"/>
  <c r="AJ213" i="1"/>
  <c r="CC212" i="1"/>
  <c r="BO212" i="1"/>
  <c r="BA212" i="1"/>
  <c r="AL212" i="1"/>
  <c r="AJ212" i="1"/>
  <c r="CC211" i="1"/>
  <c r="BO211" i="1"/>
  <c r="BA211" i="1"/>
  <c r="AL211" i="1"/>
  <c r="AJ211" i="1"/>
  <c r="CC210" i="1"/>
  <c r="BO210" i="1"/>
  <c r="BA210" i="1"/>
  <c r="AL210" i="1"/>
  <c r="AJ210" i="1"/>
  <c r="CC209" i="1"/>
  <c r="BO209" i="1"/>
  <c r="BA209" i="1"/>
  <c r="AN209" i="1"/>
  <c r="AL209" i="1"/>
  <c r="AM209" i="1" s="1"/>
  <c r="AJ209" i="1"/>
  <c r="CC208" i="1"/>
  <c r="BO208" i="1"/>
  <c r="BA208" i="1"/>
  <c r="AL208" i="1"/>
  <c r="AJ208" i="1"/>
  <c r="CC207" i="1"/>
  <c r="BO207" i="1"/>
  <c r="BA207" i="1"/>
  <c r="AL207" i="1"/>
  <c r="AJ207" i="1"/>
  <c r="CC206" i="1"/>
  <c r="BO206" i="1"/>
  <c r="BA206" i="1"/>
  <c r="AL206" i="1"/>
  <c r="AJ206" i="1"/>
  <c r="CC205" i="1"/>
  <c r="BO205" i="1"/>
  <c r="BA205" i="1"/>
  <c r="AL205" i="1"/>
  <c r="AJ205" i="1"/>
  <c r="CC204" i="1"/>
  <c r="BO204" i="1"/>
  <c r="BA204" i="1"/>
  <c r="AL204" i="1"/>
  <c r="AJ204" i="1"/>
  <c r="CC203" i="1"/>
  <c r="BO203" i="1"/>
  <c r="BA203" i="1"/>
  <c r="AN203" i="1"/>
  <c r="AL203" i="1"/>
  <c r="AJ203" i="1"/>
  <c r="CC202" i="1"/>
  <c r="BO202" i="1"/>
  <c r="AN202" i="1"/>
  <c r="AL202" i="1"/>
  <c r="AJ202" i="1"/>
  <c r="CC201" i="1"/>
  <c r="BO201" i="1"/>
  <c r="BA201" i="1"/>
  <c r="AN201" i="1"/>
  <c r="AL201" i="1"/>
  <c r="AJ201" i="1"/>
  <c r="CC200" i="1"/>
  <c r="BO200" i="1"/>
  <c r="BA200" i="1"/>
  <c r="AN200" i="1"/>
  <c r="AL200" i="1"/>
  <c r="AM200" i="1" s="1"/>
  <c r="AJ200" i="1"/>
  <c r="AO200" i="1" s="1"/>
  <c r="CC199" i="1"/>
  <c r="BO199" i="1"/>
  <c r="BA199" i="1"/>
  <c r="AL199" i="1"/>
  <c r="AJ199" i="1"/>
  <c r="CC198" i="1"/>
  <c r="BO198" i="1"/>
  <c r="BA198" i="1"/>
  <c r="AN198" i="1"/>
  <c r="AL198" i="1"/>
  <c r="AJ198" i="1"/>
  <c r="CC197" i="1"/>
  <c r="BO197" i="1"/>
  <c r="BA197" i="1"/>
  <c r="AN197" i="1"/>
  <c r="AL197" i="1"/>
  <c r="AJ197" i="1"/>
  <c r="CC196" i="1"/>
  <c r="BO196" i="1"/>
  <c r="BA196" i="1"/>
  <c r="AN196" i="1"/>
  <c r="AL196" i="1"/>
  <c r="AJ196" i="1"/>
  <c r="CC195" i="1"/>
  <c r="BO195" i="1"/>
  <c r="BA195" i="1"/>
  <c r="AL195" i="1"/>
  <c r="AJ195" i="1"/>
  <c r="CC194" i="1"/>
  <c r="BO194" i="1"/>
  <c r="BA194" i="1"/>
  <c r="AN194" i="1"/>
  <c r="AL194" i="1"/>
  <c r="AM194" i="1" s="1"/>
  <c r="AJ194" i="1"/>
  <c r="AO194" i="1" s="1"/>
  <c r="CC193" i="1"/>
  <c r="BO193" i="1"/>
  <c r="BA193" i="1"/>
  <c r="AL193" i="1"/>
  <c r="AJ193" i="1"/>
  <c r="CC192" i="1"/>
  <c r="BO192" i="1"/>
  <c r="BA192" i="1"/>
  <c r="AL192" i="1"/>
  <c r="AJ192" i="1"/>
  <c r="CC191" i="1"/>
  <c r="BO191" i="1"/>
  <c r="BA191" i="1"/>
  <c r="AL191" i="1"/>
  <c r="AJ191" i="1"/>
  <c r="CC190" i="1"/>
  <c r="BO190" i="1"/>
  <c r="BA190" i="1"/>
  <c r="AL190" i="1"/>
  <c r="AJ190" i="1"/>
  <c r="CC189" i="1"/>
  <c r="BO189" i="1"/>
  <c r="BA189" i="1"/>
  <c r="AL189" i="1"/>
  <c r="AJ189" i="1"/>
  <c r="AO189" i="1" s="1"/>
  <c r="CC188" i="1"/>
  <c r="BO188" i="1"/>
  <c r="BA188" i="1"/>
  <c r="AL188" i="1"/>
  <c r="AJ188" i="1"/>
  <c r="CC187" i="1"/>
  <c r="BO187" i="1"/>
  <c r="BA187" i="1"/>
  <c r="AL187" i="1"/>
  <c r="AJ187" i="1"/>
  <c r="CC186" i="1"/>
  <c r="BO186" i="1"/>
  <c r="BA186" i="1"/>
  <c r="AL186" i="1"/>
  <c r="AJ186" i="1"/>
  <c r="CC185" i="1"/>
  <c r="BO185" i="1"/>
  <c r="BA185" i="1"/>
  <c r="AL185" i="1"/>
  <c r="AJ185" i="1"/>
  <c r="CC184" i="1"/>
  <c r="BO184" i="1"/>
  <c r="BA184" i="1"/>
  <c r="AL184" i="1"/>
  <c r="AJ184" i="1"/>
  <c r="CC183" i="1"/>
  <c r="BO183" i="1"/>
  <c r="BA183" i="1"/>
  <c r="AN183" i="1"/>
  <c r="AL183" i="1"/>
  <c r="AJ183" i="1"/>
  <c r="CC182" i="1"/>
  <c r="BO182" i="1"/>
  <c r="BA182" i="1"/>
  <c r="AN182" i="1"/>
  <c r="AL182" i="1"/>
  <c r="AJ182" i="1"/>
  <c r="CC181" i="1"/>
  <c r="BO181" i="1"/>
  <c r="BA181" i="1"/>
  <c r="AN181" i="1"/>
  <c r="AL181" i="1"/>
  <c r="AJ181" i="1"/>
  <c r="CC180" i="1"/>
  <c r="BO180" i="1"/>
  <c r="BA180" i="1"/>
  <c r="AN180" i="1"/>
  <c r="AL180" i="1"/>
  <c r="AM180" i="1" s="1"/>
  <c r="AJ180" i="1"/>
  <c r="AO180" i="1" s="1"/>
  <c r="CC179" i="1"/>
  <c r="BO179" i="1"/>
  <c r="BA179" i="1"/>
  <c r="AL179" i="1"/>
  <c r="AJ179" i="1"/>
  <c r="AO179" i="1" s="1"/>
  <c r="CC178" i="1"/>
  <c r="BO178" i="1"/>
  <c r="BA178" i="1"/>
  <c r="AL178" i="1"/>
  <c r="AM178" i="1" s="1"/>
  <c r="AJ178" i="1"/>
  <c r="CC177" i="1"/>
  <c r="BO177" i="1"/>
  <c r="BA177" i="1"/>
  <c r="AL177" i="1"/>
  <c r="AJ177" i="1"/>
  <c r="CC176" i="1"/>
  <c r="BO176" i="1"/>
  <c r="BA176" i="1"/>
  <c r="AL176" i="1"/>
  <c r="AJ176" i="1"/>
  <c r="CC175" i="1"/>
  <c r="BO175" i="1"/>
  <c r="BA175" i="1"/>
  <c r="AL175" i="1"/>
  <c r="AJ175" i="1"/>
  <c r="CC174" i="1"/>
  <c r="BO174" i="1"/>
  <c r="BA174" i="1"/>
  <c r="AN174" i="1"/>
  <c r="AL174" i="1"/>
  <c r="AM174" i="1" s="1"/>
  <c r="AJ174" i="1"/>
  <c r="CC173" i="1"/>
  <c r="BO173" i="1"/>
  <c r="BA173" i="1"/>
  <c r="AL173" i="1"/>
  <c r="AJ173" i="1"/>
  <c r="CC172" i="1"/>
  <c r="BO172" i="1"/>
  <c r="BA172" i="1"/>
  <c r="AL172" i="1"/>
  <c r="AJ172" i="1"/>
  <c r="CC171" i="1"/>
  <c r="BO171" i="1"/>
  <c r="BA171" i="1"/>
  <c r="AL171" i="1"/>
  <c r="AJ171" i="1"/>
  <c r="CC170" i="1"/>
  <c r="BO170" i="1"/>
  <c r="BA170" i="1"/>
  <c r="AL170" i="1"/>
  <c r="AJ170" i="1"/>
  <c r="CC169" i="1"/>
  <c r="BO169" i="1"/>
  <c r="BA169" i="1"/>
  <c r="AL169" i="1"/>
  <c r="AJ169" i="1"/>
  <c r="CC168" i="1"/>
  <c r="BO168" i="1"/>
  <c r="BA168" i="1"/>
  <c r="AN168" i="1"/>
  <c r="AL168" i="1"/>
  <c r="AM168" i="1" s="1"/>
  <c r="AJ168" i="1"/>
  <c r="CC167" i="1"/>
  <c r="BO167" i="1"/>
  <c r="BA167" i="1"/>
  <c r="AL167" i="1"/>
  <c r="AJ167" i="1"/>
  <c r="AO167" i="1" s="1"/>
  <c r="CC166" i="1"/>
  <c r="BO166" i="1"/>
  <c r="BA166" i="1"/>
  <c r="AL166" i="1"/>
  <c r="AJ166" i="1"/>
  <c r="AO166" i="1" s="1"/>
  <c r="CC165" i="1"/>
  <c r="BO165" i="1"/>
  <c r="BA165" i="1"/>
  <c r="AL165" i="1"/>
  <c r="AJ165" i="1"/>
  <c r="CC164" i="1"/>
  <c r="BO164" i="1"/>
  <c r="BA164" i="1"/>
  <c r="AL164" i="1"/>
  <c r="AM164" i="1" s="1"/>
  <c r="AJ164" i="1"/>
  <c r="CC163" i="1"/>
  <c r="BO163" i="1"/>
  <c r="BA163" i="1"/>
  <c r="AL163" i="1"/>
  <c r="AM163" i="1" s="1"/>
  <c r="AJ163" i="1"/>
  <c r="CC162" i="1"/>
  <c r="BO162" i="1"/>
  <c r="BA162" i="1"/>
  <c r="AL162" i="1"/>
  <c r="AM162" i="1" s="1"/>
  <c r="AJ162" i="1"/>
  <c r="CC161" i="1"/>
  <c r="BO161" i="1"/>
  <c r="BA161" i="1"/>
  <c r="AL161" i="1"/>
  <c r="AM161" i="1" s="1"/>
  <c r="AJ161" i="1"/>
  <c r="CC160" i="1"/>
  <c r="BO160" i="1"/>
  <c r="BA160" i="1"/>
  <c r="AL160" i="1"/>
  <c r="AM160" i="1" s="1"/>
  <c r="AJ160" i="1"/>
  <c r="AK160" i="1" s="1"/>
  <c r="CC159" i="1"/>
  <c r="BO159" i="1"/>
  <c r="BA159" i="1"/>
  <c r="AL159" i="1"/>
  <c r="AM159" i="1" s="1"/>
  <c r="AJ159" i="1"/>
  <c r="CC158" i="1"/>
  <c r="BO158" i="1"/>
  <c r="BA158" i="1"/>
  <c r="AL158" i="1"/>
  <c r="AM158" i="1" s="1"/>
  <c r="AJ158" i="1"/>
  <c r="CC157" i="1"/>
  <c r="BO157" i="1"/>
  <c r="BA157" i="1"/>
  <c r="AL157" i="1"/>
  <c r="AM157" i="1" s="1"/>
  <c r="AJ157" i="1"/>
  <c r="AK157" i="1" s="1"/>
  <c r="CC156" i="1"/>
  <c r="BO156" i="1"/>
  <c r="BA156" i="1"/>
  <c r="AL156" i="1"/>
  <c r="AM156" i="1" s="1"/>
  <c r="AJ156" i="1"/>
  <c r="CC155" i="1"/>
  <c r="BO155" i="1"/>
  <c r="BA155" i="1"/>
  <c r="AL155" i="1"/>
  <c r="AM155" i="1" s="1"/>
  <c r="AJ155" i="1"/>
  <c r="AK155" i="1" s="1"/>
  <c r="CC154" i="1"/>
  <c r="BO154" i="1"/>
  <c r="BA154" i="1"/>
  <c r="AL154" i="1"/>
  <c r="AM154" i="1" s="1"/>
  <c r="AJ154" i="1"/>
  <c r="CC153" i="1"/>
  <c r="BO153" i="1"/>
  <c r="BA153" i="1"/>
  <c r="AL153" i="1"/>
  <c r="AM153" i="1" s="1"/>
  <c r="AJ153" i="1"/>
  <c r="CC152" i="1"/>
  <c r="BO152" i="1"/>
  <c r="BA152" i="1"/>
  <c r="AL152" i="1"/>
  <c r="AM152" i="1" s="1"/>
  <c r="AJ152" i="1"/>
  <c r="CC151" i="1"/>
  <c r="BO151" i="1"/>
  <c r="BA151" i="1"/>
  <c r="AL151" i="1"/>
  <c r="AM151" i="1" s="1"/>
  <c r="AJ151" i="1"/>
  <c r="AK151" i="1" s="1"/>
  <c r="CC150" i="1"/>
  <c r="BO150" i="1"/>
  <c r="BA150" i="1"/>
  <c r="AL150" i="1"/>
  <c r="AM150" i="1" s="1"/>
  <c r="AJ150" i="1"/>
  <c r="CC149" i="1"/>
  <c r="BO149" i="1"/>
  <c r="BA149" i="1"/>
  <c r="AL149" i="1"/>
  <c r="AJ149" i="1"/>
  <c r="AO149" i="1" s="1"/>
  <c r="CC148" i="1"/>
  <c r="BO148" i="1"/>
  <c r="BA148" i="1"/>
  <c r="AL148" i="1"/>
  <c r="AM148" i="1" s="1"/>
  <c r="AJ148" i="1"/>
  <c r="CC147" i="1"/>
  <c r="BO147" i="1"/>
  <c r="BA147" i="1"/>
  <c r="AL147" i="1"/>
  <c r="AM147" i="1" s="1"/>
  <c r="AJ147" i="1"/>
  <c r="CC146" i="1"/>
  <c r="BO146" i="1"/>
  <c r="BA146" i="1"/>
  <c r="AL146" i="1"/>
  <c r="AJ146" i="1"/>
  <c r="AO146" i="1" s="1"/>
  <c r="CC145" i="1"/>
  <c r="BO145" i="1"/>
  <c r="BA145" i="1"/>
  <c r="AL145" i="1"/>
  <c r="AJ145" i="1"/>
  <c r="AO145" i="1" s="1"/>
  <c r="CC144" i="1"/>
  <c r="BO144" i="1"/>
  <c r="BA144" i="1"/>
  <c r="AL144" i="1"/>
  <c r="AJ144" i="1"/>
  <c r="AO144" i="1" s="1"/>
  <c r="CC143" i="1"/>
  <c r="BO143" i="1"/>
  <c r="BA143" i="1"/>
  <c r="AL143" i="1"/>
  <c r="AJ143" i="1"/>
  <c r="AO143" i="1" s="1"/>
  <c r="CC142" i="1"/>
  <c r="BO142" i="1"/>
  <c r="BA142" i="1"/>
  <c r="AL142" i="1"/>
  <c r="AJ142" i="1"/>
  <c r="AK142" i="1" s="1"/>
  <c r="CC141" i="1"/>
  <c r="BO141" i="1"/>
  <c r="BA141" i="1"/>
  <c r="AL141" i="1"/>
  <c r="AJ141" i="1"/>
  <c r="AK141" i="1" s="1"/>
  <c r="CC140" i="1"/>
  <c r="BO140" i="1"/>
  <c r="BA140" i="1"/>
  <c r="AL140" i="1"/>
  <c r="AJ140" i="1"/>
  <c r="CC139" i="1"/>
  <c r="BO139" i="1"/>
  <c r="BA139" i="1"/>
  <c r="AL139" i="1"/>
  <c r="AJ139" i="1"/>
  <c r="CC138" i="1"/>
  <c r="BO138" i="1"/>
  <c r="BA138" i="1"/>
  <c r="AL138" i="1"/>
  <c r="AM138" i="1" s="1"/>
  <c r="AJ138" i="1"/>
  <c r="CC137" i="1"/>
  <c r="BO137" i="1"/>
  <c r="BA137" i="1"/>
  <c r="AN137" i="1"/>
  <c r="AL137" i="1"/>
  <c r="AM137" i="1" s="1"/>
  <c r="AJ137" i="1"/>
  <c r="CC136" i="1"/>
  <c r="BO136" i="1"/>
  <c r="BA136" i="1"/>
  <c r="AL136" i="1"/>
  <c r="AJ136" i="1"/>
  <c r="CC135" i="1"/>
  <c r="BO135" i="1"/>
  <c r="BA135" i="1"/>
  <c r="AL135" i="1"/>
  <c r="AM135" i="1" s="1"/>
  <c r="AJ135" i="1"/>
  <c r="AO135" i="1" s="1"/>
  <c r="CC134" i="1"/>
  <c r="BO134" i="1"/>
  <c r="BA134" i="1"/>
  <c r="AL134" i="1"/>
  <c r="AM134" i="1" s="1"/>
  <c r="AJ134" i="1"/>
  <c r="AK134" i="1" s="1"/>
  <c r="CC133" i="1"/>
  <c r="BO133" i="1"/>
  <c r="BA133" i="1"/>
  <c r="AL133" i="1"/>
  <c r="AM133" i="1" s="1"/>
  <c r="AJ133" i="1"/>
  <c r="AK133" i="1" s="1"/>
  <c r="CC132" i="1"/>
  <c r="BO132" i="1"/>
  <c r="BA132" i="1"/>
  <c r="AL132" i="1"/>
  <c r="AM132" i="1" s="1"/>
  <c r="AJ132" i="1"/>
  <c r="AK132" i="1" s="1"/>
  <c r="CC131" i="1"/>
  <c r="BO131" i="1"/>
  <c r="BA131" i="1"/>
  <c r="AL131" i="1"/>
  <c r="AM131" i="1" s="1"/>
  <c r="AJ131" i="1"/>
  <c r="AK131" i="1" s="1"/>
  <c r="CC130" i="1"/>
  <c r="BO130" i="1"/>
  <c r="BA130" i="1"/>
  <c r="AL130" i="1"/>
  <c r="AM130" i="1" s="1"/>
  <c r="AJ130" i="1"/>
  <c r="AK130" i="1" s="1"/>
  <c r="CC129" i="1"/>
  <c r="BO129" i="1"/>
  <c r="BA129" i="1"/>
  <c r="AL129" i="1"/>
  <c r="AM129" i="1" s="1"/>
  <c r="AJ129" i="1"/>
  <c r="CC128" i="1"/>
  <c r="BO128" i="1"/>
  <c r="BA128" i="1"/>
  <c r="AL128" i="1"/>
  <c r="AM128" i="1" s="1"/>
  <c r="AJ128" i="1"/>
  <c r="CC127" i="1"/>
  <c r="BO127" i="1"/>
  <c r="BA127" i="1"/>
  <c r="AL127" i="1"/>
  <c r="AM127" i="1" s="1"/>
  <c r="AJ127" i="1"/>
  <c r="AO127" i="1" s="1"/>
  <c r="CC126" i="1"/>
  <c r="BO126" i="1"/>
  <c r="BA126" i="1"/>
  <c r="AL126" i="1"/>
  <c r="AM126" i="1" s="1"/>
  <c r="AJ126" i="1"/>
  <c r="AO126" i="1" s="1"/>
  <c r="CC125" i="1"/>
  <c r="BO125" i="1"/>
  <c r="BA125" i="1"/>
  <c r="AL125" i="1"/>
  <c r="AM125" i="1" s="1"/>
  <c r="AJ125" i="1"/>
  <c r="AO125" i="1" s="1"/>
  <c r="CC124" i="1"/>
  <c r="BO124" i="1"/>
  <c r="BA124" i="1"/>
  <c r="AL124" i="1"/>
  <c r="AM124" i="1" s="1"/>
  <c r="AJ124" i="1"/>
  <c r="CC123" i="1"/>
  <c r="BO123" i="1"/>
  <c r="BA123" i="1"/>
  <c r="AL123" i="1"/>
  <c r="AM123" i="1" s="1"/>
  <c r="AJ123" i="1"/>
  <c r="CC122" i="1"/>
  <c r="BO122" i="1"/>
  <c r="BA122" i="1"/>
  <c r="AL122" i="1"/>
  <c r="AM122" i="1" s="1"/>
  <c r="AJ122" i="1"/>
  <c r="CC121" i="1"/>
  <c r="BO121" i="1"/>
  <c r="BA121" i="1"/>
  <c r="AL121" i="1"/>
  <c r="AM121" i="1" s="1"/>
  <c r="AJ121" i="1"/>
  <c r="CC120" i="1"/>
  <c r="BO120" i="1"/>
  <c r="BA120" i="1"/>
  <c r="AL120" i="1"/>
  <c r="AM120" i="1" s="1"/>
  <c r="AJ120" i="1"/>
  <c r="CC119" i="1"/>
  <c r="BO119" i="1"/>
  <c r="BA119" i="1"/>
  <c r="AL119" i="1"/>
  <c r="AJ119" i="1"/>
  <c r="CC118" i="1"/>
  <c r="BO118" i="1"/>
  <c r="BA118" i="1"/>
  <c r="AL118" i="1"/>
  <c r="AJ118" i="1"/>
  <c r="CC117" i="1"/>
  <c r="BO117" i="1"/>
  <c r="BA117" i="1"/>
  <c r="AL117" i="1"/>
  <c r="AJ117" i="1"/>
  <c r="CC116" i="1"/>
  <c r="BO116" i="1"/>
  <c r="BA116" i="1"/>
  <c r="AL116" i="1"/>
  <c r="AJ116" i="1"/>
  <c r="CC115" i="1"/>
  <c r="BO115" i="1"/>
  <c r="BA115" i="1"/>
  <c r="AL115" i="1"/>
  <c r="AJ115" i="1"/>
  <c r="CC114" i="1"/>
  <c r="BO114" i="1"/>
  <c r="BA114" i="1"/>
  <c r="AL114" i="1"/>
  <c r="AM114" i="1" s="1"/>
  <c r="AJ114" i="1"/>
  <c r="AK114" i="1" s="1"/>
  <c r="CC113" i="1"/>
  <c r="BO113" i="1"/>
  <c r="BA113" i="1"/>
  <c r="AL113" i="1"/>
  <c r="AM113" i="1" s="1"/>
  <c r="AJ113" i="1"/>
  <c r="AK113" i="1" s="1"/>
  <c r="CC112" i="1"/>
  <c r="BO112" i="1"/>
  <c r="BA112" i="1"/>
  <c r="AO112" i="1"/>
  <c r="AL112" i="1"/>
  <c r="AJ112" i="1"/>
  <c r="CC111" i="1"/>
  <c r="BO111" i="1"/>
  <c r="BA111" i="1"/>
  <c r="AL111" i="1"/>
  <c r="AM111" i="1" s="1"/>
  <c r="AJ111" i="1"/>
  <c r="CC110" i="1"/>
  <c r="BO110" i="1"/>
  <c r="BA110" i="1"/>
  <c r="AL110" i="1"/>
  <c r="AM110" i="1" s="1"/>
  <c r="AJ110" i="1"/>
  <c r="CC109" i="1"/>
  <c r="BO109" i="1"/>
  <c r="BA109" i="1"/>
  <c r="AL109" i="1"/>
  <c r="AM109" i="1" s="1"/>
  <c r="AJ109" i="1"/>
  <c r="CC108" i="1"/>
  <c r="BO108" i="1"/>
  <c r="BA108" i="1"/>
  <c r="AL108" i="1"/>
  <c r="AM108" i="1" s="1"/>
  <c r="AJ108" i="1"/>
  <c r="CC107" i="1"/>
  <c r="BO107" i="1"/>
  <c r="BA107" i="1"/>
  <c r="AL107" i="1"/>
  <c r="AJ107" i="1"/>
  <c r="CC106" i="1"/>
  <c r="BO106" i="1"/>
  <c r="BA106" i="1"/>
  <c r="AL106" i="1"/>
  <c r="AM106" i="1" s="1"/>
  <c r="AJ106" i="1"/>
  <c r="AK106" i="1" s="1"/>
  <c r="CC105" i="1"/>
  <c r="BO105" i="1"/>
  <c r="BA105" i="1"/>
  <c r="AL105" i="1"/>
  <c r="AM105" i="1" s="1"/>
  <c r="AJ105" i="1"/>
  <c r="AK105" i="1" s="1"/>
  <c r="CC104" i="1"/>
  <c r="BO104" i="1"/>
  <c r="BA104" i="1"/>
  <c r="AL104" i="1"/>
  <c r="AJ104" i="1"/>
  <c r="CC103" i="1"/>
  <c r="BO103" i="1"/>
  <c r="BA103" i="1"/>
  <c r="AL103" i="1"/>
  <c r="AM103" i="1" s="1"/>
  <c r="AJ103" i="1"/>
  <c r="AK103" i="1" s="1"/>
  <c r="CC102" i="1"/>
  <c r="BO102" i="1"/>
  <c r="BA102" i="1"/>
  <c r="AL102" i="1"/>
  <c r="AM102" i="1" s="1"/>
  <c r="AJ102" i="1"/>
  <c r="AK102" i="1" s="1"/>
  <c r="CC101" i="1"/>
  <c r="BO101" i="1"/>
  <c r="BA101" i="1"/>
  <c r="AL101" i="1"/>
  <c r="AM101" i="1" s="1"/>
  <c r="AJ101" i="1"/>
  <c r="CC100" i="1"/>
  <c r="BO100" i="1"/>
  <c r="BA100" i="1"/>
  <c r="AL100" i="1"/>
  <c r="AJ100" i="1"/>
  <c r="CC99" i="1"/>
  <c r="BO99" i="1"/>
  <c r="BA99" i="1"/>
  <c r="AL99" i="1"/>
  <c r="AM99" i="1" s="1"/>
  <c r="AJ99" i="1"/>
  <c r="CC98" i="1"/>
  <c r="BO98" i="1"/>
  <c r="BA98" i="1"/>
  <c r="AL98" i="1"/>
  <c r="AJ98" i="1"/>
  <c r="AK98" i="1" s="1"/>
  <c r="CC97" i="1"/>
  <c r="BO97" i="1"/>
  <c r="BA97" i="1"/>
  <c r="AL97" i="1"/>
  <c r="AM97" i="1" s="1"/>
  <c r="AJ97" i="1"/>
  <c r="AO97" i="1" s="1"/>
  <c r="CC96" i="1"/>
  <c r="BO96" i="1"/>
  <c r="BA96" i="1"/>
  <c r="AN96" i="1"/>
  <c r="AL96" i="1"/>
  <c r="AM96" i="1" s="1"/>
  <c r="AJ96" i="1"/>
  <c r="AO96" i="1" s="1"/>
  <c r="CC95" i="1"/>
  <c r="BO95" i="1"/>
  <c r="BA95" i="1"/>
  <c r="AL95" i="1"/>
  <c r="AM95" i="1" s="1"/>
  <c r="AJ95" i="1"/>
  <c r="CC94" i="1"/>
  <c r="BO94" i="1"/>
  <c r="BA94" i="1"/>
  <c r="AL94" i="1"/>
  <c r="AM94" i="1" s="1"/>
  <c r="AJ94" i="1"/>
  <c r="CC93" i="1"/>
  <c r="BO93" i="1"/>
  <c r="BA93" i="1"/>
  <c r="AL93" i="1"/>
  <c r="AM93" i="1" s="1"/>
  <c r="AJ93" i="1"/>
  <c r="AK93" i="1" s="1"/>
  <c r="CC92" i="1"/>
  <c r="BO92" i="1"/>
  <c r="BA92" i="1"/>
  <c r="AL92" i="1"/>
  <c r="AM92" i="1" s="1"/>
  <c r="AJ92" i="1"/>
  <c r="AK92" i="1" s="1"/>
  <c r="CC91" i="1"/>
  <c r="BO91" i="1"/>
  <c r="BA91" i="1"/>
  <c r="AL91" i="1"/>
  <c r="AM91" i="1" s="1"/>
  <c r="AJ91" i="1"/>
  <c r="CC90" i="1"/>
  <c r="BO90" i="1"/>
  <c r="BA90" i="1"/>
  <c r="AL90" i="1"/>
  <c r="AJ90" i="1"/>
  <c r="AK90" i="1" s="1"/>
  <c r="CC89" i="1"/>
  <c r="BO89" i="1"/>
  <c r="BA89" i="1"/>
  <c r="AL89" i="1"/>
  <c r="AM89" i="1" s="1"/>
  <c r="AJ89" i="1"/>
  <c r="AK89" i="1" s="1"/>
  <c r="CC88" i="1"/>
  <c r="BO88" i="1"/>
  <c r="BA88" i="1"/>
  <c r="AL88" i="1"/>
  <c r="AJ88" i="1"/>
  <c r="AK88" i="1" s="1"/>
  <c r="CC87" i="1"/>
  <c r="BO87" i="1"/>
  <c r="BA87" i="1"/>
  <c r="AL87" i="1"/>
  <c r="AM87" i="1" s="1"/>
  <c r="AJ87" i="1"/>
  <c r="CC86" i="1"/>
  <c r="BO86" i="1"/>
  <c r="BA86" i="1"/>
  <c r="AL86" i="1"/>
  <c r="AJ86" i="1"/>
  <c r="CC85" i="1"/>
  <c r="BO85" i="1"/>
  <c r="BA85" i="1"/>
  <c r="AL85" i="1"/>
  <c r="AJ85" i="1"/>
  <c r="CC84" i="1"/>
  <c r="BO84" i="1"/>
  <c r="BA84" i="1"/>
  <c r="AL84" i="1"/>
  <c r="AM84" i="1" s="1"/>
  <c r="AJ84" i="1"/>
  <c r="CC83" i="1"/>
  <c r="BO83" i="1"/>
  <c r="BA83" i="1"/>
  <c r="AL83" i="1"/>
  <c r="AM83" i="1" s="1"/>
  <c r="AJ83" i="1"/>
  <c r="CC82" i="1"/>
  <c r="BO82" i="1"/>
  <c r="BA82" i="1"/>
  <c r="AL82" i="1"/>
  <c r="AJ82" i="1"/>
  <c r="CC81" i="1"/>
  <c r="BO81" i="1"/>
  <c r="BA81" i="1"/>
  <c r="AL81" i="1"/>
  <c r="AJ81" i="1"/>
  <c r="CC80" i="1"/>
  <c r="BO80" i="1"/>
  <c r="BA80" i="1"/>
  <c r="AL80" i="1"/>
  <c r="AM80" i="1" s="1"/>
  <c r="AJ80" i="1"/>
  <c r="CC79" i="1"/>
  <c r="BO79" i="1"/>
  <c r="BA79" i="1"/>
  <c r="AL79" i="1"/>
  <c r="AM79" i="1" s="1"/>
  <c r="AJ79" i="1"/>
  <c r="CC78" i="1"/>
  <c r="BO78" i="1"/>
  <c r="BA78" i="1"/>
  <c r="AL78" i="1"/>
  <c r="AJ78" i="1"/>
  <c r="CC77" i="1"/>
  <c r="BO77" i="1"/>
  <c r="BA77" i="1"/>
  <c r="AL77" i="1"/>
  <c r="AJ77" i="1"/>
  <c r="CC76" i="1"/>
  <c r="BO76" i="1"/>
  <c r="BA76" i="1"/>
  <c r="AL76" i="1"/>
  <c r="AJ76" i="1"/>
  <c r="CC75" i="1"/>
  <c r="BO75" i="1"/>
  <c r="BA75" i="1"/>
  <c r="AL75" i="1"/>
  <c r="AJ75" i="1"/>
  <c r="CC74" i="1"/>
  <c r="BO74" i="1"/>
  <c r="BA74" i="1"/>
  <c r="AO74" i="1"/>
  <c r="AL74" i="1"/>
  <c r="AJ74" i="1"/>
  <c r="CC73" i="1"/>
  <c r="BO73" i="1"/>
  <c r="BA73" i="1"/>
  <c r="AL73" i="1"/>
  <c r="AM73" i="1" s="1"/>
  <c r="AJ73" i="1"/>
  <c r="CC72" i="1"/>
  <c r="BO72" i="1"/>
  <c r="BA72" i="1"/>
  <c r="AL72" i="1"/>
  <c r="AM72" i="1" s="1"/>
  <c r="AJ72" i="1"/>
  <c r="CC71" i="1"/>
  <c r="BO71" i="1"/>
  <c r="BA71" i="1"/>
  <c r="AL71" i="1"/>
  <c r="AJ71" i="1"/>
  <c r="AK71" i="1" s="1"/>
  <c r="CC70" i="1"/>
  <c r="BO70" i="1"/>
  <c r="BA70" i="1"/>
  <c r="AL70" i="1"/>
  <c r="AJ70" i="1"/>
  <c r="AK70" i="1" s="1"/>
  <c r="CC69" i="1"/>
  <c r="BO69" i="1"/>
  <c r="BA69" i="1"/>
  <c r="AL69" i="1"/>
  <c r="AM69" i="1" s="1"/>
  <c r="AJ69" i="1"/>
  <c r="AK69" i="1" s="1"/>
  <c r="CC68" i="1"/>
  <c r="BO68" i="1"/>
  <c r="BA68" i="1"/>
  <c r="AL68" i="1"/>
  <c r="AM68" i="1" s="1"/>
  <c r="AJ68" i="1"/>
  <c r="AK68" i="1" s="1"/>
  <c r="CC67" i="1"/>
  <c r="BO67" i="1"/>
  <c r="BA67" i="1"/>
  <c r="AL67" i="1"/>
  <c r="AJ67" i="1"/>
  <c r="AK67" i="1" s="1"/>
  <c r="CC66" i="1"/>
  <c r="BO66" i="1"/>
  <c r="BA66" i="1"/>
  <c r="AL66" i="1"/>
  <c r="AJ66" i="1"/>
  <c r="AK66" i="1" s="1"/>
  <c r="CC65" i="1"/>
  <c r="BO65" i="1"/>
  <c r="BA65" i="1"/>
  <c r="AL65" i="1"/>
  <c r="AJ65" i="1"/>
  <c r="AK65" i="1" s="1"/>
  <c r="CC64" i="1"/>
  <c r="BO64" i="1"/>
  <c r="BA64" i="1"/>
  <c r="AL64" i="1"/>
  <c r="AM64" i="1" s="1"/>
  <c r="AJ64" i="1"/>
  <c r="AK64" i="1" s="1"/>
  <c r="CC63" i="1"/>
  <c r="BO63" i="1"/>
  <c r="BA63" i="1"/>
  <c r="AL63" i="1"/>
  <c r="AM63" i="1" s="1"/>
  <c r="AJ63" i="1"/>
  <c r="CC62" i="1"/>
  <c r="BO62" i="1"/>
  <c r="BA62" i="1"/>
  <c r="AL62" i="1"/>
  <c r="AM62" i="1" s="1"/>
  <c r="AJ62" i="1"/>
  <c r="CC61" i="1"/>
  <c r="BO61" i="1"/>
  <c r="BA61" i="1"/>
  <c r="AL61" i="1"/>
  <c r="AJ61" i="1"/>
  <c r="AK61" i="1" s="1"/>
  <c r="CC60" i="1"/>
  <c r="BO60" i="1"/>
  <c r="BA60" i="1"/>
  <c r="AL60" i="1"/>
  <c r="AM60" i="1" s="1"/>
  <c r="AJ60" i="1"/>
  <c r="AK60" i="1" s="1"/>
  <c r="CC59" i="1"/>
  <c r="BO59" i="1"/>
  <c r="BA59" i="1"/>
  <c r="AL59" i="1"/>
  <c r="AJ59" i="1"/>
  <c r="AK59" i="1" s="1"/>
  <c r="CC58" i="1"/>
  <c r="BO58" i="1"/>
  <c r="BA58" i="1"/>
  <c r="AL58" i="1"/>
  <c r="AM58" i="1" s="1"/>
  <c r="AJ58" i="1"/>
  <c r="CC57" i="1"/>
  <c r="BO57" i="1"/>
  <c r="BA57" i="1"/>
  <c r="AL57" i="1"/>
  <c r="AJ57" i="1"/>
  <c r="CC56" i="1"/>
  <c r="BO56" i="1"/>
  <c r="BA56" i="1"/>
  <c r="AL56" i="1"/>
  <c r="AM56" i="1" s="1"/>
  <c r="AJ56" i="1"/>
  <c r="CC55" i="1"/>
  <c r="BO55" i="1"/>
  <c r="BA55" i="1"/>
  <c r="AL55" i="1"/>
  <c r="AJ55" i="1"/>
  <c r="CC54" i="1"/>
  <c r="BO54" i="1"/>
  <c r="BA54" i="1"/>
  <c r="AL54" i="1"/>
  <c r="AM54" i="1" s="1"/>
  <c r="AJ54" i="1"/>
  <c r="AK54" i="1" s="1"/>
  <c r="CC53" i="1"/>
  <c r="BO53" i="1"/>
  <c r="BA53" i="1"/>
  <c r="AL53" i="1"/>
  <c r="AM53" i="1" s="1"/>
  <c r="AJ53" i="1"/>
  <c r="AK53" i="1" s="1"/>
  <c r="CC52" i="1"/>
  <c r="BO52" i="1"/>
  <c r="BA52" i="1"/>
  <c r="AL52" i="1"/>
  <c r="AM52" i="1" s="1"/>
  <c r="AJ52" i="1"/>
  <c r="CC51" i="1"/>
  <c r="BO51" i="1"/>
  <c r="BA51" i="1"/>
  <c r="AL51" i="1"/>
  <c r="AM51" i="1" s="1"/>
  <c r="AJ51" i="1"/>
  <c r="CC50" i="1"/>
  <c r="BO50" i="1"/>
  <c r="BA50" i="1"/>
  <c r="AL50" i="1"/>
  <c r="AJ50" i="1"/>
  <c r="CC49" i="1"/>
  <c r="BO49" i="1"/>
  <c r="BA49" i="1"/>
  <c r="AL49" i="1"/>
  <c r="AM49" i="1" s="1"/>
  <c r="AJ49" i="1"/>
  <c r="CC48" i="1"/>
  <c r="BO48" i="1"/>
  <c r="BA48" i="1"/>
  <c r="AL48" i="1"/>
  <c r="AM48" i="1" s="1"/>
  <c r="AJ48" i="1"/>
  <c r="CC47" i="1"/>
  <c r="BO47" i="1"/>
  <c r="BA47" i="1"/>
  <c r="AL47" i="1"/>
  <c r="AM47" i="1" s="1"/>
  <c r="AJ47" i="1"/>
  <c r="CC46" i="1"/>
  <c r="BO46" i="1"/>
  <c r="BA46" i="1"/>
  <c r="AL46" i="1"/>
  <c r="AJ46" i="1"/>
  <c r="CC45" i="1"/>
  <c r="BO45" i="1"/>
  <c r="BA45" i="1"/>
  <c r="AL45" i="1"/>
  <c r="AM45" i="1" s="1"/>
  <c r="AJ45" i="1"/>
  <c r="CC44" i="1"/>
  <c r="BO44" i="1"/>
  <c r="BA44" i="1"/>
  <c r="AL44" i="1"/>
  <c r="AJ44" i="1"/>
  <c r="CC43" i="1"/>
  <c r="BO43" i="1"/>
  <c r="BA43" i="1"/>
  <c r="AL43" i="1"/>
  <c r="AJ43" i="1"/>
  <c r="CC42" i="1"/>
  <c r="BO42" i="1"/>
  <c r="BA42" i="1"/>
  <c r="AL42" i="1"/>
  <c r="AJ42" i="1"/>
  <c r="CC41" i="1"/>
  <c r="BO41" i="1"/>
  <c r="BA41" i="1"/>
  <c r="AL41" i="1"/>
  <c r="AM41" i="1" s="1"/>
  <c r="AJ41" i="1"/>
  <c r="CC40" i="1"/>
  <c r="BO40" i="1"/>
  <c r="BA40" i="1"/>
  <c r="AL40" i="1"/>
  <c r="AM40" i="1" s="1"/>
  <c r="AJ40" i="1"/>
  <c r="CC39" i="1"/>
  <c r="BO39" i="1"/>
  <c r="BA39" i="1"/>
  <c r="AL39" i="1"/>
  <c r="AJ39" i="1"/>
  <c r="CC38" i="1"/>
  <c r="BO38" i="1"/>
  <c r="BA38" i="1"/>
  <c r="AL38" i="1"/>
  <c r="AJ38" i="1"/>
  <c r="CC37" i="1"/>
  <c r="BO37" i="1"/>
  <c r="BA37" i="1"/>
  <c r="AL37" i="1"/>
  <c r="AM37" i="1" s="1"/>
  <c r="AJ37" i="1"/>
  <c r="CC36" i="1"/>
  <c r="BO36" i="1"/>
  <c r="BA36" i="1"/>
  <c r="AL36" i="1"/>
  <c r="AJ36" i="1"/>
  <c r="CC35" i="1"/>
  <c r="BO35" i="1"/>
  <c r="BA35" i="1"/>
  <c r="AL35" i="1"/>
  <c r="AM35" i="1" s="1"/>
  <c r="AJ35" i="1"/>
  <c r="CC34" i="1"/>
  <c r="BO34" i="1"/>
  <c r="BA34" i="1"/>
  <c r="AL34" i="1"/>
  <c r="AM34" i="1" s="1"/>
  <c r="AJ34" i="1"/>
  <c r="CC33" i="1"/>
  <c r="BO33" i="1"/>
  <c r="BA33" i="1"/>
  <c r="AL33" i="1"/>
  <c r="AM33" i="1" s="1"/>
  <c r="AJ33" i="1"/>
  <c r="AK33" i="1" s="1"/>
  <c r="CC32" i="1"/>
  <c r="BO32" i="1"/>
  <c r="BA32" i="1"/>
  <c r="AL32" i="1"/>
  <c r="AM32" i="1" s="1"/>
  <c r="AJ32" i="1"/>
  <c r="CC31" i="1"/>
  <c r="BO31" i="1"/>
  <c r="BA31" i="1"/>
  <c r="AL31" i="1"/>
  <c r="AJ31" i="1"/>
  <c r="CC30" i="1"/>
  <c r="BO30" i="1"/>
  <c r="BA30" i="1"/>
  <c r="AL30" i="1"/>
  <c r="AJ30" i="1"/>
  <c r="CC29" i="1"/>
  <c r="BO29" i="1"/>
  <c r="BA29" i="1"/>
  <c r="AL29" i="1"/>
  <c r="AM29" i="1" s="1"/>
  <c r="AJ29" i="1"/>
  <c r="CC28" i="1"/>
  <c r="BO28" i="1"/>
  <c r="BA28" i="1"/>
  <c r="AL28" i="1"/>
  <c r="AJ28" i="1"/>
  <c r="CC27" i="1"/>
  <c r="BO27" i="1"/>
  <c r="BA27" i="1"/>
  <c r="AL27" i="1"/>
  <c r="AM27" i="1" s="1"/>
  <c r="AJ27" i="1"/>
  <c r="CC26" i="1"/>
  <c r="BO26" i="1"/>
  <c r="BA26" i="1"/>
  <c r="AL26" i="1"/>
  <c r="AM26" i="1" s="1"/>
  <c r="AJ26" i="1"/>
  <c r="CC25" i="1"/>
  <c r="BO25" i="1"/>
  <c r="BA25" i="1"/>
  <c r="AL25" i="1"/>
  <c r="AM25" i="1" s="1"/>
  <c r="AJ25" i="1"/>
  <c r="CC24" i="1"/>
  <c r="BO24" i="1"/>
  <c r="BA24" i="1"/>
  <c r="AL24" i="1"/>
  <c r="AJ24" i="1"/>
  <c r="AK24" i="1" s="1"/>
  <c r="CC23" i="1"/>
  <c r="BO23" i="1"/>
  <c r="BA23" i="1"/>
  <c r="AL23" i="1"/>
  <c r="AJ23" i="1"/>
  <c r="AK23" i="1" s="1"/>
  <c r="CC22" i="1"/>
  <c r="BO22" i="1"/>
  <c r="BA22" i="1"/>
  <c r="AL22" i="1"/>
  <c r="AM22" i="1" s="1"/>
  <c r="AJ22" i="1"/>
  <c r="CC21" i="1"/>
  <c r="BO21" i="1"/>
  <c r="BA21" i="1"/>
  <c r="AL21" i="1"/>
  <c r="AM21" i="1" s="1"/>
  <c r="AJ21" i="1"/>
  <c r="CC20" i="1"/>
  <c r="BO20" i="1"/>
  <c r="BA20" i="1"/>
  <c r="AL20" i="1"/>
  <c r="AJ20" i="1"/>
  <c r="AO20" i="1" s="1"/>
  <c r="CC19" i="1"/>
  <c r="BO19" i="1"/>
  <c r="BA19" i="1"/>
  <c r="AL19" i="1"/>
  <c r="AJ19" i="1"/>
  <c r="CC18" i="1"/>
  <c r="BO18" i="1"/>
  <c r="BA18" i="1"/>
  <c r="AL18" i="1"/>
  <c r="AJ18" i="1"/>
  <c r="CC17" i="1"/>
  <c r="BO17" i="1"/>
  <c r="BA17" i="1"/>
  <c r="AL17" i="1"/>
  <c r="AM17" i="1" s="1"/>
  <c r="AJ17" i="1"/>
  <c r="CC16" i="1"/>
  <c r="BO16" i="1"/>
  <c r="BA16" i="1"/>
  <c r="AL16" i="1"/>
  <c r="AJ16" i="1"/>
  <c r="CC15" i="1"/>
  <c r="BO15" i="1"/>
  <c r="BA15" i="1"/>
  <c r="AL15" i="1"/>
  <c r="AJ15" i="1"/>
  <c r="CC14" i="1"/>
  <c r="BO14" i="1"/>
  <c r="BA14" i="1"/>
  <c r="AO14" i="1"/>
  <c r="AL14" i="1"/>
  <c r="AJ14" i="1"/>
  <c r="CC13" i="1"/>
  <c r="BO13" i="1"/>
  <c r="BA13" i="1"/>
  <c r="AL13" i="1"/>
  <c r="AM13" i="1" s="1"/>
  <c r="AJ13" i="1"/>
  <c r="CC12" i="1"/>
  <c r="BO12" i="1"/>
  <c r="BA12" i="1"/>
  <c r="AL12" i="1"/>
  <c r="AM12" i="1" s="1"/>
  <c r="AJ12" i="1"/>
  <c r="CC11" i="1"/>
  <c r="BO11" i="1"/>
  <c r="BA11" i="1"/>
  <c r="AL11" i="1"/>
  <c r="AM11" i="1" s="1"/>
  <c r="AJ11" i="1"/>
  <c r="CC10" i="1"/>
  <c r="BO10" i="1"/>
  <c r="BA10" i="1"/>
  <c r="AL10" i="1"/>
  <c r="AJ10" i="1"/>
  <c r="CC9" i="1"/>
  <c r="BO9" i="1"/>
  <c r="BA9" i="1"/>
  <c r="AL9" i="1"/>
  <c r="AJ9" i="1"/>
  <c r="CC8" i="1"/>
  <c r="BO8" i="1"/>
  <c r="BA8" i="1"/>
  <c r="AL8" i="1"/>
  <c r="AJ8" i="1"/>
  <c r="CC7" i="1"/>
  <c r="BO7" i="1"/>
  <c r="BA7" i="1"/>
  <c r="AL7" i="1"/>
  <c r="AJ7" i="1"/>
  <c r="CC6" i="1"/>
  <c r="BO6" i="1"/>
  <c r="BA6" i="1"/>
  <c r="AL6" i="1"/>
  <c r="AJ6" i="1"/>
  <c r="CC5" i="1"/>
  <c r="BO5" i="1"/>
  <c r="BA5" i="1"/>
  <c r="AO5" i="1"/>
  <c r="AL5" i="1"/>
  <c r="AJ5" i="1"/>
  <c r="AM8" i="1" l="1"/>
  <c r="AO8" i="1" s="1"/>
  <c r="AK11" i="1"/>
  <c r="AO11" i="1" s="1"/>
  <c r="AK13" i="1"/>
  <c r="AO13" i="1" s="1"/>
  <c r="AK17" i="1"/>
  <c r="AO17" i="1" s="1"/>
  <c r="AM19" i="1"/>
  <c r="AO19" i="1" s="1"/>
  <c r="AK21" i="1"/>
  <c r="AO21" i="1" s="1"/>
  <c r="AK22" i="1"/>
  <c r="AO22" i="1" s="1"/>
  <c r="AK25" i="1"/>
  <c r="AO25" i="1" s="1"/>
  <c r="AK26" i="1"/>
  <c r="AO26" i="1" s="1"/>
  <c r="AK27" i="1"/>
  <c r="AO27" i="1" s="1"/>
  <c r="AK29" i="1"/>
  <c r="AO29" i="1" s="1"/>
  <c r="AK32" i="1"/>
  <c r="AO32" i="1" s="1"/>
  <c r="AK34" i="1"/>
  <c r="AO34" i="1" s="1"/>
  <c r="AK35" i="1"/>
  <c r="AO35" i="1" s="1"/>
  <c r="AK36" i="1"/>
  <c r="AO36" i="1" s="1"/>
  <c r="AK37" i="1"/>
  <c r="AO37" i="1" s="1"/>
  <c r="AK39" i="1"/>
  <c r="AO39" i="1" s="1"/>
  <c r="AK40" i="1"/>
  <c r="AO40" i="1" s="1"/>
  <c r="AK41" i="1"/>
  <c r="AO41" i="1" s="1"/>
  <c r="AK45" i="1"/>
  <c r="AO45" i="1" s="1"/>
  <c r="AK46" i="1"/>
  <c r="AO46" i="1" s="1"/>
  <c r="AK47" i="1"/>
  <c r="AO47" i="1" s="1"/>
  <c r="AK48" i="1"/>
  <c r="AO48" i="1" s="1"/>
  <c r="AK49" i="1"/>
  <c r="AO49" i="1" s="1"/>
  <c r="AK50" i="1"/>
  <c r="AO50" i="1" s="1"/>
  <c r="AK51" i="1"/>
  <c r="AO51" i="1" s="1"/>
  <c r="AK52" i="1"/>
  <c r="AO52" i="1" s="1"/>
  <c r="AK55" i="1"/>
  <c r="AO55" i="1" s="1"/>
  <c r="AK56" i="1"/>
  <c r="AO56" i="1" s="1"/>
  <c r="AK58" i="1"/>
  <c r="AO58" i="1" s="1"/>
  <c r="AK62" i="1"/>
  <c r="AO62" i="1" s="1"/>
  <c r="AK63" i="1"/>
  <c r="AO63" i="1" s="1"/>
  <c r="AK72" i="1"/>
  <c r="AO72" i="1" s="1"/>
  <c r="AK73" i="1"/>
  <c r="AO73" i="1" s="1"/>
  <c r="AK79" i="1"/>
  <c r="AO79" i="1" s="1"/>
  <c r="AK80" i="1"/>
  <c r="AO80" i="1" s="1"/>
  <c r="AK81" i="1"/>
  <c r="AO81" i="1" s="1"/>
  <c r="AK82" i="1"/>
  <c r="AO82" i="1" s="1"/>
  <c r="AK83" i="1"/>
  <c r="AO83" i="1" s="1"/>
  <c r="AK84" i="1"/>
  <c r="AO84" i="1" s="1"/>
  <c r="AK87" i="1"/>
  <c r="AO87" i="1" s="1"/>
  <c r="AK91" i="1"/>
  <c r="AO91" i="1" s="1"/>
  <c r="AK94" i="1"/>
  <c r="AO94" i="1" s="1"/>
  <c r="AK95" i="1"/>
  <c r="AO95" i="1" s="1"/>
  <c r="AK99" i="1"/>
  <c r="AO99" i="1" s="1"/>
  <c r="AK100" i="1"/>
  <c r="AO100" i="1" s="1"/>
  <c r="AK101" i="1"/>
  <c r="AO101" i="1" s="1"/>
  <c r="AK107" i="1"/>
  <c r="AO107" i="1" s="1"/>
  <c r="AK108" i="1"/>
  <c r="AO108" i="1" s="1"/>
  <c r="AK109" i="1"/>
  <c r="AO109" i="1" s="1"/>
  <c r="AK110" i="1"/>
  <c r="AO110" i="1" s="1"/>
  <c r="AK111" i="1"/>
  <c r="AO111" i="1" s="1"/>
  <c r="AK115" i="1"/>
  <c r="AO115" i="1" s="1"/>
  <c r="AK116" i="1"/>
  <c r="AO116" i="1" s="1"/>
  <c r="AK117" i="1"/>
  <c r="AO117" i="1" s="1"/>
  <c r="AK118" i="1"/>
  <c r="AO118" i="1" s="1"/>
  <c r="AK119" i="1"/>
  <c r="AO119" i="1" s="1"/>
  <c r="AK120" i="1"/>
  <c r="AO120" i="1" s="1"/>
  <c r="AK121" i="1"/>
  <c r="AO121" i="1" s="1"/>
  <c r="AK122" i="1"/>
  <c r="AO122" i="1" s="1"/>
  <c r="AK123" i="1"/>
  <c r="AO123" i="1" s="1"/>
  <c r="AK124" i="1"/>
  <c r="AO124" i="1" s="1"/>
  <c r="AK128" i="1"/>
  <c r="AO128" i="1" s="1"/>
  <c r="AK129" i="1"/>
  <c r="AO129" i="1" s="1"/>
  <c r="AK137" i="1"/>
  <c r="AO137" i="1" s="1"/>
  <c r="AK138" i="1"/>
  <c r="AO138" i="1" s="1"/>
  <c r="AK139" i="1"/>
  <c r="AO139" i="1" s="1"/>
  <c r="AK140" i="1"/>
  <c r="AO140" i="1" s="1"/>
  <c r="AK147" i="1"/>
  <c r="AO147" i="1" s="1"/>
  <c r="AK148" i="1"/>
  <c r="AO148" i="1" s="1"/>
  <c r="AK150" i="1"/>
  <c r="AO150" i="1" s="1"/>
  <c r="AK152" i="1"/>
  <c r="AO152" i="1" s="1"/>
  <c r="AK153" i="1"/>
  <c r="AO153" i="1" s="1"/>
  <c r="AK154" i="1"/>
  <c r="AO154" i="1" s="1"/>
  <c r="AK156" i="1"/>
  <c r="AO156" i="1" s="1"/>
  <c r="AK162" i="1"/>
  <c r="AO162" i="1" s="1"/>
  <c r="AK163" i="1"/>
  <c r="AO163" i="1" s="1"/>
  <c r="AK164" i="1"/>
  <c r="AO164" i="1" s="1"/>
  <c r="AK165" i="1"/>
  <c r="AO165" i="1" s="1"/>
  <c r="AK168" i="1"/>
  <c r="AO168" i="1" s="1"/>
  <c r="AK174" i="1"/>
  <c r="AO174" i="1" s="1"/>
  <c r="AK178" i="1"/>
  <c r="AO178" i="1" s="1"/>
  <c r="AK209" i="1"/>
  <c r="AO209" i="1" s="1"/>
  <c r="AM216" i="1"/>
  <c r="AO216" i="1" s="1"/>
  <c r="AK237" i="1"/>
  <c r="AO237" i="1" s="1"/>
  <c r="AK238" i="1"/>
  <c r="AO238" i="1" s="1"/>
  <c r="AK239" i="1"/>
  <c r="AO239" i="1" s="1"/>
  <c r="AK246" i="1"/>
  <c r="AO246" i="1" s="1"/>
  <c r="AK247" i="1"/>
  <c r="AO247" i="1" s="1"/>
  <c r="AK248" i="1"/>
  <c r="AO248" i="1" s="1"/>
  <c r="AK251" i="1"/>
  <c r="AO251" i="1" s="1"/>
  <c r="AK252" i="1"/>
  <c r="AO252" i="1" s="1"/>
  <c r="AK253" i="1"/>
  <c r="AO253" i="1" s="1"/>
  <c r="AK254" i="1"/>
  <c r="AO254" i="1" s="1"/>
  <c r="AK256" i="1"/>
  <c r="AO256" i="1" s="1"/>
  <c r="AK257" i="1"/>
  <c r="AO257" i="1" s="1"/>
  <c r="AK258" i="1"/>
  <c r="AO258" i="1" s="1"/>
  <c r="AK259" i="1"/>
  <c r="AO259" i="1" s="1"/>
  <c r="AK260" i="1"/>
  <c r="AO260" i="1" s="1"/>
  <c r="AK261" i="1"/>
  <c r="AO261" i="1" s="1"/>
  <c r="AK262" i="1"/>
  <c r="AO262" i="1" s="1"/>
  <c r="AK263" i="1"/>
  <c r="AO263" i="1" s="1"/>
  <c r="AK264" i="1"/>
  <c r="AO264" i="1" s="1"/>
  <c r="AK265" i="1"/>
  <c r="AO265" i="1" s="1"/>
  <c r="AK268" i="1"/>
  <c r="AO268" i="1" s="1"/>
  <c r="AK269" i="1"/>
  <c r="AO269" i="1" s="1"/>
  <c r="AK270" i="1"/>
  <c r="AO270" i="1" s="1"/>
  <c r="AK271" i="1"/>
  <c r="AO271" i="1" s="1"/>
  <c r="AK272" i="1"/>
  <c r="AO272" i="1" s="1"/>
  <c r="AK273" i="1"/>
  <c r="AO273" i="1" s="1"/>
  <c r="AK274" i="1"/>
  <c r="AO274" i="1" s="1"/>
  <c r="AK275" i="1"/>
  <c r="AO275" i="1" s="1"/>
  <c r="AK276" i="1"/>
  <c r="AO276" i="1" s="1"/>
  <c r="AK277" i="1"/>
  <c r="AO277" i="1" s="1"/>
  <c r="AK278" i="1"/>
  <c r="AO278" i="1" s="1"/>
  <c r="AK279" i="1"/>
  <c r="AO279" i="1" s="1"/>
  <c r="AK280" i="1"/>
  <c r="AO280" i="1" s="1"/>
  <c r="AM281" i="1"/>
  <c r="AO281" i="1" s="1"/>
  <c r="AK283" i="1"/>
  <c r="AO283" i="1" s="1"/>
  <c r="AK284" i="1"/>
  <c r="AO284" i="1" s="1"/>
  <c r="AK285" i="1"/>
  <c r="AO285" i="1" s="1"/>
  <c r="AK286" i="1"/>
  <c r="AO286" i="1" s="1"/>
  <c r="AK287" i="1"/>
  <c r="AO287" i="1" s="1"/>
  <c r="AK288" i="1"/>
  <c r="AO288" i="1" s="1"/>
  <c r="AK289" i="1"/>
  <c r="AO289" i="1" s="1"/>
  <c r="AK290" i="1"/>
  <c r="AO290" i="1" s="1"/>
  <c r="AK291" i="1"/>
  <c r="AO291" i="1" s="1"/>
  <c r="AK292" i="1"/>
  <c r="AO292" i="1" s="1"/>
  <c r="AK293" i="1"/>
  <c r="AO293" i="1" s="1"/>
  <c r="AK294" i="1"/>
  <c r="AO294" i="1" s="1"/>
  <c r="AK295" i="1"/>
  <c r="AO295" i="1" s="1"/>
  <c r="AK296" i="1"/>
  <c r="AO296" i="1" s="1"/>
  <c r="AK297" i="1"/>
  <c r="AO297" i="1" s="1"/>
  <c r="AK298" i="1"/>
  <c r="AO298" i="1" s="1"/>
  <c r="AK299" i="1"/>
  <c r="AO299" i="1" s="1"/>
  <c r="AK300" i="1"/>
  <c r="AO300" i="1" s="1"/>
  <c r="AK301" i="1"/>
  <c r="AO301" i="1" s="1"/>
  <c r="AK302" i="1"/>
  <c r="AO302" i="1" s="1"/>
  <c r="AK303" i="1"/>
  <c r="AO303" i="1" s="1"/>
  <c r="AK304" i="1"/>
  <c r="AO304" i="1" s="1"/>
  <c r="AK305" i="1"/>
  <c r="AO305" i="1" s="1"/>
  <c r="AK306" i="1"/>
  <c r="AO306" i="1" s="1"/>
  <c r="AK308" i="1"/>
  <c r="AO308" i="1" s="1"/>
  <c r="AK309" i="1"/>
  <c r="AO309" i="1" s="1"/>
  <c r="AK310" i="1"/>
  <c r="AO310" i="1" s="1"/>
  <c r="AK311" i="1"/>
  <c r="AO311" i="1" s="1"/>
  <c r="AK323" i="1"/>
  <c r="AO323" i="1" s="1"/>
  <c r="AK324" i="1"/>
  <c r="AO324" i="1" s="1"/>
  <c r="AK325" i="1"/>
  <c r="AO325" i="1" s="1"/>
  <c r="AK326" i="1"/>
  <c r="AO326" i="1" s="1"/>
  <c r="AK327" i="1"/>
  <c r="AO327" i="1" s="1"/>
  <c r="AK328" i="1"/>
  <c r="AO328" i="1" s="1"/>
  <c r="AK329" i="1"/>
  <c r="AO329" i="1" s="1"/>
  <c r="AK330" i="1"/>
  <c r="AO330" i="1" s="1"/>
  <c r="AK331" i="1"/>
  <c r="AO331" i="1" s="1"/>
  <c r="AK332" i="1"/>
  <c r="AO332" i="1" s="1"/>
  <c r="AK333" i="1"/>
  <c r="AO333" i="1" s="1"/>
  <c r="AK334" i="1"/>
  <c r="AO334" i="1" s="1"/>
  <c r="AK335" i="1"/>
  <c r="AO335" i="1" s="1"/>
  <c r="AK336" i="1"/>
  <c r="AO336" i="1" s="1"/>
  <c r="AK337" i="1"/>
  <c r="AO337" i="1" s="1"/>
  <c r="AK340" i="1"/>
  <c r="AO340" i="1" s="1"/>
  <c r="AK341" i="1"/>
  <c r="AO341" i="1" s="1"/>
  <c r="AK342" i="1"/>
  <c r="AO342" i="1" s="1"/>
  <c r="AK343" i="1"/>
  <c r="AO343" i="1" s="1"/>
  <c r="AK344" i="1"/>
  <c r="AO344" i="1" s="1"/>
  <c r="AK345" i="1"/>
  <c r="AO345" i="1" s="1"/>
  <c r="AK346" i="1"/>
  <c r="AO346" i="1" s="1"/>
  <c r="AK347" i="1"/>
  <c r="AO347" i="1" s="1"/>
  <c r="AK348" i="1"/>
  <c r="AO348" i="1" s="1"/>
  <c r="AK349" i="1"/>
  <c r="AO349" i="1" s="1"/>
  <c r="AK350" i="1"/>
  <c r="AO350" i="1" s="1"/>
  <c r="AK351" i="1"/>
  <c r="AO351" i="1" s="1"/>
  <c r="AK352" i="1"/>
  <c r="AO352" i="1" s="1"/>
  <c r="AK353" i="1"/>
  <c r="AO353" i="1" s="1"/>
  <c r="AK354" i="1"/>
  <c r="AO354" i="1" s="1"/>
  <c r="AK355" i="1"/>
  <c r="AO355" i="1" s="1"/>
  <c r="AK358" i="1"/>
  <c r="AO358" i="1" s="1"/>
  <c r="AK359" i="1"/>
  <c r="AO359" i="1" s="1"/>
  <c r="AK360" i="1"/>
  <c r="AO360" i="1" s="1"/>
  <c r="AK361" i="1"/>
  <c r="AO361" i="1" s="1"/>
  <c r="AK362" i="1"/>
  <c r="AO362" i="1" s="1"/>
  <c r="AK363" i="1"/>
  <c r="AO363" i="1" s="1"/>
  <c r="AK365" i="1"/>
  <c r="AO365" i="1" s="1"/>
  <c r="AK367" i="1"/>
  <c r="AO367" i="1" s="1"/>
  <c r="AK368" i="1"/>
  <c r="AO368" i="1" s="1"/>
  <c r="AK369" i="1"/>
  <c r="AO369" i="1" s="1"/>
  <c r="AK370" i="1"/>
  <c r="AO370" i="1" s="1"/>
  <c r="AK371" i="1"/>
  <c r="AO371" i="1" s="1"/>
  <c r="AK372" i="1"/>
  <c r="AO372" i="1" s="1"/>
  <c r="AK373" i="1"/>
  <c r="AO373" i="1" s="1"/>
  <c r="AK375" i="1"/>
  <c r="AO375" i="1" s="1"/>
  <c r="AK376" i="1"/>
  <c r="AO376" i="1" s="1"/>
  <c r="AM377" i="1"/>
  <c r="AO377" i="1" s="1"/>
  <c r="AK380" i="1"/>
  <c r="AO380" i="1" s="1"/>
  <c r="AK381" i="1"/>
  <c r="AO381" i="1" s="1"/>
</calcChain>
</file>

<file path=xl/sharedStrings.xml><?xml version="1.0" encoding="utf-8"?>
<sst xmlns="http://schemas.openxmlformats.org/spreadsheetml/2006/main" count="8375" uniqueCount="3168">
  <si>
    <t>No.</t>
  </si>
  <si>
    <t>Nomor Kontrak</t>
  </si>
  <si>
    <t>Nomor Laporan</t>
  </si>
  <si>
    <t>Tanggal Laporan</t>
  </si>
  <si>
    <t>Pemberi Tugas</t>
  </si>
  <si>
    <t>Pengguna Laporan</t>
  </si>
  <si>
    <t>Objek Penilaian</t>
  </si>
  <si>
    <t>Spesifikasi Objek Penilaian</t>
  </si>
  <si>
    <t>Alamat Objek Penilaian</t>
  </si>
  <si>
    <t>Tujuan Penilaian</t>
  </si>
  <si>
    <t>Dasar Nilai</t>
  </si>
  <si>
    <t>Tanggal Inspeksi</t>
  </si>
  <si>
    <t>Tanggal Penilaian</t>
  </si>
  <si>
    <t>Jenis Laporan</t>
  </si>
  <si>
    <t>Jumlah Nilai (Rp.)</t>
  </si>
  <si>
    <t>Total Nilai (Rp)</t>
  </si>
  <si>
    <t>Data Pembanding 1</t>
  </si>
  <si>
    <t>Data Pembanding 2</t>
  </si>
  <si>
    <t>Data Pembanding 3</t>
  </si>
  <si>
    <t>Penilaian/ Pelaksana Inspeksi</t>
  </si>
  <si>
    <t>Keterangan</t>
  </si>
  <si>
    <t>Link Server</t>
  </si>
  <si>
    <t>Jenis</t>
  </si>
  <si>
    <t>Luas Tanah/ Luas Rusun</t>
  </si>
  <si>
    <t>Satuan</t>
  </si>
  <si>
    <t>Luas Bangunan /(m2)</t>
  </si>
  <si>
    <t>Luas Kebun (Ha)</t>
  </si>
  <si>
    <t>Identifikasi Objek</t>
  </si>
  <si>
    <t>Tahun Tanam</t>
  </si>
  <si>
    <t>Kapasitas</t>
  </si>
  <si>
    <t xml:space="preserve">Komplek/ Perumahan/ Kawasan </t>
  </si>
  <si>
    <t>Jalan/ Blok</t>
  </si>
  <si>
    <t>Kelurahan/Desa</t>
  </si>
  <si>
    <t>Kecamatan</t>
  </si>
  <si>
    <t>Kabupaten/Kota</t>
  </si>
  <si>
    <t>Provinsi</t>
  </si>
  <si>
    <t>Negara</t>
  </si>
  <si>
    <t>No. Polisi</t>
  </si>
  <si>
    <t>Tahun Pembuatan</t>
  </si>
  <si>
    <t>Model/Type/Jenis kapal/Merk</t>
  </si>
  <si>
    <t>Nama Kapal/Pesawat</t>
  </si>
  <si>
    <t>Nomor BPKB/ No.IMO</t>
  </si>
  <si>
    <t>Bahan Baku/Kg</t>
  </si>
  <si>
    <t>Barang Jadi/Kg</t>
  </si>
  <si>
    <t>Tanah/Rusun/Sewa/m2/Ha</t>
  </si>
  <si>
    <t>Tanah/Rusun/Sewa/m2</t>
  </si>
  <si>
    <t>Bangunan/Gedung/Kantor/Ruko/m2</t>
  </si>
  <si>
    <t>Bangunan/Gedung/Kantor/Sewa/ m2</t>
  </si>
  <si>
    <t>Jumlah Nilai Lainnya</t>
  </si>
  <si>
    <t>Alamat</t>
  </si>
  <si>
    <t>Jenis Data</t>
  </si>
  <si>
    <t>Deadweight Tonnage(DWT)</t>
  </si>
  <si>
    <t>Class</t>
  </si>
  <si>
    <t>Merk/Model/Type</t>
  </si>
  <si>
    <t>Luas Tanah/Rusun/Kantor (m2)</t>
  </si>
  <si>
    <t>Harga Tanah/Rusun/Sewa /m2</t>
  </si>
  <si>
    <t>Luas Bangunan (m2)</t>
  </si>
  <si>
    <t>Harga Bangunan/m2</t>
  </si>
  <si>
    <t>Harga Penawaran (Rp.)</t>
  </si>
  <si>
    <t>Perkiraan Transaksi/Transaksi</t>
  </si>
  <si>
    <t>Sumber Data</t>
  </si>
  <si>
    <t xml:space="preserve">Agen/ Pemilik </t>
  </si>
  <si>
    <t>Deadweight Tonnage (DWT)</t>
  </si>
  <si>
    <t>Merk/ Model/ Type</t>
  </si>
  <si>
    <t>Tahun Pembuatan/DD</t>
  </si>
  <si>
    <t>Luas Tanah/Rusun/ (m2)</t>
  </si>
  <si>
    <t>Harga Tanah /Rusun/ Sewa/m2</t>
  </si>
  <si>
    <t>Harga Banguna/m2</t>
  </si>
  <si>
    <t>Class/ Class Grade</t>
  </si>
  <si>
    <t>Luas Tanah/Rusun/Kantor/ (m2)</t>
  </si>
  <si>
    <t>m2</t>
  </si>
  <si>
    <t>Jawa Tengah</t>
  </si>
  <si>
    <t>Indonesia</t>
  </si>
  <si>
    <t>Nilai Pasar</t>
  </si>
  <si>
    <t>Short Report</t>
  </si>
  <si>
    <t>Tanah dan Bangunan (Tokoh)</t>
  </si>
  <si>
    <t>Tanah dan Bangunan (Hitung Tanah)</t>
  </si>
  <si>
    <t>Tanah Kosong</t>
  </si>
  <si>
    <t>Pagedangan</t>
  </si>
  <si>
    <t>Kabupaten Tanggerang</t>
  </si>
  <si>
    <t>Banten</t>
  </si>
  <si>
    <t>Agen</t>
  </si>
  <si>
    <t>PT. Bank Index Selindo</t>
  </si>
  <si>
    <t>Rumah Tinggal</t>
  </si>
  <si>
    <t>DKI Jakarta</t>
  </si>
  <si>
    <t>Penjaminan Utang</t>
  </si>
  <si>
    <t>Gudang</t>
  </si>
  <si>
    <t>Kapal</t>
  </si>
  <si>
    <t>Laporan Keuangan</t>
  </si>
  <si>
    <t>Nilai Wajar</t>
  </si>
  <si>
    <t>Long Report</t>
  </si>
  <si>
    <t>Desa Sukadanau</t>
  </si>
  <si>
    <t>Jawa Barat</t>
  </si>
  <si>
    <t>PT. Bank Mandiri (Persero), Tbk</t>
  </si>
  <si>
    <t>Tanah dan Bangunan (Kontrakan)</t>
  </si>
  <si>
    <t>Kota Tanggerang</t>
  </si>
  <si>
    <t>PT. Bank Syariah Indonesia, Tbk</t>
  </si>
  <si>
    <t>Tanah dan Bangunan</t>
  </si>
  <si>
    <t>Kota Jakarta Barat</t>
  </si>
  <si>
    <t>Tanah dan Bangunan Gudang</t>
  </si>
  <si>
    <t>Kel. Periuk</t>
  </si>
  <si>
    <t>Ruko</t>
  </si>
  <si>
    <t>Kel. Grogol Utara</t>
  </si>
  <si>
    <t>Kota Jakarta Selatan</t>
  </si>
  <si>
    <t>Kota Jakarta Utara</t>
  </si>
  <si>
    <t>Tanah dan bangunan</t>
  </si>
  <si>
    <t>21.8'</t>
  </si>
  <si>
    <t>Kab. Bekasi</t>
  </si>
  <si>
    <t>Kota Palembang</t>
  </si>
  <si>
    <t>Sumatra Selatan</t>
  </si>
  <si>
    <t>Kota Batam</t>
  </si>
  <si>
    <t>Kepulauan Riau</t>
  </si>
  <si>
    <t>Kota Bandung</t>
  </si>
  <si>
    <t>Tanah dan Bangunan (Kantor)</t>
  </si>
  <si>
    <t>Kota Makassar</t>
  </si>
  <si>
    <t>Sulawesi Selatan</t>
  </si>
  <si>
    <t>Kota Jakarta Pusat</t>
  </si>
  <si>
    <t>Menteng</t>
  </si>
  <si>
    <t>Rukan</t>
  </si>
  <si>
    <t>Bali</t>
  </si>
  <si>
    <t>Kota Balikpapan</t>
  </si>
  <si>
    <t>Kalimantan Timur</t>
  </si>
  <si>
    <t>Kota Semarang</t>
  </si>
  <si>
    <t>Kantor</t>
  </si>
  <si>
    <t>Kota Bekasi</t>
  </si>
  <si>
    <t>Kota Surabaya</t>
  </si>
  <si>
    <t>Jawa Timur</t>
  </si>
  <si>
    <t>Kel. Pisangan</t>
  </si>
  <si>
    <t>Rusun Hunian</t>
  </si>
  <si>
    <t>Kab. Bogor</t>
  </si>
  <si>
    <t>Kendaraan</t>
  </si>
  <si>
    <t>Jual Beli</t>
  </si>
  <si>
    <t>Jakarta Barat</t>
  </si>
  <si>
    <t>Desa Kadu</t>
  </si>
  <si>
    <t>Kel. Pinang</t>
  </si>
  <si>
    <t>Buana Gardenia, Jalan Buana Agung Raya, Blok A No.35, Kel. Pinang, Kec. Pinang, Kota Tanggerang, Prov. Banten</t>
  </si>
  <si>
    <t>Bapak Basuki (085947232164)</t>
  </si>
  <si>
    <t>Jalan Pinangan, Kel. Pinang, Kec. Pinang, Kota Tanggerang, Prov. Banten</t>
  </si>
  <si>
    <t>2 Unit Rukan</t>
  </si>
  <si>
    <t>Koperasi Konsumen Warga Semen Gresik (KWSG)</t>
  </si>
  <si>
    <t>Unit</t>
  </si>
  <si>
    <t>Kab. Serang</t>
  </si>
  <si>
    <t>Pelaporan Keuangan</t>
  </si>
  <si>
    <t>Mobil Barang</t>
  </si>
  <si>
    <t>Alat Berat</t>
  </si>
  <si>
    <t>Surabaya</t>
  </si>
  <si>
    <t>Sumatera Selatan</t>
  </si>
  <si>
    <t>Jakarta Timur</t>
  </si>
  <si>
    <t>Tanah dan Bangunan (Gudang)</t>
  </si>
  <si>
    <t>Desa Kletek</t>
  </si>
  <si>
    <t>Kab. Sidoarjo</t>
  </si>
  <si>
    <t>Tanah dan Bangunan Pabrik</t>
  </si>
  <si>
    <t>Kawasan Industri Jababeka I</t>
  </si>
  <si>
    <t>Desa Karang Baru</t>
  </si>
  <si>
    <t>Ibu Nabila (081299089968)</t>
  </si>
  <si>
    <t>Oil Tanker</t>
  </si>
  <si>
    <t>Pemilik</t>
  </si>
  <si>
    <t>Bandung</t>
  </si>
  <si>
    <t>Kebayoran Lama</t>
  </si>
  <si>
    <t>PT. Rajawali Lintas Kreasi</t>
  </si>
  <si>
    <t>Jalan Bojonegoro No.3</t>
  </si>
  <si>
    <t>Kel. Menteng</t>
  </si>
  <si>
    <t>Bapak Mean Tambunan (08999171771)</t>
  </si>
  <si>
    <t>Kel. Kelapa Dua Wetan</t>
  </si>
  <si>
    <t>Kota Jakarta Timur</t>
  </si>
  <si>
    <t>Ibu Esther (081519084006)</t>
  </si>
  <si>
    <t>Desa Harjamekar</t>
  </si>
  <si>
    <t>jawa Barat</t>
  </si>
  <si>
    <t>Kel. Kebayoran Lama Utara</t>
  </si>
  <si>
    <t>Nilai Sewa Pasar</t>
  </si>
  <si>
    <t>Bapak Panji (085814288429)</t>
  </si>
  <si>
    <t>Kota Bandar Lampung</t>
  </si>
  <si>
    <t>Lampung</t>
  </si>
  <si>
    <t>Kel. Pakansari</t>
  </si>
  <si>
    <t>Toyota/Minibus</t>
  </si>
  <si>
    <t>Toyota/ Minibus</t>
  </si>
  <si>
    <t>Kab. Tanggerang</t>
  </si>
  <si>
    <t>Kel. Gandaria Selatan</t>
  </si>
  <si>
    <t>Jalan Abuserin, Kel. Gandaria Selatan, Kec. Cilandak, Kota Jakarta Selatan, Prov. DKI Jakarta</t>
  </si>
  <si>
    <t>Kel. Duren Sawit</t>
  </si>
  <si>
    <t>PT. Cakrawala Golfindo</t>
  </si>
  <si>
    <t>Perumahan Pondok Golf Asri</t>
  </si>
  <si>
    <t>Kel. Kebon Dalem</t>
  </si>
  <si>
    <t>Kota Cilegon</t>
  </si>
  <si>
    <t>Bapak Rio (083812917710)</t>
  </si>
  <si>
    <t>PT. Bank JTrust Indonesia, Tbk</t>
  </si>
  <si>
    <t>Kel. Cimuning</t>
  </si>
  <si>
    <t>Cilodong</t>
  </si>
  <si>
    <t>Kota Depok</t>
  </si>
  <si>
    <t>Kel. Jatimulya</t>
  </si>
  <si>
    <t>Tambun Selatan</t>
  </si>
  <si>
    <t>Grand Galaxy City</t>
  </si>
  <si>
    <t>Kel. Jakasetia</t>
  </si>
  <si>
    <t>Bekasi Selatan</t>
  </si>
  <si>
    <t>Kramat Jati</t>
  </si>
  <si>
    <t>Lelang</t>
  </si>
  <si>
    <t>Amri Simbolon (Penilai)</t>
  </si>
  <si>
    <t>Bantar Gebang</t>
  </si>
  <si>
    <t>PT. Bank Tabungan Negara (Persero), Tbk</t>
  </si>
  <si>
    <t>Cikarang Barat</t>
  </si>
  <si>
    <t>PT. Bank Rakyat Indonesia (Persero), Tbk</t>
  </si>
  <si>
    <t>Kebayoran Baru</t>
  </si>
  <si>
    <t>Kel. Kapuk Muara</t>
  </si>
  <si>
    <t>Penjaringan</t>
  </si>
  <si>
    <t>PT. Bank Pembangunan Daerah Jawa Barat dan Banten, Tbk</t>
  </si>
  <si>
    <t>Perumahan Taman Narogong Indah</t>
  </si>
  <si>
    <t>Kel. Bojong Rawalumbu</t>
  </si>
  <si>
    <t>Bapak Zul (08161695820)</t>
  </si>
  <si>
    <t>Kemang Pratama 2</t>
  </si>
  <si>
    <t>Kel. Pengasinan</t>
  </si>
  <si>
    <t>Kel. Bojong Menteng</t>
  </si>
  <si>
    <t xml:space="preserve">Tanah dan Bangunan </t>
  </si>
  <si>
    <t>Ibu Nita (081316066635)</t>
  </si>
  <si>
    <t>Bapak Hendra (087782083561)</t>
  </si>
  <si>
    <t>Ibu Srimulyati (085894800298)</t>
  </si>
  <si>
    <t>Mampang Prapatan</t>
  </si>
  <si>
    <t>Richard Barus (Penilai)</t>
  </si>
  <si>
    <t>Periuk</t>
  </si>
  <si>
    <t>Richard Barus (Penilai), Robbi Sugara Ginting (Pelaksana Inspeksi)</t>
  </si>
  <si>
    <t>Bapak Yusup (081284180381)</t>
  </si>
  <si>
    <t>PT. Bank PAN Indonesia, Tbk</t>
  </si>
  <si>
    <t>Mesin dan Peralatan</t>
  </si>
  <si>
    <t>Medan Satria</t>
  </si>
  <si>
    <t>Kel. Kuningan Timur</t>
  </si>
  <si>
    <t>Setiabudi</t>
  </si>
  <si>
    <t>Amri Simbolon (Penilai), Fajar Hariyadi Tambunan (Pelaksana Inspeksi)</t>
  </si>
  <si>
    <t>PT. Sejahtera Sehat Karyautama</t>
  </si>
  <si>
    <t>Desa Wadas</t>
  </si>
  <si>
    <t>Telukjambe Timur</t>
  </si>
  <si>
    <t>Kab. Karawang</t>
  </si>
  <si>
    <t>Bapak Heru (081295700181)</t>
  </si>
  <si>
    <t>Ibu Jesica (0811890889)</t>
  </si>
  <si>
    <t>Ibu Niki (08176678819)</t>
  </si>
  <si>
    <t>Pasar Minggu</t>
  </si>
  <si>
    <t>Rusun Non Hunian</t>
  </si>
  <si>
    <t>Desa Pasir Ranji</t>
  </si>
  <si>
    <t>Cikarang Pusat</t>
  </si>
  <si>
    <t>Kab Bekasi</t>
  </si>
  <si>
    <t>Ibu Renny (0811887902)</t>
  </si>
  <si>
    <t>Kel. Ngaliyan</t>
  </si>
  <si>
    <t>Ngaliyan</t>
  </si>
  <si>
    <t>Palimanan</t>
  </si>
  <si>
    <t>Jalan Cirebon-Bandung, Desa Palimanan Timur, Kec. Palimanan, Kab. Cirebon, Prov. Jawa Barat</t>
  </si>
  <si>
    <t>Jalan Cirebon-Bandung, Desa Palimanan Timur, Kec. Palimanan, Kab, Cirebon, Prov. Jawa Barat</t>
  </si>
  <si>
    <t>Ibu Isna (081322743747)</t>
  </si>
  <si>
    <t>Tanah dan Bangunan (Pabrik)</t>
  </si>
  <si>
    <t>Jalan Raya Sindang Laut</t>
  </si>
  <si>
    <t>Desa Cipeujeuh Wetan</t>
  </si>
  <si>
    <t>Lemahabang</t>
  </si>
  <si>
    <t>Richard Barus (Penilai), Fajar Hariyadi &amp; Edwardo Krisna Sembiring (Pelaksana Inspeksi)</t>
  </si>
  <si>
    <t>Tanah</t>
  </si>
  <si>
    <t>Mundu</t>
  </si>
  <si>
    <t>Jalan Raya Suci, Desa Mundu Mesegit, Kec. Mundu, Kab. Cirebon, Prov. Jawa Barat</t>
  </si>
  <si>
    <t>Tanah Kosong (Sawah)</t>
  </si>
  <si>
    <t>Bapak Endang (083845834055)</t>
  </si>
  <si>
    <t>Jalan Raya Kalijaga, Desa Mundu Magesit, Kec. Mundu, Kab. Cirebon,Prov. Jawa Barat</t>
  </si>
  <si>
    <t>Jalan Raya Mundu Pesisir, Desa Mundu Mesigit, Kec. Mundu, Kab. Cirebon, Prov. Jawa Barat</t>
  </si>
  <si>
    <t>Bapak Nanang (083845834055)</t>
  </si>
  <si>
    <t>Desa Kubangkarang</t>
  </si>
  <si>
    <t>Karangsembung</t>
  </si>
  <si>
    <t>Kab. Cirebon</t>
  </si>
  <si>
    <t>Bapak Akri (0895600308199)</t>
  </si>
  <si>
    <t>Desa Karangsuwung</t>
  </si>
  <si>
    <t>Bapak Arief (085314353668)</t>
  </si>
  <si>
    <t>Kab. Pati</t>
  </si>
  <si>
    <t>Tanah dan Bangunan (Rumah Tinggal)</t>
  </si>
  <si>
    <t>Kel. Palmeriam</t>
  </si>
  <si>
    <t>Matraman</t>
  </si>
  <si>
    <t>Ibu Lily (0816999412)</t>
  </si>
  <si>
    <t>Cakung</t>
  </si>
  <si>
    <t>PT. Medika Loka Pandanaran</t>
  </si>
  <si>
    <t>Kel. Pekunden</t>
  </si>
  <si>
    <t>Semarang Tengah</t>
  </si>
  <si>
    <t>Pinang</t>
  </si>
  <si>
    <t>Tanah dan Bangunan (Rumah Makan)</t>
  </si>
  <si>
    <t>Semarang</t>
  </si>
  <si>
    <t>Bogor</t>
  </si>
  <si>
    <t>Kel. Banjarsari</t>
  </si>
  <si>
    <t>Cipocok Jaya</t>
  </si>
  <si>
    <t>Kota Serang</t>
  </si>
  <si>
    <t>Nilai Pasar &amp; Nilai Likuidasi</t>
  </si>
  <si>
    <t>Tanah dan Bangunan (Hotel)</t>
  </si>
  <si>
    <t>Perkebunan Kelapa Sawit</t>
  </si>
  <si>
    <t>Ha</t>
  </si>
  <si>
    <t>Kalimantan Utara</t>
  </si>
  <si>
    <t>Perkebunan Kelapa Sawit Plasma</t>
  </si>
  <si>
    <t>Tanah dan Bangunan (Showroom)</t>
  </si>
  <si>
    <t>Kota Pekan Baru</t>
  </si>
  <si>
    <t>Riau</t>
  </si>
  <si>
    <t>PT. Medika Loka Pasteur</t>
  </si>
  <si>
    <t>Cicendo</t>
  </si>
  <si>
    <t>Kel. Sumur Batu</t>
  </si>
  <si>
    <t>Jalan Pangkalan 2, Kel. Sumur Batu, Kec. Bantar Gebang, Kota Bekasi, Prov. Jawa Barat</t>
  </si>
  <si>
    <t>Bapak Wahyu (082150086910)</t>
  </si>
  <si>
    <t>Amri Simbolon (Penilai), Firdaus Ginting (Pelaksana Inspeksi)</t>
  </si>
  <si>
    <t>Desa Ciledug</t>
  </si>
  <si>
    <t>Jalan Cisaat Setu, Kel. Ciledug, Kec. Setu, Kab. Bekasi, Prov. Jawa Barat</t>
  </si>
  <si>
    <t>Pak Fahmi (0899355633)</t>
  </si>
  <si>
    <t>Jalan Adam II Kp. Dukuh, Kel. Ciledug, Kec. Setu, Kab. Bekasi, Prov. Jawa Barat</t>
  </si>
  <si>
    <t>Mustika Jaya</t>
  </si>
  <si>
    <t>Jalan AMD Pabuaran, Kel. Cimuning, Kec. Mustikajaya, Kota Bekasi, Prov. Jawa Barat</t>
  </si>
  <si>
    <t>Jalan Malins, Kel. Cimuning, Kec. Mustikajaya, Kota Bekasi, Prov. Jawa Barat</t>
  </si>
  <si>
    <t>Jalan Santika, Kel. Cimuning, Kec. Mustikajaya, Kota Bekasi, Prov. Jawa Barat</t>
  </si>
  <si>
    <t>Komplek Villa Yasmin</t>
  </si>
  <si>
    <t>Desa Palasari</t>
  </si>
  <si>
    <t>Cipanas</t>
  </si>
  <si>
    <t>Tanah dan Bangunan (villa)</t>
  </si>
  <si>
    <t>Tanah dan Bangunan (Villa)</t>
  </si>
  <si>
    <t>Richard Barus (Penilai), Fajar Hariyadi (Pelaksana Inspeksi)</t>
  </si>
  <si>
    <t>Perumahan Pondok Timur Indah</t>
  </si>
  <si>
    <t>Perumahan Mutiara Gading Timur</t>
  </si>
  <si>
    <t>Perumahan Mutiara Gading Timur, Jalan Anggrek Blok N.5, Kel. Mustikajaya, Kec.Mustikajaya, Kota Bekasi, Prov. Jawa Barat</t>
  </si>
  <si>
    <t>Ibu Maria Theresia Hoo (08129715773)</t>
  </si>
  <si>
    <t>Perumahan Mutiara Gading Timur, Jalan Plazzo Raya, Kel. Mustikajaya, Kec.Mustikajaya, Kota Bekasi, Prov. Jawa Barat</t>
  </si>
  <si>
    <t>Bapak Antonius (081277722620)</t>
  </si>
  <si>
    <t>Perumahan Mutiara Gading Timur, Jalan Plazzo Dalam Blok N. 25 No. 20, Kel. Mustikajaya, Kec.Mustikajaya, Kota Bekasi, Prov. Jawa Barat</t>
  </si>
  <si>
    <t>Bapak Dody Perdana (085779967167)</t>
  </si>
  <si>
    <t>Pebayuran</t>
  </si>
  <si>
    <t>Jalan Raya Pebayuran, Desa Sumbersari, Kec. Pebayuran, Kab. Bekasi, Prov. Jawa Barat</t>
  </si>
  <si>
    <t>Tanah Sawah</t>
  </si>
  <si>
    <t>Mochamad Firdaus (085693123544)</t>
  </si>
  <si>
    <t>Gun Gun Bayu Sahara (Penilai &amp; Pelaksana Inspeksi)</t>
  </si>
  <si>
    <t>Kel. Cipinang Melayu</t>
  </si>
  <si>
    <t>Makasar</t>
  </si>
  <si>
    <t>Kel. Jatimakmur</t>
  </si>
  <si>
    <t>Jalan Bontang I No. 28 B, Kel. Jatimakmur, Kec. Pondok Gede, Kota Bekasi, Prov. Jawa Barat</t>
  </si>
  <si>
    <t>Ibu Salamah (081338625192)</t>
  </si>
  <si>
    <t>Jalan Bontang I No. 28 D, Kel. Jatimakmur, Kec. Pondok Gede, Kota Bekasi, Prov. Jawa Barat</t>
  </si>
  <si>
    <t>Bapak Nabil (0817278112)</t>
  </si>
  <si>
    <t>Jalan Cemara No. 4, Kel. Jatimakmur, Kec. Pondok Gede, Kota Bekasi, Prov. Jawa Barat</t>
  </si>
  <si>
    <t>Ibu Rika (081226085161)</t>
  </si>
  <si>
    <t>Jakarta</t>
  </si>
  <si>
    <t>PT. Bank Central Asia, Tbk</t>
  </si>
  <si>
    <t>Persediaan</t>
  </si>
  <si>
    <t>Kel. Deringo</t>
  </si>
  <si>
    <t>Citangkil</t>
  </si>
  <si>
    <t>Bandar Lampung</t>
  </si>
  <si>
    <t>PT. Rajawali Nusantara Indonesia (Persero)</t>
  </si>
  <si>
    <t>Duren Sawit</t>
  </si>
  <si>
    <t>Kel. Kariangau</t>
  </si>
  <si>
    <t>Balikpapan Baru</t>
  </si>
  <si>
    <t>Richard Barus (Penilai dan Pelaksana Inspeksi)</t>
  </si>
  <si>
    <t>Bekasi</t>
  </si>
  <si>
    <t>Banjarmasin</t>
  </si>
  <si>
    <t>Tanggerang</t>
  </si>
  <si>
    <t>Sekatak</t>
  </si>
  <si>
    <t>Kab. Bulungan</t>
  </si>
  <si>
    <t>Richard Barus &amp; Robbi Sugara Ginting (Penilai), Fajar Hariyadi Tambunan (Pelaksana Inspeksi)</t>
  </si>
  <si>
    <t xml:space="preserve">Perumahan Taman Kebon Jeruk </t>
  </si>
  <si>
    <t>Kel. Srengseng</t>
  </si>
  <si>
    <t>Jalan N. Kusno Tungkodu</t>
  </si>
  <si>
    <t>Limboto</t>
  </si>
  <si>
    <t>Gorontalo</t>
  </si>
  <si>
    <t>Jalan Prof. Dr. Sahmina Nur, SH, Kel. Dutulanaa, Kec. Limboto, Kab. Gorontalo, Prov. Gorontalo</t>
  </si>
  <si>
    <t>Ibu Maria (081356277739)</t>
  </si>
  <si>
    <t>Bapak Sukirman (082293635005)</t>
  </si>
  <si>
    <t>Jalan Ahmad A. Wahab, Kel. Luhu, Kec. Telaga, Kab. Gorontalo, Prov. Gorontalo</t>
  </si>
  <si>
    <t>Bapak Madani (082116323838)</t>
  </si>
  <si>
    <t>Richard Barus (Penilai &amp; Pelaksana Inspeksi)</t>
  </si>
  <si>
    <t>Kota Bogor</t>
  </si>
  <si>
    <t>Tanah dan Bangunan (Workshop)</t>
  </si>
  <si>
    <t>Kemayoran</t>
  </si>
  <si>
    <t>Jakarta Pusat</t>
  </si>
  <si>
    <t>Ibu Lydia (081285910700)</t>
  </si>
  <si>
    <t>00235/RBY-PPJP/BKS/XII/2023</t>
  </si>
  <si>
    <t>00001/2.0144-01/PP/10/0612/1/I/2024</t>
  </si>
  <si>
    <t>Bangunan+B269:D269</t>
  </si>
  <si>
    <t>PT. Koperasi Warga Semen Gresik KWSG Semen Indonesia Group</t>
  </si>
  <si>
    <t>1 Unit Mercedes Benz 4028 T (4x2) Tahun 2018 + Tangki Trailer Semen Titan 40 Ton
1 Unit Mercedes Benz 4028 T (4x2) Tahun 2018 + Tangki Trailer Semen Titan 40 Ton
1 Unit Mitsubhisi FV513H Tahun 2008 + Crane dan Tambahan Chassis</t>
  </si>
  <si>
    <t>Jalan Proklamator Raya No.8</t>
  </si>
  <si>
    <t>Bandar Jaya Timur</t>
  </si>
  <si>
    <t>Tebanggi Besar</t>
  </si>
  <si>
    <t>Kab Lampung Tengah</t>
  </si>
  <si>
    <t>B 9465 TEJ</t>
  </si>
  <si>
    <t>Tractor Head/ 4028 (4x2)</t>
  </si>
  <si>
    <t>Mercedes Benz/ Tracktor Head</t>
  </si>
  <si>
    <t>Bapak Rian (081398288795)</t>
  </si>
  <si>
    <t>Bapak Said (081295967637)</t>
  </si>
  <si>
    <t>Bapak Nova (0852131222282)</t>
  </si>
  <si>
    <t>Richard Barus (Penilai), Firdaus Ginting (Pelaksana Inspeksi)</t>
  </si>
  <si>
    <t>1 Unit Mercedes Benz 4028 T (4x2) Tahun 2018 + Tangki Trailer Semen Titan 40 Ton</t>
  </si>
  <si>
    <t>BE 8453 IU</t>
  </si>
  <si>
    <r>
      <t xml:space="preserve">Tracckror Head Mitsubhisi FV513H Tahun 2008 
Mounted Crane Merk </t>
    </r>
    <r>
      <rPr>
        <b/>
        <sz val="11"/>
        <color theme="1"/>
        <rFont val="Calibri"/>
        <family val="2"/>
        <scheme val="minor"/>
      </rPr>
      <t>B.S Model BS330.4</t>
    </r>
    <r>
      <rPr>
        <sz val="11"/>
        <color theme="1"/>
        <rFont val="Calibri"/>
        <family val="2"/>
        <scheme val="minor"/>
      </rPr>
      <t xml:space="preserve">
Countiner Chassis</t>
    </r>
  </si>
  <si>
    <t>B 9118 Bea</t>
  </si>
  <si>
    <t>00215/RBY-PPJP/BKS/XI/2023</t>
  </si>
  <si>
    <t>00002/2.0144-01/PP/06/0612/1/I/2024</t>
  </si>
  <si>
    <t>PT. Sarana Sampit Mentaya Utama</t>
  </si>
  <si>
    <t>Bangunan</t>
  </si>
  <si>
    <t>1. Kantor Utama
2. Ruang Thermo Oil+Genset
3. Ruang Teknik
4. Ruang Produksi Aspal
5. Ruang Limbah B3
6. Pos Timbang
7. Pos Jaga</t>
  </si>
  <si>
    <t>Jalan Pulau Balang KM.13 No.1</t>
  </si>
  <si>
    <t>Balikpapan Barat</t>
  </si>
  <si>
    <t>Mesin 
1. Thermo Oil Heater / Suction Oil Heatrer
2. Genset Hargen Perkins 1602-A 250 Kva Silent
3. Compresor Air Man
4. Gear Pump Rotor ZPG 8 W
5.  Mini Fuel Dispenser
6. Jembatan Timbang
Peralatan
1. Plant Mekanikal
2.Plant Mekanikal Produksi
3. Plant Elektrikal
4. Instalasi Pipa
5. Utilitas</t>
  </si>
  <si>
    <t>Set dan Unit</t>
  </si>
  <si>
    <t>Aspal Curah</t>
  </si>
  <si>
    <t>00195/RBY-PPJP/BKS/X/2023</t>
  </si>
  <si>
    <t>00003/2.0144-01/PI/08/0612/1/I/2024</t>
  </si>
  <si>
    <t>PT. Asuransi Bina Dana Arta, Tbk</t>
  </si>
  <si>
    <t>Sarana Pelengkap</t>
  </si>
  <si>
    <t>Jalan Dharma Bakti Ujung</t>
  </si>
  <si>
    <t>Kel. Labuh Baru Barat</t>
  </si>
  <si>
    <t>Payung Sekaki</t>
  </si>
  <si>
    <t>Jalan Dharma Bakti Ujung, Kel. Labuh Baru Barat, Kec. Payung Sekaki, Prov. Riau</t>
  </si>
  <si>
    <t>Bapak Alex (082389448498)</t>
  </si>
  <si>
    <t>Bapak Hadi Tinambunan (081371668168)</t>
  </si>
  <si>
    <t>Jalan Sido Rukun Ujung, Kel. Labuh Baru Barat, Kec. Payung Sekaki, Prov. Riau</t>
  </si>
  <si>
    <t>Bapak Mangido Nababan (085271945353)</t>
  </si>
  <si>
    <t>00004/2.0144-01/PI/08/0612/1/I/2024</t>
  </si>
  <si>
    <t>Rusun Non Hunian (Kantor)</t>
  </si>
  <si>
    <t>Rumah Susun Komersial Campuran District 8 SCBD No. OFI-050 Tower 5(Treasury Tower)</t>
  </si>
  <si>
    <t>Jalan Senopati Raya</t>
  </si>
  <si>
    <t>Kel. Senayan</t>
  </si>
  <si>
    <t xml:space="preserve">Treasury Tower SCBD District 8, Jalan Senopati, Lantai 32, Kel. Senayan, Kec. Kebayoran Baru, Kota Jakarta Selatan, Prov. DKI Jakarta </t>
  </si>
  <si>
    <t>kantor</t>
  </si>
  <si>
    <t>Ibu Liana Setiawan (081385000676)</t>
  </si>
  <si>
    <t xml:space="preserve">Equity Tower District 9, Jalan Tuludong Atas 2, Lantai 25, Kel. Senayan, Kec. Kebayoran Baru, Kota Jakarta Selatan, Prov. DKI Jakarta </t>
  </si>
  <si>
    <t>Ibu Erfinanti Tan (081977403529)</t>
  </si>
  <si>
    <t xml:space="preserve">Equity Tower District 9, Jalan Tuludong Atas 2, Lantai 19, Kel. Senayan, Kec. Kebayoran Baru, Kota Jakarta Selatan, Prov. DKI Jakarta </t>
  </si>
  <si>
    <t>Ibu Nichole Rebeka (081384849062)</t>
  </si>
  <si>
    <t>Richard Barus (Penilai), Firdaus Ginting (Pelaksana Inspkesi)</t>
  </si>
  <si>
    <t>00005/2.0144-01/PI/08/0612/1/I/2024</t>
  </si>
  <si>
    <t>Jalan Inspektur Marzuki RT.007 RW. 09</t>
  </si>
  <si>
    <t>Kel. Siring  Agung</t>
  </si>
  <si>
    <t>Ilir Barat 1</t>
  </si>
  <si>
    <t>Jalan Inspektur Marzuki, Kel. Siring Agung, Kec. Ilir Barat 1, Kota Palembang, Prov. Sumatra Selatan</t>
  </si>
  <si>
    <t>Bapak Yan (082177906212)</t>
  </si>
  <si>
    <t>Bapak Wandi (0811787100)</t>
  </si>
  <si>
    <t>Bapak Denny Teja (082306254253)</t>
  </si>
  <si>
    <t>00178/RBY-PPJP/BKS/IX/2023</t>
  </si>
  <si>
    <t>00006/2.0144-01/PP/10/0612/1/I/2024</t>
  </si>
  <si>
    <t>PT. Marga Dinamik Perkasa</t>
  </si>
  <si>
    <t>Jalan Lingkar Selatan KM. 9,75 No.54 RT.03 RW.02</t>
  </si>
  <si>
    <t>BK 8663 ER</t>
  </si>
  <si>
    <t>Tangki/ FVR 34 P (N)</t>
  </si>
  <si>
    <t>Jakarta Utara</t>
  </si>
  <si>
    <t>ISUZU/ Tangki</t>
  </si>
  <si>
    <t>Bapak Bayu (085728555295)</t>
  </si>
  <si>
    <t>jakarta Barat</t>
  </si>
  <si>
    <t>Bapak Unggul (081548652523)</t>
  </si>
  <si>
    <t>Bapak Frans (085171199125)</t>
  </si>
  <si>
    <t>Richard Barus (Penilai), Robbi Sugara Ginting (Pelaksana Inspkesi)</t>
  </si>
  <si>
    <t>BK 8193 FP</t>
  </si>
  <si>
    <t>Tractor Head/ GVZ 34 K</t>
  </si>
  <si>
    <t>ISUZU/ Tracktor Head</t>
  </si>
  <si>
    <t xml:space="preserve">Bapak Acih </t>
  </si>
  <si>
    <t>Bapak Iwan (081298400906)</t>
  </si>
  <si>
    <t xml:space="preserve">ISUZU/Tracktor Head </t>
  </si>
  <si>
    <t>Ibu Enni</t>
  </si>
  <si>
    <t>BK 8190 FP</t>
  </si>
  <si>
    <t>Tracktor Head/ GVZ 34 K</t>
  </si>
  <si>
    <t>NO1406637</t>
  </si>
  <si>
    <t>00250/RBY-PPJP/BKS/XII/2023</t>
  </si>
  <si>
    <t>00007/2.0144-01/PP/07/0612/1/I/2024</t>
  </si>
  <si>
    <t>Jalan Jendral Sudirman No.53 RT. 008 RW. 01</t>
  </si>
  <si>
    <t>Desa Ngarus</t>
  </si>
  <si>
    <t>pati</t>
  </si>
  <si>
    <t>Jalan Raya Pati, Desa Pati Wetan, Kec. Pati, Kab. Pati, Prov. Jawa Tengah</t>
  </si>
  <si>
    <t>Ibu Junika Adiany (0816660021</t>
  </si>
  <si>
    <t>Jalan Jendral Sudirmna, Desa Kalidoro, Kec. Pati, Kab. Pati, Prov. Jawa Tengah</t>
  </si>
  <si>
    <t>Ibu Liani (08122533605)</t>
  </si>
  <si>
    <t>Jalan Raya Tuban Semarang, Desa Ngarus, Kec. Pati, Kab. Pati, Prov. Jawa Tengah</t>
  </si>
  <si>
    <t>Bapak Irawan (08122939493)</t>
  </si>
  <si>
    <t>Gun Gun Bayu Sahara &amp; Robbi Sugara Ginting (Penilai), Fajar Heriyadi Tambunan &amp; Firdaus Ginting (Pelaksana Inspkesi)</t>
  </si>
  <si>
    <t>00232/RBY-PPJP/BKS/XI/2023</t>
  </si>
  <si>
    <t>00008/2.0144-01/PP/10/0612/1/I/2024</t>
  </si>
  <si>
    <t>PT. Golden Benua Maritim</t>
  </si>
  <si>
    <t>Kapal Gas Carrier</t>
  </si>
  <si>
    <t>DWT(Ton)</t>
  </si>
  <si>
    <t>Perairan Selat Makasar</t>
  </si>
  <si>
    <t>Kel. Sepinggan</t>
  </si>
  <si>
    <t>Gas Suasa Ex gas Enchanted</t>
  </si>
  <si>
    <t>Marshal Island</t>
  </si>
  <si>
    <t>kapal (Liquiefied Gas Carrier)</t>
  </si>
  <si>
    <t>james.Jayson@clarksons.com</t>
  </si>
  <si>
    <t>Erpo</t>
  </si>
  <si>
    <t>Kapal (Gas Shuriken)</t>
  </si>
  <si>
    <t>james.jayson@clarksons.com</t>
  </si>
  <si>
    <t>Asia</t>
  </si>
  <si>
    <t>Kapal (Ethereal)</t>
  </si>
  <si>
    <t>https://www.nautisnp.com/ta</t>
  </si>
  <si>
    <t>00004/RBY-PPJP/BKS/I/2024</t>
  </si>
  <si>
    <t>00009/2.0144-01/PI/08/0612/1/I/2024</t>
  </si>
  <si>
    <t>2 Unit Rusun Non Hunian (Kantor)</t>
  </si>
  <si>
    <t>Rusun Hunian &amp; Non Hunian (Kantor )Plaza Abda dan Sudirman Mansion</t>
  </si>
  <si>
    <t>Jalan Jendral Sudirman Kv. 59 No.77 Lt. 28 No.28-C dan D Blok A</t>
  </si>
  <si>
    <t>Rusun Hunian &amp; Non Hunian (Kantor) Plaza Abda dan Sudirman Mansion, Jalan Sudirman Kav. 59 No.77, Kel. Senayan, Kec. Kebayoran Baru, Prov.DKI Jakarta</t>
  </si>
  <si>
    <t>Ibu Sylvia Kurnia (081380949478)</t>
  </si>
  <si>
    <t>Rusun Hunian &amp; Non Hunian (Kantor) Plaza Abda dan Sudirman Mansion, Jalan Sudirman Kav. 59 No.77, Kel. Senayan, Kec. Kebayoran Baru, Prov.DKI Jakarta Lt. 16</t>
  </si>
  <si>
    <t>Ibu Anna w (08119109988)</t>
  </si>
  <si>
    <t>Rusun Hunian &amp; Non Hunian (Kantor) Plaza Abda dan Sudirman Mansion, Jalan Sudirman Kav. 59 No.77, Kel. Senayan, Kec. Kebayoran Baru, Prov.DKI Jakarta Lt 20</t>
  </si>
  <si>
    <t>Ibu Evi Lovina (0816878236)</t>
  </si>
  <si>
    <t>00242/RBY-PPJP/BKS/XII/2023</t>
  </si>
  <si>
    <t>000010/2.0144-01/PI/07/0612/1/I/2024</t>
  </si>
  <si>
    <t>Kp. Kemang</t>
  </si>
  <si>
    <t>Gang H.Bakir No. 38 RT.005 RW 02</t>
  </si>
  <si>
    <t>Kel. Jaticempaka</t>
  </si>
  <si>
    <t>Pondok Gede</t>
  </si>
  <si>
    <t>Kp. Kemang, Jalan Masjid II RT. 003 RW. 07, Kel. Jaticempaka, Kec. Pondok Gede, Kota Bekasi, Prov. Jawa Barat</t>
  </si>
  <si>
    <t>Bapak Sayadi (0813870112xx)</t>
  </si>
  <si>
    <t>Kp. Kemang, Jalan Masjid II No.xx RT. 003 RW. 02, Kel. Jaticempaka, Kec. Pondok Gede, Kota Bekasi, Prov. Jawa Barat</t>
  </si>
  <si>
    <t>Ibu Reza (0813178076xx)</t>
  </si>
  <si>
    <t>Jalan Amin Abas Ujung No.xx, Kel. Jaticempaka, Kec. Pondok Gede, Kota Bekasi, Prov. Jawa Barat</t>
  </si>
  <si>
    <t>Bapak Haiden (0812229362xx)</t>
  </si>
  <si>
    <t>00219/RBY-PPJP/BKS/XI/2023</t>
  </si>
  <si>
    <t>000011/2.0144-01/PI/10/0612/1/I/2024</t>
  </si>
  <si>
    <t>PT. Tiki Jaluer Nugraha Ekakurir</t>
  </si>
  <si>
    <t>PT. Tiki Jalur Nugrahah Ekakurir</t>
  </si>
  <si>
    <t>Perumahan Nirwana Golden Park</t>
  </si>
  <si>
    <t>Blok D8 No. 9</t>
  </si>
  <si>
    <t>Cibinong</t>
  </si>
  <si>
    <t xml:space="preserve">Kab. Bogor </t>
  </si>
  <si>
    <t>Perumahan Nirwana Golden Park, Blok D5 No.12, Kel Pakansari, Kec. Cibinong, Kab. Bogor, Prov.Jawa Barat</t>
  </si>
  <si>
    <t>Ibu Siska (0895342894078)</t>
  </si>
  <si>
    <t>Perumahan Nirwana Golden Park, Blok D3 No. 14, Kel. Pakansari, Kec. Cibinong, Kab. Bogor, Prov. Jawa Barat</t>
  </si>
  <si>
    <t>Ibu Yuni (081231587349)</t>
  </si>
  <si>
    <t>Perumahan Nirwana Golden Park, Blok C2 No.33, Kel. Pakansari, Kec. Cibinong, Kab. Bogor, Prov. Jawa Barat</t>
  </si>
  <si>
    <t>Ibu Syamsul (087886662447)</t>
  </si>
  <si>
    <t>00183/RBY-PPJP/BKS/X/2023</t>
  </si>
  <si>
    <t>000012/2.0144-01/PI/10/0612/1/I/2024</t>
  </si>
  <si>
    <t>PT. Medika Loka Bitung</t>
  </si>
  <si>
    <t>Tanah dan Bangunan (Rumah Sakit Hermina Bitung</t>
  </si>
  <si>
    <t>Jalan Raya Serang KM 10</t>
  </si>
  <si>
    <t>Curug</t>
  </si>
  <si>
    <t>Jalan Raya Serang, Desa Kadu, Kec. Curug, Kab. Tanggerang, Prov. Banten</t>
  </si>
  <si>
    <t>Ibu Meli (08111906123)</t>
  </si>
  <si>
    <t>Jalan Raya Pantura, Desa Jatake, Kec. Jatiuwung, Kab. Tanggerang, Prov. Banten</t>
  </si>
  <si>
    <t>Bapak Edy Susanto (087752550009)</t>
  </si>
  <si>
    <t>Jalan Raya Serang KM 1,5,  Desa Cikupa, Kec. Cikupa, Kab. Tanggerang, Prov. Banten</t>
  </si>
  <si>
    <t>Bapak Aa Ansori (085748603600)</t>
  </si>
  <si>
    <t>Jalan Raya Serang</t>
  </si>
  <si>
    <t>Jalan Raya Serang KM, 163-218, Desa Bunder, Kec. Cikupa, Kab. Tanggerang, Prov. Banten</t>
  </si>
  <si>
    <t>Bapak Tarmizi (081315057171)</t>
  </si>
  <si>
    <t>Jalan Raya Serang No.xx, Desa Bitung Jaya, Kec. Cikupa, Kab.Tanggerang, Prov. Banten</t>
  </si>
  <si>
    <t>Bapak Amir (081311441130)</t>
  </si>
  <si>
    <t>Jalan Raya Serang KM 163-218, Desa Bunder, Kec. Cikupa, Kab. Tanggerang, Prov. Banten</t>
  </si>
  <si>
    <t>Bapak Budi Supriyanto (081285004783)</t>
  </si>
  <si>
    <t>Jalan Kp. Kadu</t>
  </si>
  <si>
    <t>Kp.Kadu, Desa Kadu, Kel. Curug, Kab. Tanggerang, Prov. Banten</t>
  </si>
  <si>
    <t>Bapak Yudi Ferdiansyah (081218378859)</t>
  </si>
  <si>
    <t>Ibu Sri (081210461841)</t>
  </si>
  <si>
    <t>Bapak Aji TW (0822333539732)</t>
  </si>
  <si>
    <t>00244/RBY-PPJP/BKS/XII/2023</t>
  </si>
  <si>
    <t>000013/2.0144-01/PI/10/0612/1/I/2024</t>
  </si>
  <si>
    <t>PT. Alfarisi Quadra Sejahtera</t>
  </si>
  <si>
    <t>Cluster Patriot Alfarisi</t>
  </si>
  <si>
    <t>Blok A No.1</t>
  </si>
  <si>
    <t>Desa Sumber Jaya</t>
  </si>
  <si>
    <t>Griya asri 2, Jalan Flamboyan 5 No.34, Kel. Sumber Jaya, Kec. Tambun Selatan, Kab. Bekasi, Prov. Jawa Barat</t>
  </si>
  <si>
    <t>Ibu Ani (0895415072096)</t>
  </si>
  <si>
    <t>Griya asri 2, Jalan Cendrasih 1 No.48, Kel. Sumber Jaya, Kec. Tambun Selatan, Kab. Bekasi, Prov. Jawa Barat</t>
  </si>
  <si>
    <t>Bapak Sariful (081399739886)</t>
  </si>
  <si>
    <t>Grand Trias Village, Jalan Teratai III, Kel. Sumber Jaya, Kec. Tambun Selatan, Kab. Bekasi, Prov. Jawa Barat</t>
  </si>
  <si>
    <t>Ibu Salma (081223336868)</t>
  </si>
  <si>
    <t>Ada 2 Laporan Hardcopy</t>
  </si>
  <si>
    <t>000014/2.0144-01/PI/10/0612/1/I/2024</t>
  </si>
  <si>
    <t>Blok A No.2</t>
  </si>
  <si>
    <t>00007/RBY-PPJP/BKS/I/2024</t>
  </si>
  <si>
    <t>000015/2.0144-01/PI/07/0612/1/I/2024</t>
  </si>
  <si>
    <t xml:space="preserve">Pabrik </t>
  </si>
  <si>
    <t>Jalan Klapanunggal No. 7 Kampung Cibugis RT.005 RW 006</t>
  </si>
  <si>
    <t>Desa Klapanunggal</t>
  </si>
  <si>
    <t>Klapanunggal</t>
  </si>
  <si>
    <t>Jalan Klapanunggal Kp.Cibugis RT. 005 RW. 006, Desa  Klapanunggal, Kec. Klapanunggal, Kab. Bogor, Prov. Jawa Barat</t>
  </si>
  <si>
    <t>Bapak Tahli (081311901101)</t>
  </si>
  <si>
    <t>Jalan Klapanunggal,  Desa  Klapanunggal, Kec. Klapanunggal, Kab. Bogor, Prov. Jawa Barat</t>
  </si>
  <si>
    <t>Bapak Wirasetyo (0818652084)</t>
  </si>
  <si>
    <t>Jalan Coco Garden Kp.Tegal, Desa  Kembang Kuning, Kec. Klapanunggal, Kab. Bogor, Prov. Jawa Barat</t>
  </si>
  <si>
    <t>Bapak Soni (081314019063)</t>
  </si>
  <si>
    <t>Amri Simbolon &amp; Santo Cornelius Ginting (Penilai), Edwardo Krisna Sembiring (Pelaksana Inspeksi)</t>
  </si>
  <si>
    <t>Mesin dan Peralatan 
1. 2 Layers Dryer
2. Ceramic Tile Manufacturing Production Line Equipment
3. ATSA Panel : ATSB1 Panel, ATSB2 Panel, MPB2-1 Panel dan Cable Tray With Accesory
4. Hydraulic Tile Press YP3000
5. Sorting Line Mod Easy Line Complete With Accessories
6. Ceramic Tile Manufacturing Production Line Equipment
7. Ceramic Tile Manufacturing Prodaction Line Equipment
8. Ceramical Tiles Packing System</t>
  </si>
  <si>
    <t>00247/RBY-PPJP/BKS/XII/2023</t>
  </si>
  <si>
    <t>000016/2.0144-01/PI/07/0612/1/I/2024</t>
  </si>
  <si>
    <t>Jalan Tanjung Pura</t>
  </si>
  <si>
    <t>Kel. Kepandean</t>
  </si>
  <si>
    <t>Indramayu</t>
  </si>
  <si>
    <t>Kab. Indramayu</t>
  </si>
  <si>
    <t>Jalan Kembar, Desa Kepandean, Kec. Indramayu, Kab. Indramayu, Prov. Jawa Barat</t>
  </si>
  <si>
    <t>Bapak Yudhi (087828966543)</t>
  </si>
  <si>
    <t>Jalan Pasar Baru, Desa Karangmalang, Kec. Indramayu, Kab. Indramayu, Prov. Jawa Barat</t>
  </si>
  <si>
    <t>Bapak Edo (0811244426)</t>
  </si>
  <si>
    <t>Jalan Gatot Subroto, Desa Pekandangan, Kec. Indramayu, Kab. Indramayu, Prov. Jawa Barat</t>
  </si>
  <si>
    <t>Bapak Aji (0895408598877)</t>
  </si>
  <si>
    <t>Amri Simboln (Penilai), Firdaus Ginting &amp; Edwardo Sembiring (Pelaksana Inspeksi)</t>
  </si>
  <si>
    <t>Mesin dan Peralatan (IPA Kapasitas 50 Liter/Detik)</t>
  </si>
  <si>
    <t>00231/RBY-PPJP/BKS/XI/2023</t>
  </si>
  <si>
    <t>000017/2.0144-01/PP/10/0612/1/I/2024</t>
  </si>
  <si>
    <t>PT. Sillo Maritime Perdana, Tbk</t>
  </si>
  <si>
    <t>Kapal (Floating Storage Off-loading (FSO)</t>
  </si>
  <si>
    <t>Perairan Lampung, Pulau Harapan</t>
  </si>
  <si>
    <t>Kab. Kepulauan seribu</t>
  </si>
  <si>
    <t>FSO</t>
  </si>
  <si>
    <t>00006/RBY-PPJP/BKS/XI/2023</t>
  </si>
  <si>
    <t>000018/2.0144-01/PI/10/0612/1/I/2024</t>
  </si>
  <si>
    <t>Kel.Menteng</t>
  </si>
  <si>
    <t>Jalan Garut, kel. Menteng, Kec. Menteng, Kota Jakarta Pusat, Prov. DKI Jakarta</t>
  </si>
  <si>
    <t>Ibu Lilian (08111957718)</t>
  </si>
  <si>
    <t>Ibu Niken (0817786777)</t>
  </si>
  <si>
    <t>Jalan Ki Mangunsarkono, kel. Menteng, Kec. Menteng, Kota Jakarta Pusat, Prov. DKI Jakarta</t>
  </si>
  <si>
    <t>Santo Cornelius Ginting (Penilai)</t>
  </si>
  <si>
    <t>Jalan Raya Kelapa Dua Wetan No.25 RT.007 RW. 04</t>
  </si>
  <si>
    <t>Ciracas</t>
  </si>
  <si>
    <t>Jalan Raya Kelapa Dua Wetan, Kel. Kelapa Dua Wetan, kec. Ciracas, Kota Jakarta Timur, Prov. DKI Jakarta</t>
  </si>
  <si>
    <t>Ibu Herlina (0818949918)</t>
  </si>
  <si>
    <t>Jalan Raya Kelapa Dua Wetan No.36, Kel. Kelapa Dua Wetan, kec. Ciracas, Kota Jakarta Timur, Prov. DKI Jakarta</t>
  </si>
  <si>
    <t>Bapak Badrun (087713621664)</t>
  </si>
  <si>
    <t>Jalan Raya Kelapa Dua Wetan No.10, Kel. Kelapa Dua Wetan, kec. Ciracas, Kota Jakarta Timur, Prov. DKI Jakarta</t>
  </si>
  <si>
    <t>00031/RBY-PPJP/BKS/II/2024</t>
  </si>
  <si>
    <t>000019/2.0144-01/PI/07/0612/1/II/2024</t>
  </si>
  <si>
    <t>Perumahan Cikarang Baru</t>
  </si>
  <si>
    <t>Jalan Antilop VI Blok I2 No. 7 RT.01 RW.10</t>
  </si>
  <si>
    <t>Kel. Jayamukti</t>
  </si>
  <si>
    <t>Perumahan Cikarang Baru, Jalan Tarum Barat Blo E1 No.xx, Kel. Jayamuktim Kec. Cikarang Pusat, Kab. Bekasi, Prov. Jawa Barat</t>
  </si>
  <si>
    <t>Ibu Gusti (0813869861xx)</t>
  </si>
  <si>
    <t>Perumahan Cikarang Baru, Jalan Antilop V Blok C4 No.xx, Kel. Jayamuktim Kec. Cikarang Pusat, Kab. Bekasi, Prov. Jawa Barat</t>
  </si>
  <si>
    <t>Bapak Hendrik (0852150838xx)</t>
  </si>
  <si>
    <t>Ibu Supi (08128023xxx)</t>
  </si>
  <si>
    <t>00020/2.0144-01/PI/07/0612/1/II/2024</t>
  </si>
  <si>
    <t>Perumahan Pondok Pekayon Indah</t>
  </si>
  <si>
    <t>Jalan Pakis Raya Blok BB 12 No. 03 RT. 002 RW. 012</t>
  </si>
  <si>
    <t>Kel. Pekayon Jaya</t>
  </si>
  <si>
    <t>Pondok Pekayon Indah Pakis Raya Blok AA 22 No.09, Kel. Pekayon Jaya, Kec. Bekasi Selatan, Kota Bekasi, Prov. Jawa Barat</t>
  </si>
  <si>
    <t>Bapak Jefri (085380000711)</t>
  </si>
  <si>
    <t>Pondok Pekayon Indah Pakis Raya Blok BB 6 No. 05, Kel Pekayon Jaya, Kec. Bekasi Selatan, Kota Bekasi, Prov. Jawa Barat</t>
  </si>
  <si>
    <t>Bapak Riva (08988765476)</t>
  </si>
  <si>
    <t>Pondok Pekayon Indah Pakis Raya Blok AA 21 No. 01, Kel Pekayon Jaya, Kec. Bekasi Selatan, Kota Bekasi, Prov. Jawa Barat</t>
  </si>
  <si>
    <t>Ibu Cynthia (081310002358)</t>
  </si>
  <si>
    <t>Richard Barus (Penilai), Firdaus Ginting &amp; Eric Chantona Petrus Ginting (Pelaksana Inspeksi)</t>
  </si>
  <si>
    <t>00017/RBY-PPJP/BKS/I/2023</t>
  </si>
  <si>
    <t>00021/2.0144-01/PI/04/0612/1/II/2024</t>
  </si>
  <si>
    <t xml:space="preserve">PT. Pilot Pen Indonesia </t>
  </si>
  <si>
    <t>PT. Pilot Pen Indonesia</t>
  </si>
  <si>
    <t>Kawasan Greenland Internasional Industrial Center (GIIC)</t>
  </si>
  <si>
    <t>Jalan Anggrek III Blok AA No.22</t>
  </si>
  <si>
    <t>Desa Sukamahi</t>
  </si>
  <si>
    <t>Kawasan Industri Greenland Internasional Industrial Center (GIIC), Jalan Anggrek I, Kel.Sukamahi, Kec. Cikarang Pusat, Kab, Bekasi, Prov. Jawa Barat</t>
  </si>
  <si>
    <t>Bapak James (081283813968)</t>
  </si>
  <si>
    <t>Kawasan Industri Greenland Internasional Industrial Center (GIIC), Jalan Anggrek VII, Kel.Sukamahi, Kec. Cikarang Pusat, Kab, Bekasi, Prov. Jawa Barat</t>
  </si>
  <si>
    <t>Ibu Elly Miniarty (087864446192)</t>
  </si>
  <si>
    <t>Kawasan Industri Greenland Internasional Industrial Center (GIIC), Jalan Anggrek Raya, Kel.Sukamahi, Kec. Cikarang Pusat, Kab, Bekasi, Prov. Jawa Barat</t>
  </si>
  <si>
    <t>Bapak Avip (081312341882)</t>
  </si>
  <si>
    <t>Richard Barus (Penilai), Fajara  Hariyadi Tambunan (Pelaksana Inspeksi)</t>
  </si>
  <si>
    <t>00256/RBY-PPJP/BKS/XII/2023</t>
  </si>
  <si>
    <t>00022/2.0144-01/PI/10/0612/1/II/2024</t>
  </si>
  <si>
    <t>PT. Primus  Sanus Cooking Oil Industrial (Priscolin)</t>
  </si>
  <si>
    <t>Jalan Pejuang No. 206 RT. 001 RW.001</t>
  </si>
  <si>
    <t>Kel. Pejuang</t>
  </si>
  <si>
    <t>Jalan Saluran Irigasi Gempol, Kel. Pejuang, Kec. Medan Satria, Kota Bekasi, Prov. Jawa Barat</t>
  </si>
  <si>
    <t>Bapak JF Juliano (081210224225)</t>
  </si>
  <si>
    <t>Jalan Pejuang, Kel. Pejuang, Kec. Medan Satria, Kota Bekasi, Prov. Jawa Barat</t>
  </si>
  <si>
    <t>Ibu Westri Arie (085880888225)</t>
  </si>
  <si>
    <t>Ibu Ayu (081297881851)</t>
  </si>
  <si>
    <t>Santo Cornelius Ginting &amp; Amri Simbolon (Penilai), Firdaus Ginting &amp; Edwardo Krisna Sembiring (Pelaksana Inspeksi)</t>
  </si>
  <si>
    <t>Mesin Dan Peralatan</t>
  </si>
  <si>
    <t>1.Kapasitas 500 TPD (Physical Refining)
2. Kapasitas 150 TPD (Physical Refining)
3. Kapasitas 200 TPD Stearin Fract/400 TPD Normal Fract
4. Filling/Packing Station (Kap.250TPD)
5. Water Treatment Plant (WTP)
6. Storage Tank
7. Utilitas</t>
  </si>
  <si>
    <t>000020/RBY-PPJP/BKS/I/2024</t>
  </si>
  <si>
    <t>00023/2.0144-01/PI/10/0612/1/II/2024</t>
  </si>
  <si>
    <t>PT. Bumi Mekar Tani</t>
  </si>
  <si>
    <t>Jalan Raya Lembar Mataram</t>
  </si>
  <si>
    <t>Desa Jembatan Kembar</t>
  </si>
  <si>
    <t>Lembar</t>
  </si>
  <si>
    <t>Kab. Lombok Barat</t>
  </si>
  <si>
    <t>Nusa Tenggara Barat (NTB)</t>
  </si>
  <si>
    <t>Jalan Raya Lembar Mataram, Desa Jembatan Kembar, Kec. Lembar,  Kab. Lombok Barat, Prov. Nusa Tenggara Barat</t>
  </si>
  <si>
    <t>Ibu Eny (087765435258)</t>
  </si>
  <si>
    <t>Bapak Selain (081999311164)</t>
  </si>
  <si>
    <t>Jalan Raya Lembar Mataram, Desa Lembar, Kec. Lembar,  Kab. Lombok Barat, Prov. Nusa Tenggara Barat</t>
  </si>
  <si>
    <t>Bapak Eko (081933177874)</t>
  </si>
  <si>
    <t>Robbi Sugara Ginting (Penilai &amp; Pelaksana Inspeksi)</t>
  </si>
  <si>
    <t>000032/RBY-PPJP/BKS/II/2024</t>
  </si>
  <si>
    <t>00024/2.0144-01/PI/07/0612/1/II/2024</t>
  </si>
  <si>
    <t>PT. Rajawali Nusantara Indonesia, (Persero)</t>
  </si>
  <si>
    <t>Gedung Kantor (ID FOOD)</t>
  </si>
  <si>
    <t>Sarana Pelengkap &amp; Container Box</t>
  </si>
  <si>
    <t>Jalan Denpasar Raya Kavling D-III</t>
  </si>
  <si>
    <t>Jalan Prof. Dr. Satrio, Kel. Kuningan Timur, Kec. Setiabudi, Kota Jakarta Selatan, Prov. DKI Jakarta</t>
  </si>
  <si>
    <t>Oman Komaruddin (087819992990)</t>
  </si>
  <si>
    <t>Oman Kormaruddin (087819992990)</t>
  </si>
  <si>
    <t>Jalan Epicentrum Tengah, Kel. Kuningan Timur, Kec. Setiabudi, Kota Jakarta Selatan, Prov. DKI Jakarta</t>
  </si>
  <si>
    <t>Bapak Putra (082312345607)</t>
  </si>
  <si>
    <t>Richard Barus &amp; Santo Cornelius Ginting (Penilai), Edwardo Krisna Sembiring (Pelaksana Inspeksi)</t>
  </si>
  <si>
    <t>00226/RBY-PPJP/BKS/XI/2023</t>
  </si>
  <si>
    <t>00025/2.0144-01/PI/10/0612/1/II/2024</t>
  </si>
  <si>
    <t>PT. Graha Kardia Indonesia</t>
  </si>
  <si>
    <t>Tanah dan Bangunan (Rumah Sakit Jantung Tasikmalaya)</t>
  </si>
  <si>
    <t>Jalan Mohammad Hatta, Kp. Kalangsari RT. 001 RW. 02</t>
  </si>
  <si>
    <t>Kel. Sukamanah</t>
  </si>
  <si>
    <t>Cipedes</t>
  </si>
  <si>
    <t>Kota Tasikmalaya</t>
  </si>
  <si>
    <t>Jalan Mohammad Hatta, Kel. Sukamanah, Kec. Cipedes, Kota Tasikmalaya, Prov. Jawa Barat</t>
  </si>
  <si>
    <t>Bapak Heri (08122282164)</t>
  </si>
  <si>
    <t>Ibu Yeyen (0811209439)</t>
  </si>
  <si>
    <t>Bapak Erwin Kurniawan (0817150048)</t>
  </si>
  <si>
    <t>Santo Cornelius Ginting &amp; Robbi Sugara Ginting (Penilai), Edwardo Krisna Sembiring (Pelaksana Inspeksi)</t>
  </si>
  <si>
    <t>Z 9940 HA</t>
  </si>
  <si>
    <t>Ambulance/ Hiace Commuter M/T</t>
  </si>
  <si>
    <t>T00474027</t>
  </si>
  <si>
    <t>Toyota/ Hiace Commuter M/T</t>
  </si>
  <si>
    <t>pinterest.com/pin67145862568(081284074126)</t>
  </si>
  <si>
    <t>Bandung Kota</t>
  </si>
  <si>
    <t>Toyota/Hiace Commuter M/T</t>
  </si>
  <si>
    <t>Bapak Hendi (0895804723434)</t>
  </si>
  <si>
    <t>Bapak Handy (081246761919)</t>
  </si>
  <si>
    <t>Z 1012 HN</t>
  </si>
  <si>
    <t>Minibus/ W101RE-LBMFJ 1.5 G CVT</t>
  </si>
  <si>
    <t>T03380204</t>
  </si>
  <si>
    <t>Bapak Haryadi (085281084140)</t>
  </si>
  <si>
    <t>Bapak Satiri (082122459175)</t>
  </si>
  <si>
    <t>Bekasi Kota</t>
  </si>
  <si>
    <t>Bapak Agung (082258683535)</t>
  </si>
  <si>
    <t>Peralatan dan Perlengkapan</t>
  </si>
  <si>
    <t>Area Laundry, Area House Keeping, Area UPM, Rekam Medis, Manajemen, Direksi, Instalasi Gawat Darurat, IGD Non Medis, Cathlab, Cathlab Non Medis, Radiologi Medis, Radiologi Non Medis, Lobby lt.1, Poliklinik, Poli non Medis, Farmasi Medis, Farmasi non Medis, Laboratourium, Lab non Medis, Rawat Inap Medis, Rawat Inap non Medis, ICU non- Medis, OK Medis, OK non Medis, CSSD Medis, CSSD non Medis</t>
  </si>
  <si>
    <t>000030/RBY-PPJP/BKS/II/2023</t>
  </si>
  <si>
    <t>000026/2.0144-01/PI/07/0612/1/II/2024</t>
  </si>
  <si>
    <t>Jalan Kebon Besar (d/h Jalan Mesjid) No. 29 D RT.004 RW. 005</t>
  </si>
  <si>
    <t>Cilandak</t>
  </si>
  <si>
    <t>Bapak Felix (08988889xx)</t>
  </si>
  <si>
    <t>Jalan Kramat Batu Dalam No.xx, Kel. Gandaria Selatan, Kec. Cilandak, Kota Jakarta Selatan, Prov. DKI Jakarta</t>
  </si>
  <si>
    <t>Bapak Sio (0819321114xx)</t>
  </si>
  <si>
    <t>Jalan Kramat Batu No.xx, Kel. Gandaria Selatan, Kec. Cilandak, Kota Jakarta Selatan, Prov. DKI Jakarta</t>
  </si>
  <si>
    <t>Ibu Ade (0858140857xx)</t>
  </si>
  <si>
    <t>00027/2.0144-01/PI/07/0612/1/II/2024</t>
  </si>
  <si>
    <t>Jalan Wira Jasa I Blok Z 4 RT.010 RW. 007</t>
  </si>
  <si>
    <t>Jalan Wirajasa 1 Blok xx, Kel. Cipinang Melayu, Kec. Makasar, Kota Jakarta Timur, Prov. DKI Jakarta</t>
  </si>
  <si>
    <t>Bpaka Dharma (08993034xxx)</t>
  </si>
  <si>
    <t>Perumahan Waringin Permai, Jalan Wira Budi 2 Blok K No. xx, Kel. Cipinang Melayu, Kec. Makasar, Kota Jakarta Timur, Prov. DKI Jakarta</t>
  </si>
  <si>
    <t>Bapak Dandan (0812823609xx)</t>
  </si>
  <si>
    <t>Jalan Seulawah Raya RT. 004 RW. 007, Kel. Cipinang Melayu, Kec. Makasar, Kota Jakarta Timur, Prov. DKI Jakarta</t>
  </si>
  <si>
    <t>Ibu Sari Ratna (08171912xx)</t>
  </si>
  <si>
    <t>000030/RBY-PPJP/BKS/II/2024</t>
  </si>
  <si>
    <t>00028/2.0144-01/PI/07/0612/1/II/2024</t>
  </si>
  <si>
    <t>Perkav TNI AL</t>
  </si>
  <si>
    <t>Jalan Selat Bali Blok E11/1 RT.004 RW. 017</t>
  </si>
  <si>
    <t>Perkav. TNI AL, Jalan Selat Batam Blok D1 No.xx, Kel. Duren Sawit, Kec. Duren Sawit, Kota Jakarta Timur, Prov. DkI Jakarta</t>
  </si>
  <si>
    <t>Ibu Erin Inten (08988889xx)</t>
  </si>
  <si>
    <t>Perkav. TNI AL, Jalan Teluk Semangka Blok C2 No.xx, Kel. Duren Sawit, Kec. Duren Sawit, Kota Jakarta Timur, Prov. DkI Jakarta</t>
  </si>
  <si>
    <t>Ibu Agus (0819321114xx)</t>
  </si>
  <si>
    <t>Ibu Imelda (0858140857xx)</t>
  </si>
  <si>
    <t>000041/RBY-PPJP/BKS/II/2024</t>
  </si>
  <si>
    <t>00029/2.0144-01/PI/07/0612/1/III/2024</t>
  </si>
  <si>
    <t>Jalan Matraman Rayo No. 107 RT. 016 RW. 08</t>
  </si>
  <si>
    <t>Jalan Pramuka, Kel. Kayu Manis, Kec. Matraman, Kota Jakarta Timur, Prov. DKI Jakarta</t>
  </si>
  <si>
    <t>Tanah dan Bangunan (Toko)</t>
  </si>
  <si>
    <t>Ibu Astuti (081280860052)</t>
  </si>
  <si>
    <t>Jalan Pramuka, Kel. Palmeriam, Kec. Matraman, Kota Jakarta Timur, Prov. DKI Jakarta</t>
  </si>
  <si>
    <t>Ibu Alfa (08161984517)</t>
  </si>
  <si>
    <t>Jalan Pramuka, Kel. Rawasari, Kec. Cempaka Putih, Kota Jakarta Pusat, Prov. DKI Jakarta</t>
  </si>
  <si>
    <t>Bapak Tayo (082148585711)</t>
  </si>
  <si>
    <t>Santo Cornelius Ginting (Penilai), Firdaus Ginting (Pelaksana Inspeksi)</t>
  </si>
  <si>
    <t>000033/RBY-PPJP/BKS/II/2024</t>
  </si>
  <si>
    <t>00030/2.0144-01/PI/06/0612/1/III/2024</t>
  </si>
  <si>
    <t>PT. Telekomunikasi Indonesia, Tbk</t>
  </si>
  <si>
    <t>Tanah dan Bangunan (EX Apotek K24)</t>
  </si>
  <si>
    <t>Jalan Alun-alun Utara No. 187</t>
  </si>
  <si>
    <t>Kel. Cigending</t>
  </si>
  <si>
    <t>Ujung Berung</t>
  </si>
  <si>
    <t>Sewa Menyewa</t>
  </si>
  <si>
    <t>Jalan A.H Nasution (Raya Ujung Berung), Kel. Cipadung Kulon, Kec. Panyileukan, Kota Bandung, Prov. Jawa Barat</t>
  </si>
  <si>
    <t>Bapak Zardy (085157088412)</t>
  </si>
  <si>
    <t>Jalan A.H Nasution (Raya Ujung Berung), Kel. Cigending, Kec. Ujung Berung, Kota Bandung, Prov. Jawa Barat</t>
  </si>
  <si>
    <t>Ibu Dian Rahmawati (081908081887)</t>
  </si>
  <si>
    <t>Jalan Rumah Sakit, Kel. Pakemitan, Kec. Cinambo, Kota Bandung, Prov. Jawa Barat</t>
  </si>
  <si>
    <t>Ibu Nur (082121623786)</t>
  </si>
  <si>
    <t>Richard Barus (Penilai), Fajar Hariyadi Tambunan (Pelaksana Inspeksi)</t>
  </si>
  <si>
    <t>00031/2.0144-01/PI/06/0612/1/III/2024</t>
  </si>
  <si>
    <t>Jalan Gegerkalong Hilir No.47 RT.002 RW. 01</t>
  </si>
  <si>
    <t>Kel. Sukarasa</t>
  </si>
  <si>
    <t>Sukasari</t>
  </si>
  <si>
    <t>Jalan Gegerkalong Hilir, Kel. Sukarasa, Kec. Sukasari, Kota Bandung, Prov. Jawa Barat</t>
  </si>
  <si>
    <t>Ibu Widya Cecilia (082320009992)</t>
  </si>
  <si>
    <t>Jalan Sastra, Kel. Cipaganti, Kec. Coblong, Kota Bandung, Prov. Jawa Barat</t>
  </si>
  <si>
    <t>Ibu Mirna Kusumayati (085860003027)</t>
  </si>
  <si>
    <t>Jalan Dr. Djunjudan, Kel. Sukagalih, Kec. Sukajadi, Kota Bandung, Prov. Jawa Barat</t>
  </si>
  <si>
    <t>Ibu Cynthia Listiyani (085176878989)</t>
  </si>
  <si>
    <t>000047/RBY-PPJP/BKS/III/2024</t>
  </si>
  <si>
    <t>00032/2.0144-01/PI/12/0612/1/III/2024</t>
  </si>
  <si>
    <t>Hj. Jubaedah</t>
  </si>
  <si>
    <t>Jalan Palmerah Barat No.141 RT. 001 RW. 02</t>
  </si>
  <si>
    <t>Kel. Gelora</t>
  </si>
  <si>
    <t>Tanah Abang</t>
  </si>
  <si>
    <t>Jalan Palmerah Barat, Kel. Palmerah, Kec. Palmerah, Kota Jakarta Barat, Prov. DKI Jakarta</t>
  </si>
  <si>
    <t>Ibu Lusiana (081386807805)</t>
  </si>
  <si>
    <t>Jalan Palmerah Barat, Kel. Grogol Utara, Kec. Kebayoran Lama, Kota Jakarta Barat, Prov. DKI Jakarta</t>
  </si>
  <si>
    <t>Ibu Frisca (081388873788)</t>
  </si>
  <si>
    <t>Jalan Palmerah Barat, Kel. Grogol Utara, kec. Kebayoran Lama, Kota Jakarta Pusat, Prov. DKI Jakarta</t>
  </si>
  <si>
    <t>Ibu Lusy (08118011847)</t>
  </si>
  <si>
    <t>000046/RBY-PPJP/BKS/III/2024</t>
  </si>
  <si>
    <t>00033/2.0144-01/PI/12/0612/1/III/2024</t>
  </si>
  <si>
    <t>Jalan Raya Bogor</t>
  </si>
  <si>
    <t>Sukamaju</t>
  </si>
  <si>
    <t>Jalan Raya Bogor, Kel. Sukamaju, Kec. Cilodong, Kota Depok, Prov. Jawa Barat</t>
  </si>
  <si>
    <t>Ibu Rita Juliana (081380631848)</t>
  </si>
  <si>
    <t>Bapak Jan Arie (0818991598)</t>
  </si>
  <si>
    <t>Jalan BOB Cilangkap, Kel. Cilangkap, Kec. Tapos, Kota Depok, Prov. Jawa Barat</t>
  </si>
  <si>
    <t>Bapak Edi Santoso (081298504650)</t>
  </si>
  <si>
    <t>Santo Cornelius Ginting &amp; Robbi Sugara Ginting (Penilai))</t>
  </si>
  <si>
    <t>Jalan Cipinang Muara II RT.04 RW. 02</t>
  </si>
  <si>
    <t>Kel. Pondok Bambu</t>
  </si>
  <si>
    <t>Jalan Cipinang Muara, Kel. Pondok Bambu, Kec. Duren Sawit, Kota Jakarta Timur, Prov. DKI Jakarta</t>
  </si>
  <si>
    <t>Ibu Rini Yulia(081288557494)</t>
  </si>
  <si>
    <t>Jalan Cipinang Muara Raya, Kel. Pondok Bambu, Kec. Duren Sawit, Kota Jakarta Timur, Prov. DKI Jakarta</t>
  </si>
  <si>
    <t>Ibu Shanti (08188621507)</t>
  </si>
  <si>
    <t>Jalan Cipinang Muara II RT.04 RW. 02, Kel. Pondok Bambu, Kec. Duren Sawit, Kota Jakarta Timur, Prov. DKI Jakarta</t>
  </si>
  <si>
    <t>Ruth Ida (087888999094)</t>
  </si>
  <si>
    <t>Jalan Raya Radin Intan RT.002 RW.07</t>
  </si>
  <si>
    <t>Jalan Raya Radin Intan, Kel. Duren Sawit, Kec. Duren Sawit, Kota Jakarta Timur, Prov. DKI Jakarta</t>
  </si>
  <si>
    <t>Ibu Ifa (085280304930)</t>
  </si>
  <si>
    <t>Ibu Loulisa Christina (081809809722)</t>
  </si>
  <si>
    <t>Jalan Kalimalang, Kel. Duren Sawit, Kec. Duren Sawit, Kota Jakarta Timur, Prov. DKI Jakarta</t>
  </si>
  <si>
    <t>000054/RBY-PPJP/BKS/III/2024</t>
  </si>
  <si>
    <t>00034/2.0144-01/PI/07/0612/1/III/2024</t>
  </si>
  <si>
    <t>Jalan Raya Kronjo RT.04 RW01</t>
  </si>
  <si>
    <t>Desa Kaliasin</t>
  </si>
  <si>
    <t>Sukamulya</t>
  </si>
  <si>
    <t>Jalan Raya Kronjo, Desa. Kaliasin, Kec. Sukamulya, Kab. Tanggerang, Prov. Banten</t>
  </si>
  <si>
    <t>Ibu Iriana (0813827647xx)</t>
  </si>
  <si>
    <t>Bapak M. Sodirin (0813195260xx)</t>
  </si>
  <si>
    <t>Bapak Agus (0878903318xx)</t>
  </si>
  <si>
    <t>000078/RBY-PPJP/BKS/V/2023</t>
  </si>
  <si>
    <t>00035/2.0144-01/PI/10/0612/1/III/2024</t>
  </si>
  <si>
    <t>PT. Medika Loka Ciruas</t>
  </si>
  <si>
    <t>Tanah dan Bangunan (Rumah Sakit Hermina Ciruas)</t>
  </si>
  <si>
    <t>Jalan Raya Serang-Jakarta KM.09</t>
  </si>
  <si>
    <t xml:space="preserve">Desa Ranjeng&amp;Citerep </t>
  </si>
  <si>
    <t>Ciruas</t>
  </si>
  <si>
    <t>Jalan Raya Serang-Jakarta, Kel.Kalodran, Kec.Serang, Kota serang, Prov. Banten</t>
  </si>
  <si>
    <t>Bapak Gilang (081510777765)</t>
  </si>
  <si>
    <t>Jalan Raya Serang-Jakarta, Desa. Kepuren, Kec. Walantaka, Kab.Serang, Prov. Banten</t>
  </si>
  <si>
    <t>Bapak Mulyadi (082114426823)</t>
  </si>
  <si>
    <t xml:space="preserve">Jalan Raya Serang-Jakarta, Desa Pelawad, Kec. Ciruas, Kab. Serang, Prov. Banten </t>
  </si>
  <si>
    <t>Ibu Dian (08995261966)</t>
  </si>
  <si>
    <t>000015/RBY-PPJP/BKS/V/2024</t>
  </si>
  <si>
    <t>00036/2.0144-01/PI/10/0612/1/III/2024</t>
  </si>
  <si>
    <t>PT. Rise Satu Boga</t>
  </si>
  <si>
    <t>3 (Unit) Ruko</t>
  </si>
  <si>
    <t>Komplek Ruko West Park Blok E No. 27,28 dan 29</t>
  </si>
  <si>
    <t>Jalan BSD Raya Pusat</t>
  </si>
  <si>
    <t>Desa Pagedangan</t>
  </si>
  <si>
    <t>Komplek Ruko West Park Blok F No.11, Jalan BSD Raya Pusat, Desa Pagedangan, Kec. Pagedangan, Kab. Tanggerang, Prov. Banten</t>
  </si>
  <si>
    <t>Bapak Yuda (081212081993)</t>
  </si>
  <si>
    <t>Komplek Ruko West Park Blok C No.10, Jalan BSD Raya Pusat, Desa Pagedangan, Kec. Pagedangan, Kab. Tanggerang, Prov. Banten</t>
  </si>
  <si>
    <t>Ibu Sindy (081388606876)</t>
  </si>
  <si>
    <t>Komplek Ruko West Park Blok A No.20, Jalan BSD Raya Pusat, Desa Pagedangan, Kec. Pagedangan, Kab. Tanggerang, Prov. Banten</t>
  </si>
  <si>
    <t>Bapak Alvin (085174325623)</t>
  </si>
  <si>
    <t>000058/RBY-PPJP/BKS/III/2024</t>
  </si>
  <si>
    <t>00037/2.0144-01/PI/10/0612/1/III/2024</t>
  </si>
  <si>
    <t>PT. Suplai Pangan Indonesia</t>
  </si>
  <si>
    <t>PT. Bank Negara Indonesia (Persero), Tbk</t>
  </si>
  <si>
    <t>Jalan Ki Ageng Tepak No.89</t>
  </si>
  <si>
    <t>Desa Semplo</t>
  </si>
  <si>
    <t>Kab.Cirebon</t>
  </si>
  <si>
    <t>Jalan Kisabalanang, Kel. Marikangen, Kec. Plimbon, Kab. Cirebon, Prov. Jawa Barat</t>
  </si>
  <si>
    <t>Bapak Bob (0811242699)</t>
  </si>
  <si>
    <t>Jalan Raya Cirebon-Palimanan, Kel. Ciwaringin, Kec. Ciwaringin, Kab. Cirebon, Prov. Jawa Barat</t>
  </si>
  <si>
    <t>Bapak Setiawan (089626208778)</t>
  </si>
  <si>
    <t>Jalan Ki Ageng Tepak, Kel. Semplo, Kec. Palimanan, Kab. Cirebon, Prov. Jawa Barat</t>
  </si>
  <si>
    <t>Bapak Budi (081223240222)</t>
  </si>
  <si>
    <t>Robbi Sugara Ginting (Penilai), Fajar Hariyadi Tambunan (Pelaksana Inspeksi)</t>
  </si>
  <si>
    <t>Jalan Fatahillah</t>
  </si>
  <si>
    <t>Desa Perbutulan</t>
  </si>
  <si>
    <t>Sumber</t>
  </si>
  <si>
    <t>Jalan Raya Sumber Cirebon, Desa  Kecomberan, Kec. Talun, Kab. Cirebon, Prov. Jawa Barat</t>
  </si>
  <si>
    <t>Ibu Lalan (081909933451)</t>
  </si>
  <si>
    <t>Jalan Raya Sumber-Cirebon, Desa Wanasaba Kidul, Kec. Talun, Kab. Cirebon, Prov. Jawa Barat</t>
  </si>
  <si>
    <t>Bapak Otto (081320468592)</t>
  </si>
  <si>
    <t>Jalan Fatahillah, Desa Perbutulan, Kec. Sumber, Kab. Cirebon, Prov. Jawa Barat</t>
  </si>
  <si>
    <t>Bapak Velvet (082128737887)</t>
  </si>
  <si>
    <t>Jalan Gitung Lor</t>
  </si>
  <si>
    <t>Desa Gintung</t>
  </si>
  <si>
    <t>Susukan</t>
  </si>
  <si>
    <t>Jalan Ki Badang Samaran, Desa Kebonturi, Kec. Arjawinangun, Kab. Cirebon, Prov. Jawa Barat</t>
  </si>
  <si>
    <t>Bapak Bidu Arjaq (08971419992)</t>
  </si>
  <si>
    <t>Jalan Urip Sumiharjo, Desa Kebonturi, Kec. Arjawinangun, Kab. Cirebon, Prov. Jawa Barat</t>
  </si>
  <si>
    <t>Bapak Andi Hartono (081353810644)</t>
  </si>
  <si>
    <t>Jalan Pahlawan, Desa Arjawinangun, Kec. Arjawinangun, Kab. Cirebon, Prov. Jawa Barat</t>
  </si>
  <si>
    <t>Bapak Shondari (081313503513)</t>
  </si>
  <si>
    <t>Jalan Raya Pantura</t>
  </si>
  <si>
    <t>Desa Mundupesisir</t>
  </si>
  <si>
    <t>Jalan raya Pantura, Desa Mundupesisir, Kec. Mundu, Kab. Cirebon, Prov. Jawa Barat</t>
  </si>
  <si>
    <t>Bapak Dicky (08112006707)</t>
  </si>
  <si>
    <t>Bapak Zaenudin (082321222039)</t>
  </si>
  <si>
    <t>Jalan Raya Pantura, Desa Citemu, Kec. Mundu, Kab. Cirebon, Prov. Jawa Barat</t>
  </si>
  <si>
    <t>Bapak Paul (087729361122)</t>
  </si>
  <si>
    <t>000052/RBY-PPJP/BKS/III/2024</t>
  </si>
  <si>
    <t>00038/2.0144-01/PI/10/0612/1/IV/2024</t>
  </si>
  <si>
    <t>Jalan Raya Tuban-Semarang, Dusun Pereng RT.003 RW. 01</t>
  </si>
  <si>
    <t>Desa Purworejo</t>
  </si>
  <si>
    <t>Jenu</t>
  </si>
  <si>
    <t>Kab Tuban</t>
  </si>
  <si>
    <t>Jalan Raya Tuban-Semarang, Desa Kaliuntu, Kec. Jenu, Kab. Tuban, Prov. Jawa Timur</t>
  </si>
  <si>
    <t>Bapak Seno Aji (0811342718)</t>
  </si>
  <si>
    <t>Jalan Raya Tuban-Semarang, Desa Purworejo, Kec. Jenu, Kab. Tuban, Prov. Jawa Timur</t>
  </si>
  <si>
    <t>Bapak Sentosa Lie (081357168709)</t>
  </si>
  <si>
    <t>Bapak Hadi Santoso (085655540722)</t>
  </si>
  <si>
    <t>000049/RBY-PPJP/BKS/III/2024</t>
  </si>
  <si>
    <t>00039/2.0144-01/PI/10/0612/1/IV/2024</t>
  </si>
  <si>
    <t>Jalan Raya Kletek RT.020 RW. 08</t>
  </si>
  <si>
    <t>Taman</t>
  </si>
  <si>
    <t>Jalan Raya Kletek, Desa. Kletek, Kec. Taman, Kab. Sidoarjo, Prov. Jawa Timur</t>
  </si>
  <si>
    <t>Bapak Turiyanto (081703516351)</t>
  </si>
  <si>
    <t>Bapak Ismail (082132004173)</t>
  </si>
  <si>
    <t>ibu Mita (087854242669)</t>
  </si>
  <si>
    <t>Jalan Dr.  Wahidin Sudirohusodo RT. 005 RW. 02</t>
  </si>
  <si>
    <t>Kel. Latsari</t>
  </si>
  <si>
    <t>Tuban</t>
  </si>
  <si>
    <t>Kab. Tuban</t>
  </si>
  <si>
    <t>Jalan Letda sucipto, Kel. Latsari, Kec. Tuban, Kab. Tuban, Prov. Jawa Timur</t>
  </si>
  <si>
    <t>Ibu Putri Sukma (081345483789)</t>
  </si>
  <si>
    <t>Jalan Dr. Wahidin Sudirohusodo, Kel. Latsari, Kec. Tuban, Kab. Tuban, Prov. Jawa Timur</t>
  </si>
  <si>
    <t>Bapak Andique (081249032986)</t>
  </si>
  <si>
    <t>Ibu Khilya (085231968725)</t>
  </si>
  <si>
    <t>Kab, Tuban</t>
  </si>
  <si>
    <t>Jalan Tuban-Babat, Kel. Latsari, Kec. Tuban, Kab. Tuban, Prov. Jawa Timur</t>
  </si>
  <si>
    <t>Dusun Sumber Seko</t>
  </si>
  <si>
    <t>Desa Lebani Suko</t>
  </si>
  <si>
    <t>Wringinanom</t>
  </si>
  <si>
    <t>Kab. Gresik</t>
  </si>
  <si>
    <t>Dusun Sumber Suko, Desa Lebani Suko, Kec. Wringinanom, Kab. Gresik, Prov. Jawa Timur</t>
  </si>
  <si>
    <t>Bapak Suadi (08385579390)</t>
  </si>
  <si>
    <t>Dusun Tanjung, Desa Pasinan Lemahputih, Kec. Wringinanom, Kab. Gresik, Prov. Jawa Timur</t>
  </si>
  <si>
    <t>Dusun Sidomukti, Desa Sumber Rame, Kec. Wringinanom, Kab. Gresik, Prov. Jawa Timur</t>
  </si>
  <si>
    <t>Ibu Lilla (081803227321)</t>
  </si>
  <si>
    <t>Jalan Raya Cerme-Metatu</t>
  </si>
  <si>
    <t>Desa Dungus</t>
  </si>
  <si>
    <t>Cerme</t>
  </si>
  <si>
    <t>Jalan Pasar Cerme Lor, Desa Cagak Agung, Kel. Cerme, Kab. Gresik, Prov. Jawa Timur</t>
  </si>
  <si>
    <t>Bapak Husnul (081234016900)</t>
  </si>
  <si>
    <t>Jalan Raya Cerme-Metatu, Desa Dungus, Kec. Cerme, Kab. Gresik, Prov. Jawa Timur</t>
  </si>
  <si>
    <t>Ibu Sudarsiyah (085733085370)</t>
  </si>
  <si>
    <t>Bapak Prayudi (089606951380)</t>
  </si>
  <si>
    <t>Jalan Kertajaya, Dusun Sawahan RT.003 RW.08</t>
  </si>
  <si>
    <t>Desa Gedang Kulut</t>
  </si>
  <si>
    <t>Jalan Dusun Sawahan RT.003 RW. 08, Desa Gedang Kulut, Kec. Cerme, Kab. Gresik, Prov. Jawa Timur</t>
  </si>
  <si>
    <t>Ibu Narumi (085236998870)</t>
  </si>
  <si>
    <t>Tanah Dan Bangunan</t>
  </si>
  <si>
    <t>Bapak Alandi (083159050831)</t>
  </si>
  <si>
    <t>Jalan Dusun Beliting, Desa Beliting, Kec. Cerme, Kab. Gresik, Prov. Jawa Timur</t>
  </si>
  <si>
    <t>Ibu Laili (085850386386)</t>
  </si>
  <si>
    <t>Jalan Brigjen Sudiarto No. 518</t>
  </si>
  <si>
    <t>Kel. Pedurungan Lor</t>
  </si>
  <si>
    <t>Pedurungan</t>
  </si>
  <si>
    <t>Jalan Brigjen Sidarto, Kel. Pedurungan Lor, Kec. Pedurungan, Kota Semarang, Prov. Jawa Tengah</t>
  </si>
  <si>
    <t>Bapak Jarim (085101659433)</t>
  </si>
  <si>
    <t>Ibu Det (081329337688)</t>
  </si>
  <si>
    <t>Jalan Mayjend S. Parman No. 85</t>
  </si>
  <si>
    <t>Desa Warulor</t>
  </si>
  <si>
    <t>Wiradesa</t>
  </si>
  <si>
    <t>Kab. Pekalongan</t>
  </si>
  <si>
    <t>Jalan Mayjend S.Parman, Desa Warulor, Kec. Wiradesa, Kab. Pekalongan, Prov. Jawa Tengah</t>
  </si>
  <si>
    <t>Bapak Jazuli (08167488330</t>
  </si>
  <si>
    <t>Bapak Hermansyah (Wawancara) (081228688393)</t>
  </si>
  <si>
    <t>Bapak Hermansyah (081228688393)</t>
  </si>
  <si>
    <t>Jalan Blora-Rembang</t>
  </si>
  <si>
    <t>Desa Mantingan</t>
  </si>
  <si>
    <t>Bulu</t>
  </si>
  <si>
    <t>Kab. Rembang</t>
  </si>
  <si>
    <t>Jalan Blora-Rembang, Desa Mantingan, Kec. Bulu, Kab. Rembang, Prov. Jawa Tengah</t>
  </si>
  <si>
    <t>Bapak Suyetno (081326361099)</t>
  </si>
  <si>
    <t>Bapak Anang (Wawancara)</t>
  </si>
  <si>
    <t>Bapak Hamit (082281622299)</t>
  </si>
  <si>
    <t>000067/RBY-PPJP/BKS/IV/2024</t>
  </si>
  <si>
    <t>00040/2.0144-01/PI/06/0612/1/IV/2024</t>
  </si>
  <si>
    <t>PT. Semesta Bolo Transido</t>
  </si>
  <si>
    <t>PT. Semesta Bolo Transindo</t>
  </si>
  <si>
    <t>Jalan Masjid Bendungan No. 15 GA RT. 004 RW. 07</t>
  </si>
  <si>
    <t>Kel. Cawang</t>
  </si>
  <si>
    <t>Jalan Al Hidayah, Kel. Cawang, Kec. Kramat Jati, Kota Jakarta Timur, Prov. DKI Jakarta</t>
  </si>
  <si>
    <t>Bapak Bachrul Chairi (0811831004)</t>
  </si>
  <si>
    <t>Jalan SMA 14 No. 13-14, Kel. Cawang, Kec. Kramat Jati, Kota Jakarta Timur, Prov. DKI Jakarta</t>
  </si>
  <si>
    <t>Bapak Tino (081287155525)</t>
  </si>
  <si>
    <t>Jalan SMA 14, Kel. Cawang, Kec. Kramat Jati, Kota Jakarta Timur, Prov. DKI Jakarta</t>
  </si>
  <si>
    <t>Ibu Rossa (081905274656)</t>
  </si>
  <si>
    <t>000051/RBY-PPJP/BKS/III/2024</t>
  </si>
  <si>
    <t>00041/2.0144-01/PI/07/0612/1/IV/2024</t>
  </si>
  <si>
    <t>Tanah dan Bangunan (Bengkel Las dan Gudang)</t>
  </si>
  <si>
    <t>Jalan Sarinembah, Kp. Jamakir RT.01 RW.05</t>
  </si>
  <si>
    <t>Desa Sukahati</t>
  </si>
  <si>
    <t>Citeureup</t>
  </si>
  <si>
    <t>Jalan Elang, Desa Sukahati, Kec. Citeureup, Kab. Bogor, Prov. Jawa Barat</t>
  </si>
  <si>
    <t>Pemilik (081282166718)</t>
  </si>
  <si>
    <t>Jalan Tangsaw Dalam, Desa Sukahati, Kec. Citeureup, Kab. Bogor, Prov. Jawa Barat</t>
  </si>
  <si>
    <t>Pemilik (081281745793)</t>
  </si>
  <si>
    <t>Jalan Sarinembah, Desa Sukahati, Kec. Citeureup, Kab. Bogor, Prov. Jawa Barat</t>
  </si>
  <si>
    <t>Santo Cornelius Ginting (Penilai), Fajar Hariyadi Tambunan (Pelaksana Inspeksi)</t>
  </si>
  <si>
    <t>000059/RBY-PPJP/BKS/IV/2024</t>
  </si>
  <si>
    <t>00042/2.0144-01/PI/07/0612/1/IV/2024</t>
  </si>
  <si>
    <t>3 (unit) Rukan</t>
  </si>
  <si>
    <t>Puri Sentra Niaga</t>
  </si>
  <si>
    <t>Jalan Wiraloka Blok D No. 68, 69 dan 70</t>
  </si>
  <si>
    <t>Komplek Putri Sentra Niaga, Jalan Wiraloka Blok A, Kel. Cipanang Melayu, Kec. Makasar, Kota Jakarta Timur, Prov. DKI Jakarta</t>
  </si>
  <si>
    <t>Bapak Jiff Kelly (08118880775)</t>
  </si>
  <si>
    <t>Komplek Putri Sentra Niaga, Jalan Wiraloka Blok C No. 55, Kel. Cipanang Melayu, Kec. Makasar, Kota Jakarta Timur, Prov. DKI Jakarta</t>
  </si>
  <si>
    <t xml:space="preserve">Rukan </t>
  </si>
  <si>
    <t>Ibu Kartika (0817139800)</t>
  </si>
  <si>
    <t xml:space="preserve"> Jalan Pahlawan Revolusi No. 64, Kel. Pondok Bambu, Kec. Duren Sawit, Kota Jakarta Timur, Prov. DKI Jakarta</t>
  </si>
  <si>
    <t>Bapak Tussy (08982247768)</t>
  </si>
  <si>
    <t>Jalan Wiraloka Blok C No.54</t>
  </si>
  <si>
    <t>Jalan Pahlawan Revolusi No.22 C RT.005 RW. 007</t>
  </si>
  <si>
    <t>Jalan Pahlawan Revolusi, Kel. Pondok Bambu, Kec. Duren Sawit, Kota Jakarta Timur, Prov. DKI Jakarta</t>
  </si>
  <si>
    <t>Bapak Salton Said (087711798986)</t>
  </si>
  <si>
    <t>Ibu Lela (087780013183)</t>
  </si>
  <si>
    <t>Ibu Febby (08788610047)</t>
  </si>
  <si>
    <t>Jalan Pahlawan Revolusi No.22 G RT.005 RW. 007</t>
  </si>
  <si>
    <t>Komplek Ruko Legok Permai</t>
  </si>
  <si>
    <t>Blok BI/A No.2</t>
  </si>
  <si>
    <t>Desa Legok</t>
  </si>
  <si>
    <t>Legok</t>
  </si>
  <si>
    <t>Komplek Ruko Legok Permai Blok BI No.2, Desa Legok, Kec. Legok, Kab. Tanggerang, Prov. Banten</t>
  </si>
  <si>
    <t>Ibu Rini Besta (082122172733)</t>
  </si>
  <si>
    <t>Komplek Ruko Legok Permai Blok BI No.3, Desa Legok, Kec. Legok, Kab. Tanggerang, Prov. Banten</t>
  </si>
  <si>
    <t>Ibu Irvine (081298188878)</t>
  </si>
  <si>
    <t>Perumahan Legok Permai Jaya Ningrat, Desa Legok, Kec. Legok, Kab. Tanggerang, Prov. Banten</t>
  </si>
  <si>
    <t>Ibu Yanti (081284999756)</t>
  </si>
  <si>
    <t>000068/RBY-PPJP/BKS/IV/2024</t>
  </si>
  <si>
    <t>00043/2.0144-01/PI/12/0612/1/IV/2024</t>
  </si>
  <si>
    <t>Deista Orchidto Tagor</t>
  </si>
  <si>
    <t>Tanah dan Bangunan (Hotel )</t>
  </si>
  <si>
    <t>Jalan Sri Kresna No.939</t>
  </si>
  <si>
    <t>Kel. Legian</t>
  </si>
  <si>
    <t>Kuta</t>
  </si>
  <si>
    <t>Kab. Badung</t>
  </si>
  <si>
    <t>Jalan Sri Krisna, kel. Legian, kec. Kuta, Kota Badung, Prov. Bali</t>
  </si>
  <si>
    <t>Bapak Agung Bagus (081337338004)</t>
  </si>
  <si>
    <t>Jalan Dewi Sri II, kel. Legian, kec. Kuta, Kota Badung, Prov. Bali</t>
  </si>
  <si>
    <t>Ibu Dita Pilih Ratna (081336003379)</t>
  </si>
  <si>
    <t>Bapak Tono (0817898111)</t>
  </si>
  <si>
    <t>000042/RBY-PPJP/BKS/III/2024</t>
  </si>
  <si>
    <t>00044/2.0144-01/PI/07/0612/1/V/2024</t>
  </si>
  <si>
    <t>Tanah dan Bangunan (Rumah Sakit Hermina Pandanaran)</t>
  </si>
  <si>
    <t>Jalan Pandanaran No. 24</t>
  </si>
  <si>
    <t>Jalan Pandanaran, Kel. Pekunden, Kec. Semarang Tengah, Kota Semarang, Prov. Jawa Tengah</t>
  </si>
  <si>
    <t>Bapak Hartono (08156569191)</t>
  </si>
  <si>
    <t>Jalan Mgr Sugiyopranoto, Kel. Pendrikan Kidul, Kec. Semarang Selatan, Kota Semarang, Prov. Jawa Tengah</t>
  </si>
  <si>
    <t>Bapak Ricky (08999295893)</t>
  </si>
  <si>
    <t>Jalan Ahmad Yani, Kel. Karang Kidul, Kec. Semarang Selatan, Kota Semarang, Prov. Jawa Tengah</t>
  </si>
  <si>
    <t>Bapak Andreas Benjamin (0811232989)</t>
  </si>
  <si>
    <t>000050/RBY-PPJP/BKS/III/2024</t>
  </si>
  <si>
    <t>00045/2.0144-01/PI/10/0612/1/V/2024</t>
  </si>
  <si>
    <t>PT. Medika Loka Salatiga</t>
  </si>
  <si>
    <t>Jalan Fatmawati Dk. Ngampel RT.01 RW. 04</t>
  </si>
  <si>
    <t>Kel. Blotongan</t>
  </si>
  <si>
    <t>Sidorejo</t>
  </si>
  <si>
    <t>Kota Salatiga</t>
  </si>
  <si>
    <t>Jalan Fatmawati, Kel. Blotongan, Kec. Sidorejo, Kota Salatiga, Prov. Jawa Tengah</t>
  </si>
  <si>
    <t>Bapak Hendra (081393978909)</t>
  </si>
  <si>
    <t>Ibu May Lan (08156666681)</t>
  </si>
  <si>
    <t>Jalan Diponegoro, Kel. Sidorejo Lor, Kec. Sidorejo, Kota Salatiga, Prov. Jawa Tengah</t>
  </si>
  <si>
    <t>Bapak Fajar (08164243464)</t>
  </si>
  <si>
    <t>000064/RBY-PPJP/BKS/IV/2024</t>
  </si>
  <si>
    <t>00046/2.0144-01/PI/10/0612/1/V/2024</t>
  </si>
  <si>
    <t>PT. Garudafood Putra Putri Jaya, Tbk</t>
  </si>
  <si>
    <t>Kawasan Industri Dwipapuri Abadi KV A/6</t>
  </si>
  <si>
    <t>Desa Mangunaraga</t>
  </si>
  <si>
    <t>Cimanggung</t>
  </si>
  <si>
    <t>Kab. Sumedang</t>
  </si>
  <si>
    <t>Kawasan Industri Rancaekek Dwipapuri Abadi, Kav G1, Desa Sawahdadap, Kec. Cimanggung, Kab. Sumedang, Prov. Jawa Barat</t>
  </si>
  <si>
    <t>Ibu Elly Taslim (081220220128)</t>
  </si>
  <si>
    <t>Kawasan Industri Rancaekek Dwipapuri Abadi, Kav E1, Desa Sawahdadap, Kec. Cimanggung, Kab. Sumedang, Prov. Jawa Barat</t>
  </si>
  <si>
    <t>Ibu Sienty (089661257177)</t>
  </si>
  <si>
    <t>Kawasan Industri Rancaekek Dwipapuri Abadi, Kav C31, Desa Sawahdadap, Kec. Cimanggung, Kab. Sumedang, Prov. Jawa Barat</t>
  </si>
  <si>
    <t>Ibu Reni Anggarwati (081122222465)</t>
  </si>
  <si>
    <t>000076/RBY-PPJP/BKS/IV/2024</t>
  </si>
  <si>
    <t>00047/2.0144-01/PI/10/0612/1/V/2024</t>
  </si>
  <si>
    <t>PT. Elang Dhirgantara Candracanta</t>
  </si>
  <si>
    <t>Jalan Meruya Ilir Raya RT. 006 RW. 02</t>
  </si>
  <si>
    <t>Kel. Meruya Utara</t>
  </si>
  <si>
    <t xml:space="preserve">Kembangan </t>
  </si>
  <si>
    <t>Jalan Meruya Ilir Raya, Kel. Meruya Utara, kec. Kembangan, Kota Jakarta Barat, Prov. DKI Jakarta</t>
  </si>
  <si>
    <t>Bapak Didi Ang (081586255757)</t>
  </si>
  <si>
    <t>Tanah dan Bangunan (Toko Material)</t>
  </si>
  <si>
    <t>Bapak Edi (081588836612)</t>
  </si>
  <si>
    <t>Ibu Yenny (0816888204)</t>
  </si>
  <si>
    <t>000037/RBY-PPJP/BKS/II/2024</t>
  </si>
  <si>
    <t>00048/2.0144-01/PI/10/0612/1/V/2024</t>
  </si>
  <si>
    <t xml:space="preserve">PT. Medika Loka Husada </t>
  </si>
  <si>
    <t>PT. Medika Loka Husada</t>
  </si>
  <si>
    <t>Jalan Siliwangi RT. 01 RW. 10</t>
  </si>
  <si>
    <t>Kel. Depok</t>
  </si>
  <si>
    <t>Pancoran Mas</t>
  </si>
  <si>
    <t>Jalan Bungur No.11 A, Kel. Depok, Kec. Pancoran Mas, Kota Depok, Prov. Jawa Barat</t>
  </si>
  <si>
    <t>Bapak Sam (0813151223535)</t>
  </si>
  <si>
    <t>Jalan Bungur, Kel. Depok, Kec. Pancoran Mas, Kota Depok, Prov. Jawa Barat</t>
  </si>
  <si>
    <t>Bapak M. Mansyur (081319618858)</t>
  </si>
  <si>
    <t>Jalan Mawar, Kel. Depok, Kec. Pancoran Mas, Kota Depok, Prov. Jawa Barat</t>
  </si>
  <si>
    <t>Bapak Denny Soetanto (08128820248)</t>
  </si>
  <si>
    <t>Robbi Sugara Ginting (Penilai), Firdaus Ginting (Pelaksana Inspeksi)</t>
  </si>
  <si>
    <t>000039/RBY-PPJP/BKS/II/2024</t>
  </si>
  <si>
    <t>00049/2.0144-01/PI/10/0612/1/V/2024</t>
  </si>
  <si>
    <t>PT. Mitra Abadimas Sejahtera</t>
  </si>
  <si>
    <t>161,,35</t>
  </si>
  <si>
    <t>146,63 Ha</t>
  </si>
  <si>
    <t>Tanaman Tahun Tanam 2012</t>
  </si>
  <si>
    <t>Sempuat, Dusun Sondong Rt.13 Rw.05</t>
  </si>
  <si>
    <t>Desa Balai Gemuruh</t>
  </si>
  <si>
    <t>Subah</t>
  </si>
  <si>
    <t>Kab. Sambas</t>
  </si>
  <si>
    <t>Kalimantan Barat</t>
  </si>
  <si>
    <t>000040/RBY-PPJP/BKS/II/2024</t>
  </si>
  <si>
    <t>00050/2.0144-01/PI/10/0612/1/V/2024</t>
  </si>
  <si>
    <t>172,89</t>
  </si>
  <si>
    <t>71,46Ha</t>
  </si>
  <si>
    <t>Tanaman Belum Menghasilkan (TBM) Tahun 2023
Tanaman Menghasilkan TM 
Tahun Tanam 2010
Tahun Tanam 2012</t>
  </si>
  <si>
    <t>Mugum, Dusun Sondong RT.10-11 RW.06</t>
  </si>
  <si>
    <t>00051/2.0144-01/PI/10/0612/1/V/2024</t>
  </si>
  <si>
    <t>Kab, Cirebon</t>
  </si>
  <si>
    <t>Jalan Gintung Lor</t>
  </si>
  <si>
    <t xml:space="preserve">Desa Gintung Lor </t>
  </si>
  <si>
    <t>000080/RBY-PPJP/BKS/III/2024</t>
  </si>
  <si>
    <t>00052/2.0144-01/PI/10/0612/1/V/2024</t>
  </si>
  <si>
    <t>PT.Permata Sinar Utama</t>
  </si>
  <si>
    <t>Gang Bohari RT.005 RW. 022</t>
  </si>
  <si>
    <t>Jalan Bohari RT. 005 RW. 022, Kel. Pekayon Jaya, Kec. Bekasi Selatan, Kota Bekasi, Prov. Jawa Barat</t>
  </si>
  <si>
    <t>Bapak Dani (081213266550)</t>
  </si>
  <si>
    <t>Bapak Wahyu (081280789790)</t>
  </si>
  <si>
    <t>Jalan Uwa Nimah No.17 RT. 007 RW. 022, Kel. Pekayon Jaya, Kec. Bekasi Selatan, Kota Bekasi, Prov. Jawa Barat</t>
  </si>
  <si>
    <t>Bapak Toni (081947562277)</t>
  </si>
  <si>
    <t>Jalan Rawabogo RT. 001 RW. 003</t>
  </si>
  <si>
    <t>Kel. Pedurenan</t>
  </si>
  <si>
    <t>Jalan Rawabogo, Kel. Pedurenan, Kec. Mustikajaya, Kota Bekasi, Prov. Jawa Barat</t>
  </si>
  <si>
    <t>Tanah dan Bangunan (Kotrakan)</t>
  </si>
  <si>
    <t>Bapak Aji (085257508105)</t>
  </si>
  <si>
    <t>Bapak Ahmad (087773400117)</t>
  </si>
  <si>
    <t>Jalan Kelapa Dua, Kel. Pedurenan, Kec. Mustikajaya, Kota Bekasi, Prov. Jawa Barat</t>
  </si>
  <si>
    <t>Bapak Agus (081287598143)</t>
  </si>
  <si>
    <t>Jalan Rawabogo RT.002 RW. 07</t>
  </si>
  <si>
    <t>000062/RBY-PPJP/BKS/III/2024</t>
  </si>
  <si>
    <t>00053/2.0144-01/PI/10/0612/1/V/2024</t>
  </si>
  <si>
    <t>PT. Sinarniaga Sejahtera</t>
  </si>
  <si>
    <t>Jalan Pasir Putih KM. 8</t>
  </si>
  <si>
    <t>Desa baru</t>
  </si>
  <si>
    <t>Siak Hulu</t>
  </si>
  <si>
    <t>Kab. Kampar</t>
  </si>
  <si>
    <t>Jalan Pasir Putih, Desa Baru, Kec. Siak Hulu, Kab. Kampar, Prov. Riau</t>
  </si>
  <si>
    <t>Bapak Verdi (08118121110)</t>
  </si>
  <si>
    <t>Bapak Asen (081311441006)</t>
  </si>
  <si>
    <t>Bapak Winardi (082388885511)</t>
  </si>
  <si>
    <t>000063/RBY-PPJP/BKS/III/2024</t>
  </si>
  <si>
    <t>00054/2.0144-01/PI/10/0612/1/V/2024</t>
  </si>
  <si>
    <t>000079/RBY-PPJP/BKS/IV/2024</t>
  </si>
  <si>
    <t>00055/2.0144-01/PI/10/0612/1/V/2024</t>
  </si>
  <si>
    <t>PT. Pipit Mutiara Jaya</t>
  </si>
  <si>
    <t>Bangunan, Jetty, Mesin, Dan Peralatan Pabrik</t>
  </si>
  <si>
    <t>Sarana Pelengkap, Mesin dan Peralatan</t>
  </si>
  <si>
    <t>Site Siberuang</t>
  </si>
  <si>
    <t>Desa Pentian</t>
  </si>
  <si>
    <t>000071/RBY-PPJP/BKS/IV/2024</t>
  </si>
  <si>
    <t>00056/2.0144-01/PI/07/0612/1/VI/2024</t>
  </si>
  <si>
    <t>Bangunan Hotel (Swiss Belin Bogor)</t>
  </si>
  <si>
    <t>Jalan Pajajaran Indah V RT.001 RW. 011</t>
  </si>
  <si>
    <t>Kel. Baranangsiang</t>
  </si>
  <si>
    <t>Bogor Timur</t>
  </si>
  <si>
    <t>Jalan Pakuan No.3 RT04 RW.11, Kel. Baranangsiang, Kec. Bogor Timur, Kota Bogor, Prov. Jawa Barat</t>
  </si>
  <si>
    <t>Pak Moer (0816xxxxxxxx)</t>
  </si>
  <si>
    <t>Jalan Raya Pajajaran, Kel. Baranangsiang, Kec. Bogor Timur, Kota Bogor, Prov. Jawa Barat</t>
  </si>
  <si>
    <t>Bapak Thomas (0812xxxxxxx)</t>
  </si>
  <si>
    <t>Ibu Ida (0813xxxxxxxx)</t>
  </si>
  <si>
    <t>Richard Barus &amp; Santo Cornelius Ginting (Penilai)</t>
  </si>
  <si>
    <t>000084/RBY-PPJP/BKS/V/2024</t>
  </si>
  <si>
    <t>00057/2.0144-01/PI/10/0612/1/VI/2024</t>
  </si>
  <si>
    <t>PT. Medika Loka Malang</t>
  </si>
  <si>
    <t>Jalan Tangkuban Perahu</t>
  </si>
  <si>
    <t>Kel. Kauman</t>
  </si>
  <si>
    <t>Klojen</t>
  </si>
  <si>
    <t>Kota Malang</t>
  </si>
  <si>
    <t>Jalan Tangkuban Perahu, Kel. Kauman, Kec. Klojen, Kota Malang, Prov. Jawa Timur</t>
  </si>
  <si>
    <t>Bapak Jaya (081312058378)</t>
  </si>
  <si>
    <t>Jalan Sumbing No.41, Kel. Kauman, Kec. Klojen, Kota Malang, Prov. Jawa Timur</t>
  </si>
  <si>
    <t>Ibu Rahayu (081291760999)</t>
  </si>
  <si>
    <t>Jalan Sumbing No.27, Kel. Kauman, Kec. Klojen, Kota Malang, Prov. Jawa Timur</t>
  </si>
  <si>
    <t>Bapak Yohan (08149731907)</t>
  </si>
  <si>
    <t>000082/RBY-PPJP/BKS/IV/2024</t>
  </si>
  <si>
    <t>00058/2.0144-01/PI/12/0612/1/VI/2024</t>
  </si>
  <si>
    <t>Yulisar Khiat</t>
  </si>
  <si>
    <t>Jalan Dr. Ir. Soekarno</t>
  </si>
  <si>
    <t>Desa Mojosari</t>
  </si>
  <si>
    <t>Kepajen</t>
  </si>
  <si>
    <t>Kab. Malang</t>
  </si>
  <si>
    <t>Jalan Dr. Ir. Soekarno, kel. Mojosari, Kec. Kepanjen, Kota Malang, Prov. Jawa Timur</t>
  </si>
  <si>
    <t>Bapak Eko (081945100250)</t>
  </si>
  <si>
    <t>Jalan Dr. Ir. Soekarno, Kel. Mojosari, Kec. Kepanjen, Kota Malang, Prov. Jawa Timur</t>
  </si>
  <si>
    <t>Ibu Cicik (081234607123)</t>
  </si>
  <si>
    <t>Bapak Anwar (081336094294)</t>
  </si>
  <si>
    <t>000090/RBY-PPJP/BKS/V/2024</t>
  </si>
  <si>
    <t>00059/2.0144-01/PI/07/0612/1/VI/2024</t>
  </si>
  <si>
    <t>Jalan Bojong Permai Raya Kav. 20A.2 RT.01 RW.15</t>
  </si>
  <si>
    <t>Rawalumbu</t>
  </si>
  <si>
    <t>Perumahan Taman Narogong Indah, Jalan Taman Narogong Indah Blok C50/16, Kel Bojong Rawalumbu, Kec. Rawalumbu, Kota Bekasi, Jawa Barat</t>
  </si>
  <si>
    <t>Ibu Vinna (081388101807)</t>
  </si>
  <si>
    <t>Perumahan Taman Narogong Indah, Jalan Taman Narogong Indah Blok C49 No.9, Kel Bojong Rawalumbu, Kec. Rawalumbu, Kota Bekasi, Jawa Barat</t>
  </si>
  <si>
    <t>Bapak Rahmad (08558438319)</t>
  </si>
  <si>
    <t>Perumahan Taman Narogong Indah, Jalan Taman Narogong Indah Blok C27 No.3, Kel Bojong Rawalumbu, Kec. Rawalumbu, Kota Bekasi, Jawa Barat</t>
  </si>
  <si>
    <t>Jalan Taman Narogong Indah No.12 RT.005 RW. 004</t>
  </si>
  <si>
    <t>Jalan Kemang Dahlia 7 Blok U No. 5 RT. 008 RW. 036</t>
  </si>
  <si>
    <t>Komplek Kemang Prataman 2, Jalan Kemang Anggrek 5 Blok AQ, Kel. Bojong Rawalumbu, Kec. Rawalumbu, Kota Bekasi, Prov. Jawa Barat</t>
  </si>
  <si>
    <t>Ibu Lusyesti (081316423516)</t>
  </si>
  <si>
    <t>Komplek Kemang Prataman 2, Jalan Kemang Dahlia 3 Blok X, Kel. Bojong Rawalumbu, Kec. Rawalumbu, Kota Bekasi, Prov. Jawa Barat</t>
  </si>
  <si>
    <t>Bapak Andi Rachmanda (081215702140)</t>
  </si>
  <si>
    <t>Komplek Kemang Prataman 2, Jalan Kemang Melati 2 Blok L6, Kel. Bojong Rawalumbu, Kec. Rawalumbu, Kota Bekasi, Prov. Jawa Barat</t>
  </si>
  <si>
    <t>Bapak Frans Budjit (08151830881)</t>
  </si>
  <si>
    <t>Taman Puri Kencana</t>
  </si>
  <si>
    <t>Jalan Barin Raya Kavling Blok II No. 8 RT. 008 RW. 019</t>
  </si>
  <si>
    <t>Taman Puri Kencana 1, Jalan Barin Raya, Kel. Mustikasari, Kec. Rawalumbu, Kota Bekasi, Prov. Jawa Barat</t>
  </si>
  <si>
    <t>Bapak Hartono (087884865529)</t>
  </si>
  <si>
    <t>Jalan Raya Pengasinan, Kel. Jatimulya, Kec.Tambun Selatan, Kota Bekasi, Prov. Jawa Barat</t>
  </si>
  <si>
    <t>Bapak Daniel Delizar (0818205678)</t>
  </si>
  <si>
    <t>Jalan Pondok Timur Indah, Kel. Mustikasari, Kec. Rawalumbu, Kota Bekasi, Prov. Jawa Barat</t>
  </si>
  <si>
    <t xml:space="preserve">Ruko </t>
  </si>
  <si>
    <t>Bapak Sun Hwa Chan (0811989959)</t>
  </si>
  <si>
    <t>Jalan Kemang Anggrek 5 Blok AQ No.18 RT. 002 RW. 012</t>
  </si>
  <si>
    <t>Jalan Makrik RT. 05 RW. 04</t>
  </si>
  <si>
    <t>Kp. Bojong, kel. Bojong Rawalumbu, Kec. Rawalumbu, Kota Bekasi, Prov. Jawa Barat</t>
  </si>
  <si>
    <t>Kp. Makrik, kel. Bojong Rawalumbu, Kec. Rawalumbu, Kota Bekasi, Prov. Jawa Barat</t>
  </si>
  <si>
    <t>Jalan Dalang I, kel. Bojong Rawalumbu, Kec. Rawalumbu, Kota Bekasi, Prov. Jawa Barat</t>
  </si>
  <si>
    <t>00095/RBY-PPJP/BKS/V/2024</t>
  </si>
  <si>
    <t>00060/2.0144-01/PI/10/0612/1/VI/2024</t>
  </si>
  <si>
    <t>Jalan Desa Cendana</t>
  </si>
  <si>
    <t>Desa Cendana</t>
  </si>
  <si>
    <t>Banjarnegara</t>
  </si>
  <si>
    <t>Kab. Banjarnegara</t>
  </si>
  <si>
    <t>Jalan Desa Cendana, Desa Cendana, Kel. Banjarnegara, Kec. Banjarnegara, Kab. Banjarnegara, Prov. Jawa Timur</t>
  </si>
  <si>
    <t>Bapak Mahdi (Sekdes Cendana)</t>
  </si>
  <si>
    <t>Bapak Tusro (087715244526)</t>
  </si>
  <si>
    <t>Jalan Desa Argasoka, Desa Argasoka, Kel. Banjarnegara, Kec. Banjarnegara, Kab. Banjarnegara, Prov. Jawa Timur</t>
  </si>
  <si>
    <t>Bapak Wijaya (08112909081)</t>
  </si>
  <si>
    <t>000089/RBY-PPJP/BKS/V/2024</t>
  </si>
  <si>
    <t>00061/2.0144-01/PI/07/0612/1/VI/2024</t>
  </si>
  <si>
    <t xml:space="preserve">Jalan Taruna No. 8 RT. 017 RW. 03 </t>
  </si>
  <si>
    <t>Kel. Serdang</t>
  </si>
  <si>
    <t>kemayoran</t>
  </si>
  <si>
    <t>Jalan Taruna, Kel. Serdang, Kec. Kemayoran, Kota Jakarta Pusat, Pro. DKI Jakarta</t>
  </si>
  <si>
    <t>Ibu Anna Aditya (081932235190)</t>
  </si>
  <si>
    <t>Bapak Sabar (081332338540)</t>
  </si>
  <si>
    <t>Bapak Dasuki (081809632197)</t>
  </si>
  <si>
    <t>00062/2.0144-01/PI/07/0612/1/VI/2024</t>
  </si>
  <si>
    <t xml:space="preserve">Pilang Mas Garden </t>
  </si>
  <si>
    <t>Jalan Pilang Kencana IV Blok D No. 169 RT. 001 RW. 010</t>
  </si>
  <si>
    <t>Desa Kedung Jaya</t>
  </si>
  <si>
    <t>Kedawung</t>
  </si>
  <si>
    <t>Komplek Pilang Mas Garden, Jalan Pilang Kencana Blok E No. 45, Kel. Kedung Jaya, Kec. Kedawung, Kab. Cirebon, Prov. Jawa Barat</t>
  </si>
  <si>
    <t>Bapak Tumpal (08122378454)</t>
  </si>
  <si>
    <t>Komplek Pilang Mas Garden, Jalan Pilang Sari Blok C1 No. 10, Kel. Kedung Jaya, Kec. Kedawung, Kab. Cirebon, Prov. Jawa Barat</t>
  </si>
  <si>
    <t>Ibu Yohan Al-Fatih (082216308722)</t>
  </si>
  <si>
    <t>Komplek Pilang Mas Garden, Jalan Pilang Mas Garden, Kel. Kedung Jaya, Kec. Kedawung, Kab. Cirebon, Prov. Jawa Barat</t>
  </si>
  <si>
    <t>Ibu Liana Aria (081214424217)</t>
  </si>
  <si>
    <t>Robbi Sugara Ginting (Penilai), Fajar Haryadi Tambunan (Pelaksana Inspeksi)</t>
  </si>
  <si>
    <t>00063/2.0144-01/PI/07/0612/1/VI/2024</t>
  </si>
  <si>
    <t>Perumahan Manyar Jaya</t>
  </si>
  <si>
    <t>Jalan Manyar Jaya XIV No.41</t>
  </si>
  <si>
    <t>Kel. Menurpumpungan</t>
  </si>
  <si>
    <t>Sukolilo</t>
  </si>
  <si>
    <t>Perumahan Manyar Jaya, Jalan Manyar Jaya XIV No.15, Kel. Menurpumpungan, Kec. Sukolilo, Kota Surabaya, Prov. Jawa Timur</t>
  </si>
  <si>
    <t>Bapak Frankel (081231527578)</t>
  </si>
  <si>
    <t>Perumahan Manyar Jaya, Jalan Manyar Jaya XII No.20, Kel. Menurpumpungan, Kec. Sukolilo, Kota Surabaya, Prov. Jawa Timur</t>
  </si>
  <si>
    <t>Ibu Heny (082133453010)</t>
  </si>
  <si>
    <t>Perumahan Manyar Jaya, Jalan Manyar Jaya VI No.18A, Kel. Menurpumpungan, Kec. Sukolilo, Kota Surabaya, Prov. Jawa Timur</t>
  </si>
  <si>
    <t>Bapak Bonny (081615100880)</t>
  </si>
  <si>
    <t>000096/RBY-PPJP/BKS/V/2024</t>
  </si>
  <si>
    <t>00064/2.0144-01/PI/07/0612/1/VI/2024</t>
  </si>
  <si>
    <t>Perum Bali Indah</t>
  </si>
  <si>
    <t>Jalan Raya Bali Indah RT.02 RW 05</t>
  </si>
  <si>
    <t>Desa Pantai Makmur</t>
  </si>
  <si>
    <t>Tarumajaya</t>
  </si>
  <si>
    <t>Perumahan Bali Indah Kavling Bali Indah Blok P No. 08, Desa Pantai Makmur, Kec. Tarumajaya, Kab. Bekasi, Prov. Jawa Barat</t>
  </si>
  <si>
    <t>Bapak Sahwal (085214149885)</t>
  </si>
  <si>
    <t>Perumahan Bali Indah Kavling Bali Indah Blok O, Desa Pantai Makmur, Kec. Tarumajaya, Kab. Bekasi, Prov. Jawa Barat</t>
  </si>
  <si>
    <t>Perumahan Taman Rosma Cipta Indah 2 Blok C No. 3 RT. 003 RW. 010, Desa Setiamulya, Kec. Tarumajaya, Kab. Bekasi, Prov. Jawa Barat</t>
  </si>
  <si>
    <t>Ibu Haji Salama (0821103916667)</t>
  </si>
  <si>
    <t>000091/RBY-PPJP/BKS/V/2024</t>
  </si>
  <si>
    <t>00065/2.0144-01/PI/07/0612/1/VI/2024</t>
  </si>
  <si>
    <t>Rusun Komersial Campuran</t>
  </si>
  <si>
    <t>23,58</t>
  </si>
  <si>
    <t>Rumah Susun Komersial Campuran Royal Mediterania Garden</t>
  </si>
  <si>
    <t xml:space="preserve">Lantai 01 No. RL/01/BGB Blok Lavender, Jalan S. Parman </t>
  </si>
  <si>
    <t>Kel. Tanjung Duren Selatan</t>
  </si>
  <si>
    <t>Grogol Petamburan</t>
  </si>
  <si>
    <t>Rumah Susun Komersial Campuran Royal Mediterania Garden S Parman, Lantai 6 Blok Lavender, Kel. Tanjung Duren, Kec. Grogol Petamburan, Kota Jakarta Barat, Prov. DkI Jakarta</t>
  </si>
  <si>
    <t>Rumah Susun</t>
  </si>
  <si>
    <t>Ibu Olivia (0817788089)</t>
  </si>
  <si>
    <t>Rumah Susun Komersial Campuran Royal Mediterania Garden S Parman, Lantai 18 Blok Lavender, Kel. Tanjung Duren, Kec. Grogol Petamburan, Kota Jakarta Barat, Prov. DkI Jakarta</t>
  </si>
  <si>
    <t>53,5</t>
  </si>
  <si>
    <t>Bapak Alvin (08213221268)</t>
  </si>
  <si>
    <t>Rumah Susun Komersial Campuran Royal Mediterania Garden S Parman, Lantai 5 Blok Lavender, Kel. Tanjung Duren, Kec. Grogol Petamburan, Kota Jakarta Barat, Prov. DkI Jakarta</t>
  </si>
  <si>
    <t>Ibu Chin-chin (082215678969)</t>
  </si>
  <si>
    <t>Amri Simbolon (Penilai), Fajar Hariyadi (Pelaksana Inspeksi)</t>
  </si>
  <si>
    <t>Jalan Tebet Timur Dalam V.K No. 1. B Blok P Persil 943 dan 944 RT.004 Rw.005</t>
  </si>
  <si>
    <t>Kel. Tebet Timur</t>
  </si>
  <si>
    <t>Tebet</t>
  </si>
  <si>
    <t>Jalan Tebet Timur Dalam V A, Kel. Tebet Timur, Kec. Tebet, Kota Jakarta Selatan, Prov. DKI Jakarta</t>
  </si>
  <si>
    <t>Bapak Tyas Ambhika Jaya (081288080200)</t>
  </si>
  <si>
    <t>Jalan Tebet Timur Dalam V G, Kel. Tebet Timur, Kec. Tebet, Kota Jakarta Selatan, Prov. DKI Jakarta</t>
  </si>
  <si>
    <t>Bapak Arief (081318381838)</t>
  </si>
  <si>
    <t>Jalan Tebet Timur Dalam V D, Kel. Tebet Timur, Kec. Tebet, Kota Jakarta Selatan, Prov. DKI Jakarta</t>
  </si>
  <si>
    <t>Bapak Bonar Sihotang (085959659165/ 082110653356)</t>
  </si>
  <si>
    <t>Jalan Tebet Timur Dalam V No. 13B RT. 009 RW. 05 Blok D Persil No.675</t>
  </si>
  <si>
    <t>Jalan Tebet Timur I, Kel. Tebet Timur, Kec. Tebet, Kota Jakarta Selatan, Prov. DKI Jakarta</t>
  </si>
  <si>
    <t>Bapak Edy Prasetyo (0818654222)</t>
  </si>
  <si>
    <t>Jalan Tebet Timur  Dalam V, Kel. Tebet Timur, Kec. Tebet, Kota Jakarta Selatan, Prov. DKI Jakarta</t>
  </si>
  <si>
    <t>Bapak Widodo (081280004365)</t>
  </si>
  <si>
    <t>Jalan Tebet Timur II, Kel. Tebet Timur, Kec. Tebet, Kota Jakarta Selatan, Prov. DKI Jakarta</t>
  </si>
  <si>
    <t>Bapak Hakim (08128005152)</t>
  </si>
  <si>
    <t>000092/RBY-PPJP/BKS/V/2024</t>
  </si>
  <si>
    <t>00066/2.0144-01/PI/07/0612/1/VI/2024</t>
  </si>
  <si>
    <t>Komplek Perumahan Kebon Jeruk</t>
  </si>
  <si>
    <t>Blok R1 No.57, Jalan Taman Bibit Jeruk</t>
  </si>
  <si>
    <t>Komplek Perumahan Kebon Jeruk, Jalan Taman Bibit Jeruk, Kel. Srengseng, Kec. Kembangan, Kota Jakarta Barat, Prov. DKI Jakarta</t>
  </si>
  <si>
    <t>Ibu Lusy (087883919002)</t>
  </si>
  <si>
    <t>Ibu Yenni (087883773359)</t>
  </si>
  <si>
    <t>Komplek Perumahan Kebon Jeruk Blok JXI No. 20,  Jalan Jeruk Joglo Barat, Kel. Srengseng, Kec. Kembangan, Kota Jakarta Barat, Prov. DKI Jakarta</t>
  </si>
  <si>
    <t>Ibu Sally (08161369312)</t>
  </si>
  <si>
    <t>00067/2.0144-01/PI/07/0612/1/VI/2024</t>
  </si>
  <si>
    <t>PT. Bank PAN Indoneisa, Tbk</t>
  </si>
  <si>
    <t xml:space="preserve">Komplek Perumahan Kebon Jeruk </t>
  </si>
  <si>
    <t>Blok R1 No. 35</t>
  </si>
  <si>
    <t>Komplek Perumahan Kebon Jeruk Blok R1 No. 39, Kel. Srengseng, Kec. Kembangan, Kota Jakarta Barat, Prov. DKI Jakarta</t>
  </si>
  <si>
    <t>Ibu Elisabeth/ Dion (081382323744)</t>
  </si>
  <si>
    <t>Komplek Perumahan Kebon Jeruk Blok R1 No. 41, Kel. Srengseng, Kec. Kembangan, Kota Jakarta Barat, Prov. DKI Jakarta</t>
  </si>
  <si>
    <t>Ibu Fanita (081213519229)</t>
  </si>
  <si>
    <t>Komplek Perumahan Kebon Jeruk Blok R4,  Kel. Srengseng, Kec. Kembangan, Kota Jakarta Barat, Prov. DKI Jakarta</t>
  </si>
  <si>
    <t>Ibu Tari (082122015500)</t>
  </si>
  <si>
    <t>00068/2.0144-01/PI/07/0612/1/VI/2024</t>
  </si>
  <si>
    <t>Blok R1 No. 30-31</t>
  </si>
  <si>
    <t>Komplek Perumahana Kebon Jeruk Blok R1 No. 39, Kel. Srengseng, Kec. Kembangan, Kota Jakarta Barat, Prov. DKI Jakarta</t>
  </si>
  <si>
    <t>00069/2.0144-01/PI/07/0612/1/VI/2024</t>
  </si>
  <si>
    <t>Blok R1 No. 56</t>
  </si>
  <si>
    <t>00070/2.0144-01/PI/07/0612/1/VI/2024</t>
  </si>
  <si>
    <t>Blok R1 No. 36</t>
  </si>
  <si>
    <t>00071/2.0144-01/PI/07/0612/1/VI/2024</t>
  </si>
  <si>
    <t>Blok R1 No. 32</t>
  </si>
  <si>
    <t>00072/2.0144-01/PI/07/0612/1/VI/2024</t>
  </si>
  <si>
    <t>Blok R1 No. 32A</t>
  </si>
  <si>
    <t>00073/2.0144-01/PI/07/0612/1/VI/2024</t>
  </si>
  <si>
    <t>Blok R1 No. 33</t>
  </si>
  <si>
    <t>00074/2.0144-01/PI/07/0612/1/VI/2024</t>
  </si>
  <si>
    <t>Blok R1 No. 34</t>
  </si>
  <si>
    <t>00075/2.0144-01/PI/07/0612/1/VI/2024</t>
  </si>
  <si>
    <t>Blok R1 No. 34A</t>
  </si>
  <si>
    <t>00076/2.0144-01/PI/07/0612/1/VI/2024</t>
  </si>
  <si>
    <t>Ruko/Rukan</t>
  </si>
  <si>
    <t xml:space="preserve">Komplek Ruko Plaza Pasifik </t>
  </si>
  <si>
    <t>Blok B4-90</t>
  </si>
  <si>
    <t>Kel. Kelapa Gading Barat</t>
  </si>
  <si>
    <t>Kelapa Gading</t>
  </si>
  <si>
    <t>Ruko Plaza Pasifik Blok B4-90, Kel. Kelapa Gading Barat, Kec. Kelapa Gading, Kota Jakarta Utara, Prov. DKI Jakarta</t>
  </si>
  <si>
    <t>Ibu Yana Sukma (081284085080)</t>
  </si>
  <si>
    <t>Ruko Plaza Pasifik Blok B3-60/62, Kel. Kelapa Gading Barat, Kec. Kelapa Gading, Kota Jakarta Utara, Prov. DKI Jakarta</t>
  </si>
  <si>
    <t>2 Uni Rukan/Ruko</t>
  </si>
  <si>
    <t>Ibu Maya (087781191999)</t>
  </si>
  <si>
    <t>Ruko Plaza Pasifik Blok B2-30, Kel. Kelapa Gading Barat, Kec. Kelapa Gading, Kota Jakarta Utara, Prov. DKI Jakarta</t>
  </si>
  <si>
    <t>Ibu Melissa (08128020609)</t>
  </si>
  <si>
    <t>Santo Cornelius Ginting (Penilai), Firdaus Ginting (Penilai)</t>
  </si>
  <si>
    <t>00077/2.0144-01/PI/07/0612/1/VI/2024</t>
  </si>
  <si>
    <t>Ruko /Rukan</t>
  </si>
  <si>
    <t>Blok A2-30</t>
  </si>
  <si>
    <t>Ruko Plaza Pasifik Blok B4-91, Kel. Kelapa Gading Barat, Kec. Kelapa Gading, Kota Jakarta Utara, Prov. DKI Jakarta</t>
  </si>
  <si>
    <t>00078/2.0144-01/PI/07/0612/1/VI/2024</t>
  </si>
  <si>
    <t xml:space="preserve">5 Unit Ruko </t>
  </si>
  <si>
    <t xml:space="preserve">Komplek Kebon Jeruk </t>
  </si>
  <si>
    <t>Blok A.IV No.33 s/d 37</t>
  </si>
  <si>
    <t>Kel. Meruya Selatan</t>
  </si>
  <si>
    <t>Komplek Taman Kebon Jeruk Blok A No. 4, Kel. Meruya Selatan, Kec. Kembangan, Kota Jakarta Barat, Prov. DKI Jakarta</t>
  </si>
  <si>
    <t>Ibu Ling-ling (081285089948)</t>
  </si>
  <si>
    <t>Komplek Interkon Kebon Jeruk Blok B No. 11, Kel. Meruya Selatan, Kec. Kembangan, Kota Jakarta Barat, Prov. DKI Jakarta</t>
  </si>
  <si>
    <t>Ibu Fransisca (085211523978)</t>
  </si>
  <si>
    <t>Komplek Interkon Kebon Jeruk Blok E No. 18, Kel. Meruya Selatan, Kec. Kembangan, Kota Jakarta Barat, Prov. DKI Jakarta</t>
  </si>
  <si>
    <t>Bapak Rizky (081210777189)</t>
  </si>
  <si>
    <t>00079/2.0144-01/PI/07/0612/1/VI/2024</t>
  </si>
  <si>
    <t xml:space="preserve">Taman Jeruk Utama Blok E 2 No. 3 dan 4 </t>
  </si>
  <si>
    <t>Komplek Perumahan Kebon Jeruk, Jalan Taman Jeruk Utama Blok E, Kel. Srengseng, Kec. Kembangan, Kota Jakarta Barat, Porv. DKI Jakarta</t>
  </si>
  <si>
    <t>Bapak Nicholas (085218606069)</t>
  </si>
  <si>
    <t>Komplek Perumahan Kebon Jeruk, Jalan Taman Jeruk Utama Blok F, Kel. Srengseng, Kec. Kembangan, Kota Jakarta Barat, Porv. DKI Jakarta</t>
  </si>
  <si>
    <t>Bapak Anto (081316000233)</t>
  </si>
  <si>
    <t>Komplek Perumahan Kebon Jeruk, Jalan Taman Jeruk Utama Blok J1 No. 1, Kel. Srengseng, Kec. Kembangan, Kota Jakarta Barat, Porv. DKI Jakarta</t>
  </si>
  <si>
    <t>Bapak Dudum (08161333268)</t>
  </si>
  <si>
    <t>000103/RBY-PPJP/BKS/VI/2024</t>
  </si>
  <si>
    <t>00080/2.0144-01/PI/10/0612/1/VI/2024</t>
  </si>
  <si>
    <t>Jalan Raya kraton-Pasuruan</t>
  </si>
  <si>
    <t>Desa Pulokerto</t>
  </si>
  <si>
    <t>Kraton</t>
  </si>
  <si>
    <t>Kab. Pasuruan</t>
  </si>
  <si>
    <t>Jalan Raya Kraton-Pasuruan, Desa Pulokerto, Kec. Kraton, Kab. Pasuruan, Prov. Jawa Timur</t>
  </si>
  <si>
    <t>Bapak Hasim (08113533535)</t>
  </si>
  <si>
    <t>Bapak Raizaq (081249732221)</t>
  </si>
  <si>
    <t>Bapak Utomo (081333328999)</t>
  </si>
  <si>
    <t>Richard Barus (Peniliai)</t>
  </si>
  <si>
    <t>Tanah dan Bangunan (Gudang &amp; Kantor)</t>
  </si>
  <si>
    <t>Jalan Raya Jatilawang RT.003 RW. 01</t>
  </si>
  <si>
    <t>Desa Tunjung</t>
  </si>
  <si>
    <t>Jatilawang</t>
  </si>
  <si>
    <t>Kab. Banyumas</t>
  </si>
  <si>
    <t>Jalan Raya Jatilawang, Desa Tunjung ,Kec. Jatilawang, Kab. Banyumas, Prov. Jawa Tengah</t>
  </si>
  <si>
    <t>Bapak Kuwat (085101985727)</t>
  </si>
  <si>
    <t>Bapak Heru (082242633999)</t>
  </si>
  <si>
    <t>Bapak Nasum (081220309399)</t>
  </si>
  <si>
    <t>Jalan Soekarno Hatta, Dusun Jabung</t>
  </si>
  <si>
    <t>Desa Sugihwaras</t>
  </si>
  <si>
    <t xml:space="preserve">Jalan Letda Sucipto, Desa Mondokan, Kec. Tunan, Kab. Tuban, Prov. Jawa Timur </t>
  </si>
  <si>
    <t>Bapak Agus Kartolo (082230368888)</t>
  </si>
  <si>
    <t xml:space="preserve">Jalan Soekarno Hatta, Desa Suguhwaras, Kec. Jenu, Kab. Tuban, Prov. Jawa Timur </t>
  </si>
  <si>
    <t>Bapak Ahmad Demitra (081259582728)</t>
  </si>
  <si>
    <t xml:space="preserve">Jalan Tuban-Semarang, Desa Suguhwaras, Kec. Jenu, Kab. Tuban, Prov. Jawa Timur </t>
  </si>
  <si>
    <t>Ibu Linda (08113458063)</t>
  </si>
  <si>
    <t>Jalan Raya Tegal-Pemalang KM 17</t>
  </si>
  <si>
    <t>Desa Bongkok</t>
  </si>
  <si>
    <t>Kramat</t>
  </si>
  <si>
    <t>Kab Tegal</t>
  </si>
  <si>
    <t>Jalan Raya Tegal-Pemalang, Desa Dampyak, Kec. Kramat, Kab. Tegal, Prov. Jawa Tengah</t>
  </si>
  <si>
    <t>Bapak Seno (081802852857)</t>
  </si>
  <si>
    <t>Bapak Rasito (083127091550)</t>
  </si>
  <si>
    <t>Bapak Yoyo (081803992200)</t>
  </si>
  <si>
    <t>Robbi Sugara Ginting (Penilai)</t>
  </si>
  <si>
    <t>Jalan Brigjen Sudiarto</t>
  </si>
  <si>
    <t>Kel. Plamongansari</t>
  </si>
  <si>
    <t>Jalan Brigjen Sidarto, Kel. Plamongansari, Kec. Pedurungan, Kota Semarang, Prov. Jawa Tengah</t>
  </si>
  <si>
    <t>Santo Cornelius Ginting)</t>
  </si>
  <si>
    <t>Jalan Soekarno Hatta</t>
  </si>
  <si>
    <t>Desa Bergas Kidul</t>
  </si>
  <si>
    <t>Klepu</t>
  </si>
  <si>
    <t>Kab. Semarang</t>
  </si>
  <si>
    <t>Jalan Soekarno Hatta, Desa Bergas Kidul, Kec. Klepu, Kab. Semarnag, Prov. Jawa Tengah</t>
  </si>
  <si>
    <t>Bapak Lutfi (081226463636)</t>
  </si>
  <si>
    <t>Jalan Soekarno Hatta, Desa Karangjati, Kec. Klepu, Kab. Semarnag, Prov. Jawa Tengah</t>
  </si>
  <si>
    <t>Bapak Sunaryo (081326036059)</t>
  </si>
  <si>
    <t>00098/RBY-PPJP/BKS/V/2024</t>
  </si>
  <si>
    <t>00081/2.0144-01/PI/10/0612/1/VI/2024</t>
  </si>
  <si>
    <t>PT. Mulia Boga Raya, Tbk</t>
  </si>
  <si>
    <t>PT. Mulia Boga Raya, Tbk dan Otoritas Jasa Keuangan</t>
  </si>
  <si>
    <t>Ruangan Kantor</t>
  </si>
  <si>
    <t>Gedung Perkantoran Wisma 2 Garudafood Lantai 4</t>
  </si>
  <si>
    <t>Jalan Bintaro Raya No. 10 RT.003 RW. 010</t>
  </si>
  <si>
    <t>Garaha Adhi Media Lt 3, Jalan Deplu Raya No.6 RT.01 RW. 03, Kel. Pesanggrahan, Kec. Pesanggrahan, Kota Jakarta Selatan, Prov. DKI Jakarta</t>
  </si>
  <si>
    <t>Graha Sumartadinata Lt 4, Jalan Ciputat Raya No. 102, Kel. Kebayoran Lama Selatan, Kec. Kebayoran Lama, Kota Jakarta Selatan, Prov. DKI Jakarta</t>
  </si>
  <si>
    <t>Ibu Leony Lee (087887569957)</t>
  </si>
  <si>
    <t>Pondok Indah Office Tower 1 Lt. 13, Jalan Sultan Iskandar Muda,  Kel. Pondok Pinang, Kec. Kebayoran Lama, Kota Jakarta Selatan, Prov. DKI Jakarta</t>
  </si>
  <si>
    <t>Bapak Heru Hermawan (081295700181)</t>
  </si>
  <si>
    <t>Richard Barus &amp; Robbi Sugara Ginting (Penilai)</t>
  </si>
  <si>
    <t>000110/RBY-PPJP/BKS/VI/2024</t>
  </si>
  <si>
    <t>00082/2.0144-01/PI/10/0612/1/VII/2024</t>
  </si>
  <si>
    <t>Jalan Boulevard Kav 1&amp;3 Podomoro Park Land Arteri Tol Karawang Barat</t>
  </si>
  <si>
    <t>Jalan Podomoro Boulevard Kav.1 Podomoro Park Land Arteri Tol Karawang Barat, Desa Wadas, Kec. Telukjambe Timur, Kab. Karawang, Prov. Jawa Barat</t>
  </si>
  <si>
    <t>Jalan Internasional Karawang Barat, Desa Wadas, Kec. Telukjambe Timur, Kab. Karawang, Prov. Jawa Barat</t>
  </si>
  <si>
    <t>000126/RBY-PPJP/BKS/VI/2024</t>
  </si>
  <si>
    <t>00083/2.0144-01/PI/10/0612/1/VII/2024</t>
  </si>
  <si>
    <t>PT. Mandiri Berlian Unggas</t>
  </si>
  <si>
    <t>Pabrik Peternakan Ayam</t>
  </si>
  <si>
    <t>Sarana Pelengkap+Mesin + Peralatan</t>
  </si>
  <si>
    <t>Blok Sodong Pereng, Dusun Panenjoan</t>
  </si>
  <si>
    <t>Desa Kersaratu</t>
  </si>
  <si>
    <t>Sidamulih</t>
  </si>
  <si>
    <t xml:space="preserve">Kab. Pangandaran </t>
  </si>
  <si>
    <t>Desa Sidangsari, kec. Cimerak, Kab. Pangandaran, Prov. Jawa Barat</t>
  </si>
  <si>
    <t>Bapak Ili (085317880655)</t>
  </si>
  <si>
    <t>Desa Cikalong, Kec. Sidamulih, Kab. Pangandaran, Prov. Jawa Barat</t>
  </si>
  <si>
    <t>Bapak Undang Munandar (082115466408)</t>
  </si>
  <si>
    <t>Bapak Undang Munandar (082115466308)</t>
  </si>
  <si>
    <t>Richard Barus (Penilai), Firdaus Ginting&amp;Fajar Hariyadi Tambunan (Pelaksana Inspeksi)</t>
  </si>
  <si>
    <t>000105/RBY-PPJP/BKS/VI/2024</t>
  </si>
  <si>
    <t>00084/2.0144-01/PI/10/0612/1/VII/2024</t>
  </si>
  <si>
    <t>PT. Medika Loka Sukabumi</t>
  </si>
  <si>
    <t>Jalan Raya Sukaraja RT. 003 RW. 003</t>
  </si>
  <si>
    <t>Desa Sukaraja</t>
  </si>
  <si>
    <t>Sukaraja</t>
  </si>
  <si>
    <t>Kab. Sukabumi</t>
  </si>
  <si>
    <t>Kp. Gg Neglasari, Desa Pasirhalang, Kec. Sukaraja, Kab. Sukabumi, Prov. Jawa Barat</t>
  </si>
  <si>
    <t>Ibu Yulianti (085723095917)</t>
  </si>
  <si>
    <t>Jalan Citangkurak, Desa Pasirhalang, Kec. Sukaraja, Kab. Sukabumi, Prov. Jawa Barat</t>
  </si>
  <si>
    <t>Ibu Alisyah arshaka (085793961104)</t>
  </si>
  <si>
    <t>Desa Selaawi, Kec. Sukaraja, Kab. Sukabumi, Prov. Jawa Barat</t>
  </si>
  <si>
    <t>Bapak Tantan Suntana (0899529481703)</t>
  </si>
  <si>
    <t>000114/RBY-PPJP/BKS/VI/2024</t>
  </si>
  <si>
    <t>00085/2.0144-01/PI/10/0612/1/VII/2024</t>
  </si>
  <si>
    <t>PT. Medika Loka Hermina, Tbk</t>
  </si>
  <si>
    <t>Jalan Raya Gajah Mada</t>
  </si>
  <si>
    <t xml:space="preserve">Desa Menanggal </t>
  </si>
  <si>
    <t>Mojosari</t>
  </si>
  <si>
    <t>Kab. Mojokerto</t>
  </si>
  <si>
    <t>Jalan Raya Bypass Mojokerto, Desa Jabon, Kec. Mojoanyar, Kab. Mojokerto, Prov. Jawa Timur</t>
  </si>
  <si>
    <t>Ibu Anna (081353647687)</t>
  </si>
  <si>
    <t>Jalan Raya Bypass Mojokerto, Desa Lengkong, Kec. Mojoanyar, Kab. Mojokerto, Prov. Jawa Timur</t>
  </si>
  <si>
    <t>Jalan Gempol-Mojokerto, Desa Gayaman, Kec. Mojosari, Kab. Mojokerto, Prov. Jawa Timur</t>
  </si>
  <si>
    <t>Ibu Fonnie (08121640255)</t>
  </si>
  <si>
    <t>00086/2.0144-01/PI/10/0612/1/VII/2024</t>
  </si>
  <si>
    <t>Jalan Jendral Gatot Subroto No.72</t>
  </si>
  <si>
    <t>Kel. Pancoran</t>
  </si>
  <si>
    <t>Pancoran</t>
  </si>
  <si>
    <t>Jalan Jendral Gatot Subroto, Kel. Kuningan Timur, Kec. Tebet, Kota Jakarta Selatan, Prov. DKI Jakarta</t>
  </si>
  <si>
    <t>Tanah dan Bangunan (Dihitung Tanah)</t>
  </si>
  <si>
    <t>Bapak Joko (08128613846)</t>
  </si>
  <si>
    <t>Jalan Jendral Gatot Subroto, Kel. Kuningan Barat, Kec. Mampang Prapatan, Kota Jakarta Selatan, Prov. DKI Jakarta</t>
  </si>
  <si>
    <t>Bapak Willy (081383370338)</t>
  </si>
  <si>
    <t>Bapak Ridho (08176001155)</t>
  </si>
  <si>
    <t xml:space="preserve">Rusun Non Hunian </t>
  </si>
  <si>
    <t>915,88</t>
  </si>
  <si>
    <t>Kantor Taman E.3.3 Mega Kuningan Lantai Basement-GF-2-3-3A-5 No.C6</t>
  </si>
  <si>
    <t>Jalan Mega Kuningan</t>
  </si>
  <si>
    <t>Kantor Taman E.3.3 Mega Kuningan, Jalan Mega Kuningan No.82, Kel. Kuningan Timur, Kec. Setiabudi, Kota Jakarta Selatan, Prov. DKI Jakarta</t>
  </si>
  <si>
    <t>Bapak Yopi (085880800770)</t>
  </si>
  <si>
    <t>Kantor Taman A.9 Mega Kuningan, Jalan Mega Kuningan No.A1, Kel. Kuningan Timur, Kec. Setiabudi, Kota Jakarta Selatan, Prov. DKI Jakarta</t>
  </si>
  <si>
    <t>Bapak Chandra (0817172828)</t>
  </si>
  <si>
    <t>Kantor Taman A.9  Mega Kuningan, Jalan Mega Kuningan No.A9, Kel. Kuningan Timur, Kec. Kuningan Timur, Kota Jakarta Selatan, Prov. DKI Jakarta</t>
  </si>
  <si>
    <t>Ibu Maya (081287718072)</t>
  </si>
  <si>
    <t>657,13</t>
  </si>
  <si>
    <t>Kantor Taman E.3.3 Mega Kuningan Lantai Basement-GF-2-3-3A-5 No.C7</t>
  </si>
  <si>
    <t>00101/RBY-PPJP/BKS/VI/2024</t>
  </si>
  <si>
    <t>00087/2.0144-01/PI/10/0612/1/VII/2024</t>
  </si>
  <si>
    <t>Kapal Crew Boat INA SELA</t>
  </si>
  <si>
    <t>Jalan RE. Martadinata</t>
  </si>
  <si>
    <t>Sekupang</t>
  </si>
  <si>
    <t>Crew Boat INA SELA</t>
  </si>
  <si>
    <t>Saudi Arabia</t>
  </si>
  <si>
    <t>Kapal Crew Boat</t>
  </si>
  <si>
    <t>DNV-GL</t>
  </si>
  <si>
    <t>Arabian Gluf</t>
  </si>
  <si>
    <t>BV</t>
  </si>
  <si>
    <t>Serawak</t>
  </si>
  <si>
    <t>00088/2.0144-01/PI/10/0612/1/VII/2024</t>
  </si>
  <si>
    <t xml:space="preserve">Kapal </t>
  </si>
  <si>
    <t>Kapal Supply/Utility Vessel KM. INA TUNI Eks ENA SUPPLY 1</t>
  </si>
  <si>
    <t>432,22</t>
  </si>
  <si>
    <t>Perairan Petrohina Marine</t>
  </si>
  <si>
    <t>Desa Teluk Kijing</t>
  </si>
  <si>
    <t>Nipah Panjang</t>
  </si>
  <si>
    <t>Kab. Tanjung Jabung Timur</t>
  </si>
  <si>
    <t>Jambi</t>
  </si>
  <si>
    <t>KM. INA TUNI Eks ENA SUPPLY 1</t>
  </si>
  <si>
    <t>Kapal Supply/Utility Vessel</t>
  </si>
  <si>
    <t>IR</t>
  </si>
  <si>
    <t xml:space="preserve">Supply/ Utility Vessel </t>
  </si>
  <si>
    <t>Kapal Supply/Ultility Vessel</t>
  </si>
  <si>
    <t>00089/2.0144-01/PI/10/0612/1/VII/2024</t>
  </si>
  <si>
    <t>Kapal Azimuth Stem Tug (ASDT) KM. Ina WAKA</t>
  </si>
  <si>
    <t>KM. INA WAKA</t>
  </si>
  <si>
    <t>Kapal Azimuth Stem Drive Tug (ASDT)</t>
  </si>
  <si>
    <t>ABS</t>
  </si>
  <si>
    <t>ABS+1</t>
  </si>
  <si>
    <t>Russian Maritime Register</t>
  </si>
  <si>
    <t>00090/2.0144-01/PI/10/0612/1/VII/2024</t>
  </si>
  <si>
    <t>Kapal Crew Boat S. ELEANOR Eks. TMS 3</t>
  </si>
  <si>
    <t>Area Loading Pier</t>
  </si>
  <si>
    <t>Desa Arar</t>
  </si>
  <si>
    <t>Meyamuk</t>
  </si>
  <si>
    <t>Kab. Sorong</t>
  </si>
  <si>
    <t>Papua Barat</t>
  </si>
  <si>
    <t>S. Eleanor</t>
  </si>
  <si>
    <t>Ssafaniah Oilfield</t>
  </si>
  <si>
    <t>Miri Serawak</t>
  </si>
  <si>
    <t>00100/RBY-PPJP/BKS/VI/2024</t>
  </si>
  <si>
    <t>00091/2.0144-01/PI/07/0612/1/VII/2024</t>
  </si>
  <si>
    <t>Jalan Perjuangan No.39</t>
  </si>
  <si>
    <t>Jalan K.H Asmawi, Desa Kalijaya, kec. Cikarang Barat, Kab. Bekasi, Prov. Jawa Barat</t>
  </si>
  <si>
    <t>Ibu Chrismast (08231156xxxx)</t>
  </si>
  <si>
    <t>Jalan Perjuangan, Desa Sukadanau, kec. Cikarang Barat, Kab. Bekasi, Prov. Jawa Barat</t>
  </si>
  <si>
    <t>Bapak Sandi Trafonta (08788660xxxx)</t>
  </si>
  <si>
    <t>Bapak Poda (08192812xxxx)</t>
  </si>
  <si>
    <t>Richard Barus &amp; Robbi Sugara Ginting (Penilai &amp;Pelaksana Inspeksi)</t>
  </si>
  <si>
    <t>00135/RBY-PPJP/BKS/VI/2024</t>
  </si>
  <si>
    <t>00092/2.0144-01/PI/07/0612/1/VII/2024</t>
  </si>
  <si>
    <t>Perumahan Dukuh Zamrud</t>
  </si>
  <si>
    <t>Jalan Mutiara Blok I. 21 No. 27,30 dan 31</t>
  </si>
  <si>
    <t>Perumahan Dukuh Zamrud, Jalan Mutiara Blok I.21 No.22, Kel. Cimuning, Kec. Mustikajaya, Kota Bekasi, Prov. Jawa Barat</t>
  </si>
  <si>
    <t>Ibu Ery (081312345xxxx)</t>
  </si>
  <si>
    <t>Perumahan Dukuh Zamrud, Jalan Mutiara Blok I.21 No.03, Kel. Cimuning, Kec. Mustikajaya, Kota Bekasi, Prov. Jawa Barat</t>
  </si>
  <si>
    <t>Ibu Evis (08122754xxxx)</t>
  </si>
  <si>
    <t>Perumahan Dukuh Zamrud, Jalan Berlian Blok I.22 No.33, Kel. Cimuning, Kec. Mustikajaya, Kota Bekasi, Prov. Jawa Barat</t>
  </si>
  <si>
    <t>Bapak Samsul (08132657xxxx)</t>
  </si>
  <si>
    <t>00089/RBY-PPJP/BKS/V/2024</t>
  </si>
  <si>
    <t>00093/2.0144-01/PI/07/0612/1/VII/2024</t>
  </si>
  <si>
    <t>Persediaan Barang jadi</t>
  </si>
  <si>
    <t>Persediaan Bahan Baku dan Bahan Jadi</t>
  </si>
  <si>
    <t>Jalan Prof. Dr. Ir. Sutami No.19A</t>
  </si>
  <si>
    <t>Kel. Bira</t>
  </si>
  <si>
    <t>Tambalang</t>
  </si>
  <si>
    <t>00099/RBY-PPJP/BKS/V/2024</t>
  </si>
  <si>
    <t>00094/2.0144-01/PI/10/0612/1/VII/2024</t>
  </si>
  <si>
    <t>PT. Megan Cassia International</t>
  </si>
  <si>
    <t xml:space="preserve">Kawasan Industri Jababeka XIB </t>
  </si>
  <si>
    <t>Blok K No. 6E</t>
  </si>
  <si>
    <t>Cikarang Utara</t>
  </si>
  <si>
    <t>Kawasan Industri Jababeka 1, Jalan Jababeka XVI, Desa. Harja Mekar, Kec. Cikarang Utara, Kab. Bekasi, Prov. Jawa Barat</t>
  </si>
  <si>
    <t>Bapak Ali Muchtar (081219001230)</t>
  </si>
  <si>
    <t>Kawasan Industri Jababeka 1, Jalan Jababeka, Desa. Harja Mekar, Kec. Cikarang Utara, Kab. Bekasi, Prov. Jawa Barat</t>
  </si>
  <si>
    <t>Kawasan Industri Jababeka 1, Jalan Jababeka XI A Blok K No. 5H, Desa. Harja Mekar, Kec. Cikarang Utara, Kab. Bekasi, Prov. Jawa Barat</t>
  </si>
  <si>
    <t>Ibu Debbie (081387873002)</t>
  </si>
  <si>
    <t xml:space="preserve">Kawasan Industri Jababeka XVIIB </t>
  </si>
  <si>
    <t>Blok U No. 35B</t>
  </si>
  <si>
    <t>00136/RBY-PPJP/BKS/VII/2024</t>
  </si>
  <si>
    <t>00095/2.0144-01/PI/07/0612/1/VII/2024</t>
  </si>
  <si>
    <t>Perumahan Villa Mutiara Jaya</t>
  </si>
  <si>
    <t>Blok MB2 No.16 dan 17 RT.04 RW. 07</t>
  </si>
  <si>
    <t>Desa Wanajaya</t>
  </si>
  <si>
    <t>Cibitung</t>
  </si>
  <si>
    <t>Perumahan Villa Mutiara Jaya Kav Blok M16 No.24, Desa Wanajaya, Kec. Cibitung, Kab. Bekasi, Prov. Jawa Barat</t>
  </si>
  <si>
    <t>Ibu Nunung (081212067846)</t>
  </si>
  <si>
    <t>Perumahan Villa Mutiara Jaya Kav Blok M15 No.8, Desa Wanajaya, Kec. Cibitung, Kab. Bekasi, Prov. Jawa Barat</t>
  </si>
  <si>
    <t>Ibu Vio (087776118434)</t>
  </si>
  <si>
    <t>Perumahan Villa Mutiara Jaya Kav Blok M32 No.40, Desa Wanajaya, Kec. Cibitung, Kab. Bekasi, Prov. Jawa Barat</t>
  </si>
  <si>
    <t>Bapak Andika Nurdiansyah (087880657786)</t>
  </si>
  <si>
    <t>Richard Barus (Penilai), Firdaus Ginting &amp; Fajar Hariyadi Tambunan (Pelaksana Inspeksi)</t>
  </si>
  <si>
    <t>00133/RBY-PPJP/BKS/VI/2024</t>
  </si>
  <si>
    <t>00096/2.0144-01/PI/07/0612/1/VII/2024</t>
  </si>
  <si>
    <t>Jalan Raya Pisangan RT.002 RW. 001</t>
  </si>
  <si>
    <t>Desa Satria Jaya</t>
  </si>
  <si>
    <t>Tambun Utara</t>
  </si>
  <si>
    <t>Jalan Raya Karang Satria, Desa Karang Satria, Kec. Tambun Utara, Kab. Bekasi, Prov. Jawa Barat</t>
  </si>
  <si>
    <t>Ibu Yulli (082119113257)</t>
  </si>
  <si>
    <t>Jalan Raya Pisangan, Desa Satria Jaya, Kec. Tambun Utara, Kab. Bekasi, Prov. Jawa Barat</t>
  </si>
  <si>
    <t>Bapak Jimmy Lu (082211751132)</t>
  </si>
  <si>
    <t>Bapak Jeffry (0818690671)</t>
  </si>
  <si>
    <t>Robbi Sugara Ginting (Penilai), Firdaus Ginting&amp;Fajar Hariyadi Tambunan (Pelaksana Inspeksi)</t>
  </si>
  <si>
    <t>00113/RBY-PPJP/BKS/VI/2024</t>
  </si>
  <si>
    <t>00097/2.0144-01/PI/07/0612/1/VII/2024</t>
  </si>
  <si>
    <t>Jalan Prabu Siliwangi KM. 3,1 Kampung Gembor RT. 004 RW. 001 NO. C4,C5 dan C6</t>
  </si>
  <si>
    <t>Kel. Gembor</t>
  </si>
  <si>
    <t>Jalan Prabu Siliwangi No.22, Kel. Alam Jaya, Kec. Jatiuwung, Kota Tanggerang, Prov. Banten</t>
  </si>
  <si>
    <t>Bapak Amin (08129588158)</t>
  </si>
  <si>
    <t>Jalan Pasar kemis, Kel. Sukakasih, Kec. Pasar Kemis, Kota Tanggerang, Prov. Banten</t>
  </si>
  <si>
    <t>Bapak Chaerul (085718741663)</t>
  </si>
  <si>
    <t>Jalan Prabu Siliwangi, Kel. Alam Jaya, Kec. Jatiuwung, Kota Tanggerang, Prov. Banten</t>
  </si>
  <si>
    <t>Robbi Sugara Ginting (Penilai), Firdaus Ginting  (Pelaksana Inspeksi)</t>
  </si>
  <si>
    <t>Jalan Baru Regency II No. 19 RT. 005 RW. 007</t>
  </si>
  <si>
    <t>Desa Kutajaya</t>
  </si>
  <si>
    <t>Pasarkemis</t>
  </si>
  <si>
    <t>00088/RBY-PPJP/BKS/V/2024</t>
  </si>
  <si>
    <t>00098/2.0144-01/PI/10/0612/1/VII/2024</t>
  </si>
  <si>
    <t>PT. Duta Putera Sumatera</t>
  </si>
  <si>
    <t>Jalan Kapten Sumarsono No. 98</t>
  </si>
  <si>
    <t>Desa Helvetia</t>
  </si>
  <si>
    <t>Sunggal</t>
  </si>
  <si>
    <t xml:space="preserve">Kab. Deli Serdang </t>
  </si>
  <si>
    <t>Sumatera Utara</t>
  </si>
  <si>
    <t>Jalan Kapten Sumarsono, Desa Helvetia, Kec. Sunggal, Kab. Deli Serdang, Prov. Sumatera Utara</t>
  </si>
  <si>
    <t>Bapak Anton (081374612981)</t>
  </si>
  <si>
    <t>Bapak Marbun (082366533333)</t>
  </si>
  <si>
    <t>Bapak Marbun (081362231447)</t>
  </si>
  <si>
    <t>Jalan Kapten Sumarsono No. 97</t>
  </si>
  <si>
    <t>Kel. Timbang Langkat</t>
  </si>
  <si>
    <t>Binjai Timur</t>
  </si>
  <si>
    <t>Kota Binjai</t>
  </si>
  <si>
    <t>Jalan Soekarno Hatta, Kel. Timbang Langkat, Kec. Binjai Timur, Kota Binjai, Prov. Sumatera Utara</t>
  </si>
  <si>
    <t>Pemilik (081380211767)</t>
  </si>
  <si>
    <t>Bapak Aan (08126470066)</t>
  </si>
  <si>
    <t>Ruko Plaza Pasifik Blok B2-30, Kel. Timbang Langkat, Kec. Binjai Timur, Kota Binjai, Prov. Sumatera Utara</t>
  </si>
  <si>
    <t>Ibu Melissa (085217219856)</t>
  </si>
  <si>
    <t>Jalan Cokroaminoto</t>
  </si>
  <si>
    <t>Kel. Mekar Baru</t>
  </si>
  <si>
    <t>Kota Kisaran Barat</t>
  </si>
  <si>
    <t>Kab. Asahan</t>
  </si>
  <si>
    <t>Jalan Cokroaminoto, Kel. Mekar Baru, Kec. Kota Kisaran Barat, Kab. Asahan, Prov. Sumatera Utara</t>
  </si>
  <si>
    <t>2 (unit) Ruko</t>
  </si>
  <si>
    <t>2 (Unit) Ruko</t>
  </si>
  <si>
    <t>436,65</t>
  </si>
  <si>
    <t>Jalan Letda Sujono</t>
  </si>
  <si>
    <t>Desa Medan Estate</t>
  </si>
  <si>
    <t>Percut Sei Tuan</t>
  </si>
  <si>
    <t>Jalan Letda. Sujono, Desa Medan Estate, Kec. Percut Sei Tuan, Kab. Deli Serdang, Prov. Sumatera Utara</t>
  </si>
  <si>
    <t>Ibu Rani (082329987725)</t>
  </si>
  <si>
    <t>Bapak Nasution (081362656428)</t>
  </si>
  <si>
    <t>Bapak Junaidi Halim (0811653837)</t>
  </si>
  <si>
    <t>Jalan Letda Sujono 146-148</t>
  </si>
  <si>
    <t>Ibu Lisni (0811613918)</t>
  </si>
  <si>
    <t>00141/RBY-PPJP/BKS/VII/2024</t>
  </si>
  <si>
    <t>00099/2.0144-01/PI/07/0612/1/VIII/2024</t>
  </si>
  <si>
    <t>00118/RBY-PPJP/BKS/VI/2024</t>
  </si>
  <si>
    <t>00100/2.0144-01/PI/07/0612/1/VIII/2024</t>
  </si>
  <si>
    <t>PT. Medika Loka Aceh</t>
  </si>
  <si>
    <t>Tanah dan Bangunan (Rumah Sakit Hermina Aceh)</t>
  </si>
  <si>
    <t>Desa Ajee Pagar Air</t>
  </si>
  <si>
    <t>Ingin Jaya</t>
  </si>
  <si>
    <t>Kab. Aceh Besar</t>
  </si>
  <si>
    <t>Aceh</t>
  </si>
  <si>
    <t>Jalan Soekarno Hatta, Desa Ajee Pagar Air, Kec. Ingin Jaya, Kab. Aceh Besar, Prov. Aceh</t>
  </si>
  <si>
    <t>Bapak Evendi (08126988715)</t>
  </si>
  <si>
    <t>Bapak Deni Lubis (081288381960)</t>
  </si>
  <si>
    <t>Bapak Subhan (081340616100)</t>
  </si>
  <si>
    <t>00119/RBY-PPJP/BKS/VI/2024</t>
  </si>
  <si>
    <t>00101/2.0144-01/PI/10/0612/1/VIII/2024</t>
  </si>
  <si>
    <t>PT. Medika Loka Ciawi</t>
  </si>
  <si>
    <t>Tanah dan Bangunan (Rumah Sakit Hermina Ciawi)</t>
  </si>
  <si>
    <t xml:space="preserve">Jalan Raya Puncak </t>
  </si>
  <si>
    <t>Desa Pandansari</t>
  </si>
  <si>
    <t>Ciawi</t>
  </si>
  <si>
    <t>Jalan Raya Puncak, Desa Pandansari, kec. Ciawi, Kab. Bogor, Prov. Jawa Barat</t>
  </si>
  <si>
    <t>Pak Fairuz (087878092666)</t>
  </si>
  <si>
    <t>Tanah dan Bangunan (dihitung Tanah)</t>
  </si>
  <si>
    <t>Mikael (08158060123)</t>
  </si>
  <si>
    <t>Bapak Sariadhi (081642023710</t>
  </si>
  <si>
    <t>santo Cornelius Ginting (Penilai), Firdaus Ginting &amp; Fajar Hariyadi Tambunan (Pelaksana Inspeksi)</t>
  </si>
  <si>
    <t>00048/RBY-PPJP/BKS/III/2024</t>
  </si>
  <si>
    <t>00102/2.0144-01/PI/07/0612/1/VIII/2024</t>
  </si>
  <si>
    <t>Jalan Industri Pasir Gombong</t>
  </si>
  <si>
    <t>Desa Pasir Gombong</t>
  </si>
  <si>
    <t>Jalan Industri Pasir Gombong, Desa Pasir Gembong, Kec. Cikarang Utara, Kab. Bekasi, Prov. Jawa Barat</t>
  </si>
  <si>
    <t>Ibu Bilyana (08129989078)</t>
  </si>
  <si>
    <t>Bapak Endang (082113652022)</t>
  </si>
  <si>
    <t>Bapak Steven (081213941870)</t>
  </si>
  <si>
    <t>Ricahard Barus (Penilai), Robbi Sugara Ginting (Pelakasana Inspeksi)</t>
  </si>
  <si>
    <t>00127/RBY-PPJP/BKS/VI/2024</t>
  </si>
  <si>
    <t>00103/2.0144-01/PI/10/0612/1/VIII/2024</t>
  </si>
  <si>
    <t>Jalan Raya Jatikramat RT.001 RW. 013</t>
  </si>
  <si>
    <t>Jalan Jatimekar, Kel. Jatiasih, Kec. Pondok Gede, Kota Bekasi, Prov. Jawa Barat</t>
  </si>
  <si>
    <t>Ibu Vera (081297575212)</t>
  </si>
  <si>
    <t>Jalan Jatikramat, Kel. Jatimakmur, Kec. Pondok Gede, Kota Bekasi, Prov. Jawa Barat</t>
  </si>
  <si>
    <t>Pemilik (08121051389)</t>
  </si>
  <si>
    <t>Jalan Raya Ujunhg Aspal, Kel. Jatiasih, Kec. Pondok Gede, Kota Bekasi, Prov. Jawa Barat</t>
  </si>
  <si>
    <t>Santo Cornelius Ginting (Penilai), Fajar Hariyadi Tambunan (Pelaksana Inspkesi)</t>
  </si>
  <si>
    <t>00104/2.0144-01/PI/10/0612/1/VIII/2024</t>
  </si>
  <si>
    <t>Tanah dan Bangunan (Ex. Indicafe)</t>
  </si>
  <si>
    <t>Jalan A.P. Petta Rani No.4 RT.04 RW.05</t>
  </si>
  <si>
    <t>Kel. Gunung Sari</t>
  </si>
  <si>
    <t>Rappocini</t>
  </si>
  <si>
    <t>Jalan Letjen Hertasning No.3, Kel. Bua Kana, Kec. Rappocini, Kota Makassar, Prov. Sulawesi Selatan</t>
  </si>
  <si>
    <t>Bapak Ahmad Faruq (082346403376)</t>
  </si>
  <si>
    <t>Jalan Letjen Hertasning No.18, Kel. Kassi-kassi, Kec. Rappocini, Kota Makassar, Prov. Sulawesi Selatan</t>
  </si>
  <si>
    <t>Ibu Meggy (081245573383)</t>
  </si>
  <si>
    <t>Jalan Letjen Hertasning, Kel. Kassi-kassi, Kec. Rappocini, Kota Makassar, Prov. Sulawesi Selatan</t>
  </si>
  <si>
    <t>Ibu Hana (082188860944)</t>
  </si>
  <si>
    <t>00123/RBY-PPJP/BKS/VI/2024</t>
  </si>
  <si>
    <t>00105/2.0144-01/PI/10/0612/1/VIII/2024</t>
  </si>
  <si>
    <t>PT. Harapan Sawit Sejahtera</t>
  </si>
  <si>
    <t>Tanah dan Bangunan (Pabrik Kelapa Sawit)</t>
  </si>
  <si>
    <t>Sarana Pelengkap, Mesin dan Peralatan, Peralatan Workshop, Peralatan Kantor dan Peralatan Laboratorium</t>
  </si>
  <si>
    <t>Desa Modang</t>
  </si>
  <si>
    <t>Kuaro</t>
  </si>
  <si>
    <t>Kab. Paser</t>
  </si>
  <si>
    <t>Desa Sepan, Kec. Penajam, Kab. Paser, Prov. Kalimantan Timur</t>
  </si>
  <si>
    <t>Bapak Bardan (082110701175)</t>
  </si>
  <si>
    <t>Desa Sawit Jaya, Kec. Long Ikis, Kab. Paser, Prov. Kalimantan Timur</t>
  </si>
  <si>
    <t>Bapak Widodo (082157427118)</t>
  </si>
  <si>
    <t>Bapak Xena (081226688628)</t>
  </si>
  <si>
    <t>Alat Berat (Excavator)</t>
  </si>
  <si>
    <t>Cobleco/SK200-10</t>
  </si>
  <si>
    <t>Karawang</t>
  </si>
  <si>
    <t>Excavator</t>
  </si>
  <si>
    <t>Cobelco</t>
  </si>
  <si>
    <t>Bapak Bhonin (087770461230)</t>
  </si>
  <si>
    <t xml:space="preserve">Jakarta Pusat </t>
  </si>
  <si>
    <t>Bapak Khoile Sugseti (082310294080)</t>
  </si>
  <si>
    <t>Bapak Syaugle (085282068124)</t>
  </si>
  <si>
    <t>Alat Berat (Wheel Loader)</t>
  </si>
  <si>
    <t>Case/ 521 F</t>
  </si>
  <si>
    <t xml:space="preserve">Wheel Loader </t>
  </si>
  <si>
    <t>Catterpillar</t>
  </si>
  <si>
    <t>Bapak Husaini Sugara (082162624949)</t>
  </si>
  <si>
    <t>Pekanbaru, Riau</t>
  </si>
  <si>
    <t>Wheel Loader</t>
  </si>
  <si>
    <t>Bapak Edi (085376949888)</t>
  </si>
  <si>
    <t>USA</t>
  </si>
  <si>
    <t>Case</t>
  </si>
  <si>
    <t>Bapak Keith Haynes (08657058882)</t>
  </si>
  <si>
    <t>Kendaraan (Ford Everst)</t>
  </si>
  <si>
    <t>KT 1492 AO</t>
  </si>
  <si>
    <t>Ford Everest/2.5L 10-S M/T</t>
  </si>
  <si>
    <t>Ford Everest/Minibus/2.5L 10-2 M/T</t>
  </si>
  <si>
    <t>Bapak Garnet (081387022257)</t>
  </si>
  <si>
    <t>Cipayung, Jakarta Timur</t>
  </si>
  <si>
    <t>Ford Everest/Minibus/2.5L 10-S M/T</t>
  </si>
  <si>
    <t>Bapak Komar (085692683590)</t>
  </si>
  <si>
    <t>Bekasi Barat</t>
  </si>
  <si>
    <t>Bapak Thanu (08568831941)</t>
  </si>
  <si>
    <t>Kendaraan (Toyota Hilux)</t>
  </si>
  <si>
    <t xml:space="preserve">Toyota/Hilux </t>
  </si>
  <si>
    <t>Makassar</t>
  </si>
  <si>
    <t>Toyota/Hilux 2.4 G (4x4)</t>
  </si>
  <si>
    <t>Bapak Kaila (081242733366)</t>
  </si>
  <si>
    <t>Bapak Saur Sepuh (081906848000)</t>
  </si>
  <si>
    <t>Bojonegoro</t>
  </si>
  <si>
    <t>Toyota/ Hilux 2.4 G (4x4)</t>
  </si>
  <si>
    <t>Bapak Zavindra (081554712513)</t>
  </si>
  <si>
    <t>Kendaraan (Mitsubishi Colt Diesel)</t>
  </si>
  <si>
    <t>KT 8701 CO</t>
  </si>
  <si>
    <t>Mitsubishi/Colt Diesel FE 74 HDV (4x2) MT</t>
  </si>
  <si>
    <t>Kalimalang, Bekasi</t>
  </si>
  <si>
    <t>Mitsubishi/ Colt Diesel FE 74 HDV (4x2) MT</t>
  </si>
  <si>
    <t>Bapak Jaya (082112769046)</t>
  </si>
  <si>
    <t>Pantai Indah Kapuk, Jakarta Utara</t>
  </si>
  <si>
    <t>Bapak Ipuh (081281183837)</t>
  </si>
  <si>
    <t>Panjaringan, Jakarta Utara</t>
  </si>
  <si>
    <t>Ibu Elis (085694450156)</t>
  </si>
  <si>
    <t>00124/RBY-PPJP/BKS/VI/2024</t>
  </si>
  <si>
    <t>00106/2.0144-01/PI/10/0612/1/VIII/2024</t>
  </si>
  <si>
    <t>Jalan H. Muddin, Badak 07 RT.09</t>
  </si>
  <si>
    <t>Desa Muara Badak Ulu</t>
  </si>
  <si>
    <t>Muara Badak</t>
  </si>
  <si>
    <t>Kutai Kartanegara</t>
  </si>
  <si>
    <t>Muara Badak-Samarinda, Desa Tanah Darat, Kec. Muara Badak, Kab. Kutai Kartanegara, Prov. Kalimantan Timur</t>
  </si>
  <si>
    <t>Bapak Aulia (08116119708)</t>
  </si>
  <si>
    <t>Jalan Batuah, Desa Batuah, Kec. Loa Janan, Kab. Kutai Kartanegara, Prov. Kalimantan Timur</t>
  </si>
  <si>
    <t>Bapak Andre Loekito (0811323757)</t>
  </si>
  <si>
    <t>Jalan Perjiwa, Desa Perjiwa, Kec. Tenggarong, Kab. Kutai Kartanegara, Prov. Kalimantan Timur</t>
  </si>
  <si>
    <t>Bapak Sony Herlambang (085753893565)</t>
  </si>
  <si>
    <t>kendaraan</t>
  </si>
  <si>
    <t>KT 8857 UI</t>
  </si>
  <si>
    <t>Mitsubishi/Triton 2.5L DC HDX 4x4 MT</t>
  </si>
  <si>
    <t>Mitsubishi/ Triton 2.5L HDX 4x4 MT</t>
  </si>
  <si>
    <t>Bapak Chris (081399996532)</t>
  </si>
  <si>
    <t>Bapak Henks (0818825105)</t>
  </si>
  <si>
    <t>Cilegon</t>
  </si>
  <si>
    <t>Bapak Riyandi (085773763988)</t>
  </si>
  <si>
    <t>KT 864 CO</t>
  </si>
  <si>
    <t>00163/RBY-PPJP/BKS/VIII/2024</t>
  </si>
  <si>
    <t>00107/2.0144-01/PI/10/0612/1/VIII/2024</t>
  </si>
  <si>
    <t>PT. Bima Bisalloy</t>
  </si>
  <si>
    <t>Kawasan Industri MM2100</t>
  </si>
  <si>
    <t>Jalan Sumbawa Kav. C7 No.1</t>
  </si>
  <si>
    <t>Desa Mekarwangi</t>
  </si>
  <si>
    <t>Kawasan Industri MM2100, Jalan Sumbawa, Desa Mekarwangi, Kel. Cikarang Barat, Kab. Bekasi, Prov. Jawa Barat</t>
  </si>
  <si>
    <t>Ibu Yenny Natalia (0818980080)</t>
  </si>
  <si>
    <t>Kawasan Industri MM2100, Jalan Halmahera, Desa Mekarwangi, Kel. Cikarang Barat, Kab. Bekasi, Prov. Jawa Barat</t>
  </si>
  <si>
    <t>Bapak Hans (081289986518)</t>
  </si>
  <si>
    <t>Kawasan Industri MM2100, Jalan Sulawesi, Desa Mekarwangi, Kel. Cikarang Barat, Kab. Bekasi, Prov. Jawa Barat</t>
  </si>
  <si>
    <t>Bapak Radit (081382506393)</t>
  </si>
  <si>
    <t>00162/RBY-PPJP/BKS/VIII/2024</t>
  </si>
  <si>
    <t>00108/2.0144-01/PI/07/0612/1/VIII/2024</t>
  </si>
  <si>
    <t>46,13</t>
  </si>
  <si>
    <t xml:space="preserve">M-Town Residence Summarecon Serpong </t>
  </si>
  <si>
    <t>Tower Franklin Lt 33 Blok F 3302</t>
  </si>
  <si>
    <t>Kel. Pakulonan Barat</t>
  </si>
  <si>
    <t>Kelapa Dua</t>
  </si>
  <si>
    <t>M-Town Residence Summarecon Tower Franklin, Lantai 35, Kel. Pakulonan Barat, Kec. Kelapa Dua, Kab. Tanggerang, Prov. Banten</t>
  </si>
  <si>
    <t>Ibu Dewi Silalahi (0813361770282)</t>
  </si>
  <si>
    <t>M-Town Residence Summarecon Tower Franklin, Lantai 33, Kel. Pakulonan Barat, Kec. Kelapa Dua, Kab. Tanggerang, Prov. Banten</t>
  </si>
  <si>
    <t>Ibu Nancy Fransisca (08161937231)</t>
  </si>
  <si>
    <t>M-Town Residence Summarecon Tower Franklin, Lantai 16, Kel. Pakulonan Barat, Kec. Kelapa Dua, Kab. Tanggerang, Prov. Banten</t>
  </si>
  <si>
    <t>Bapak William (089634421147)</t>
  </si>
  <si>
    <t>00023/RBY-PPJP/BKS/I/2024</t>
  </si>
  <si>
    <t>00109/2.0144-01/PI/10/0612/1/IX/2024</t>
  </si>
  <si>
    <t>PT. Jaya Trade Indonesia</t>
  </si>
  <si>
    <t>Bagunan</t>
  </si>
  <si>
    <t>Sarana Pelengkap, Mesin dan Peralatan Tangki Aspal, Persediaan Aspal, Perlengkapan Kantor</t>
  </si>
  <si>
    <t>Mesin 13 
Persediaan Aspal 1.254.841
Perlengkapan Kantor</t>
  </si>
  <si>
    <t>Unit
Kg
Unit</t>
  </si>
  <si>
    <t>Jalan Road-3 Gabion Belawan</t>
  </si>
  <si>
    <t>Kel. Bagan Deli</t>
  </si>
  <si>
    <t>Medan Belawan</t>
  </si>
  <si>
    <t>Kota Medan</t>
  </si>
  <si>
    <t>BK 8554 CP
BK 8553 CP
BK 8510 XE</t>
  </si>
  <si>
    <t>Mitsubishi/FM 517 HL (4x2) M/T</t>
  </si>
  <si>
    <t>Mitsubishi/ FM 517 HL (4x2) M/T</t>
  </si>
  <si>
    <t>Bapak Hermawan (081381298798)</t>
  </si>
  <si>
    <t>Bapak Ade Cheen (087777997222)</t>
  </si>
  <si>
    <t>Bapak Ade Cheen (082122026996)</t>
  </si>
  <si>
    <t>BK 8396 EU
BK 8397 EU
BK 8415 EU
BK 8398 EU
BK 8416 EU</t>
  </si>
  <si>
    <t>Hino/FL8JT1A-EGJTRONTON(6x2)/Truck Tangki</t>
  </si>
  <si>
    <t>Majalengka</t>
  </si>
  <si>
    <t>Hino/FL8JT1A-EGJTRONTON(6x2)</t>
  </si>
  <si>
    <t>Ibu Siska (082210394654)</t>
  </si>
  <si>
    <t>Cileungsi, Bogor</t>
  </si>
  <si>
    <t>Bapak Yopi (085282281527)</t>
  </si>
  <si>
    <t>Klapanunggal, Bogor</t>
  </si>
  <si>
    <t>Hino/ FL8JT1A-EGJTRONTON(6x2)</t>
  </si>
  <si>
    <t>Ibu Aisah (081219783234)</t>
  </si>
  <si>
    <t xml:space="preserve">BK 8684 EK
BK 8685 EK
BK 8687 EK
BK 8688 EK
BK 8689 EK
BK 8671 GL
BK 8683 GL
BK 8694 GL
BK 9700 GL
</t>
  </si>
  <si>
    <t>Hino/FM8JW IA-EGJ/ Truk Tangki</t>
  </si>
  <si>
    <t>Sumut</t>
  </si>
  <si>
    <t>Hino/FM8JW IA-EGJ</t>
  </si>
  <si>
    <t>Varrestha (085773674217)</t>
  </si>
  <si>
    <t>Krawang</t>
  </si>
  <si>
    <t>Rian (081398288795)</t>
  </si>
  <si>
    <t>BK 4368 ADB</t>
  </si>
  <si>
    <t>Honda/NF125TD M/T</t>
  </si>
  <si>
    <t>Medan</t>
  </si>
  <si>
    <t>Sepeda Motor</t>
  </si>
  <si>
    <t>Bu Pita (081362692630)</t>
  </si>
  <si>
    <t>Pak Syahputra (082277222613)</t>
  </si>
  <si>
    <t>BK 8421 CR</t>
  </si>
  <si>
    <t>ISUZU TBR 54 TURBO/PICK UP</t>
  </si>
  <si>
    <t>Cilacap</t>
  </si>
  <si>
    <t>Abiman (081903388469)</t>
  </si>
  <si>
    <t>Bapak Amin (082120348082)</t>
  </si>
  <si>
    <t>BK 1611 LD</t>
  </si>
  <si>
    <t>Toyota/ Kijang Innova E</t>
  </si>
  <si>
    <t>Mobil Penumpang</t>
  </si>
  <si>
    <t>Bapak Arifin (081362760729)</t>
  </si>
  <si>
    <t xml:space="preserve">Medan </t>
  </si>
  <si>
    <t>Aisyah Nur Alya (083194426366)</t>
  </si>
  <si>
    <t>Tanggerang Kota</t>
  </si>
  <si>
    <t>Mobil Penumapang</t>
  </si>
  <si>
    <t>Ibu Aisah (081316338689)</t>
  </si>
  <si>
    <t>BK 1848 ZY</t>
  </si>
  <si>
    <t>Toyota/Rush 1.5G</t>
  </si>
  <si>
    <t>Cindy (085372335327)</t>
  </si>
  <si>
    <t>David (081263288555)</t>
  </si>
  <si>
    <t>Safrizal (082362005180)</t>
  </si>
  <si>
    <t>BK 1393 US</t>
  </si>
  <si>
    <t>Toyota/ Avanza 1.3 G M/T</t>
  </si>
  <si>
    <t>Toyota/Avanza 1.3 G M/T</t>
  </si>
  <si>
    <t>Nur Isnan (081370228568)</t>
  </si>
  <si>
    <t>Hamimi (085348418189)</t>
  </si>
  <si>
    <t>Darwin (082249988803)</t>
  </si>
  <si>
    <t>00024/RBY-PPJP/BKS/I/2024</t>
  </si>
  <si>
    <t>00110/2.0144-01/PI/10/0612/1/IX/2024</t>
  </si>
  <si>
    <t>PT. Sarana Mbay Utama</t>
  </si>
  <si>
    <t>Peralatan dan Perlengkapan Kantor</t>
  </si>
  <si>
    <t>Jalan Gatot Subroto KM.4 RT.032 RW.016</t>
  </si>
  <si>
    <t>Kel. Mautapaga</t>
  </si>
  <si>
    <t>Ende Timur</t>
  </si>
  <si>
    <t>Kab. Ende</t>
  </si>
  <si>
    <t>Nusa Tenggara Timur (NTT)</t>
  </si>
  <si>
    <t>22-24 April 2024</t>
  </si>
  <si>
    <t>Richard Barus</t>
  </si>
  <si>
    <t>EB 1276 AB</t>
  </si>
  <si>
    <t>Kijang Innova E</t>
  </si>
  <si>
    <t>Bapak Tyo Mega (082110234369)</t>
  </si>
  <si>
    <t>Toyota/Kijang Innova</t>
  </si>
  <si>
    <t>Bapak Wijaya (081806738485)</t>
  </si>
  <si>
    <t>Toyota/Kijang Innova E</t>
  </si>
  <si>
    <t>Bapak Adit (082116099627)</t>
  </si>
  <si>
    <t>EB 1105 A</t>
  </si>
  <si>
    <t>Toyota/ Avanza 1.3 G</t>
  </si>
  <si>
    <t>Toyota/ Avanza 1300G</t>
  </si>
  <si>
    <t>Bapak Acan (085100504170)</t>
  </si>
  <si>
    <t>Toyota/Avanza 1300G</t>
  </si>
  <si>
    <t>Bapak Pranowo (087819100703)</t>
  </si>
  <si>
    <t xml:space="preserve">Tanggerang </t>
  </si>
  <si>
    <t>Bapak Kosim (085718738404)</t>
  </si>
  <si>
    <t>EB 1339 AB</t>
  </si>
  <si>
    <t>Toyota/ Kijang Innova</t>
  </si>
  <si>
    <t>Palembang</t>
  </si>
  <si>
    <t>Toyota/ Innova G 2.0 Manual</t>
  </si>
  <si>
    <t>Bapak Angga Saputra (085266599146)</t>
  </si>
  <si>
    <t>Toyota/ Kijang Innova G 2.0 Manual</t>
  </si>
  <si>
    <t>Bapak Wahyu Kurniawan (082260571319)</t>
  </si>
  <si>
    <t>Bapak Ma'ruf (087888502282)</t>
  </si>
  <si>
    <t>EB 3559 AL</t>
  </si>
  <si>
    <t>Honda/AFX12U21C08M/T</t>
  </si>
  <si>
    <t>Honda</t>
  </si>
  <si>
    <t>Bapak Yogi (081288420299)</t>
  </si>
  <si>
    <t>Bapak Khairul</t>
  </si>
  <si>
    <t>Subang</t>
  </si>
  <si>
    <t>Bapak Adi Setiawan</t>
  </si>
  <si>
    <t>Saranan Pelengkap, Mesin dan Peralatan Tangki Aspal, Persediaan Aspal, Peralatan dan Perlengkapan Kantor</t>
  </si>
  <si>
    <t>Jalan Pelabuhan Marapokot</t>
  </si>
  <si>
    <t>Desa Marapokot</t>
  </si>
  <si>
    <t>Aesesa</t>
  </si>
  <si>
    <t>Kab. Nageko</t>
  </si>
  <si>
    <t>EB 8359 A</t>
  </si>
  <si>
    <t>Toyota/Hilux Pick Up 2.0 M/T</t>
  </si>
  <si>
    <t>Toyota/Hilux Pick Up 2.0.M/T</t>
  </si>
  <si>
    <t>Bapak Kendi (082378984529)</t>
  </si>
  <si>
    <t>Pangkal Pinang</t>
  </si>
  <si>
    <t>Bapak Herry Aldianto (081282827366)</t>
  </si>
  <si>
    <t>Toyota/ Hilux Pick Up 2.0 M/T</t>
  </si>
  <si>
    <t>Bapak Gus Kabul</t>
  </si>
  <si>
    <t xml:space="preserve">EB 9675 H
B 9088 PFA
B 9083 PFA
EB 8396 A
EB 8386 A
EB 8387 A
EB 8397 A
EB 8395 A
EB 9674 H
EB 9661 H
</t>
  </si>
  <si>
    <t xml:space="preserve">2011
2011
2011
2010
2010
2010
2010
2010
2012
2012
</t>
  </si>
  <si>
    <t>HINO/FG8JKKB-GGJL (FG235JL)</t>
  </si>
  <si>
    <t>Hino/ FGJKKB-GGJL (FG 235 TI)</t>
  </si>
  <si>
    <t>Bapak Kobe (085759657777)</t>
  </si>
  <si>
    <t>Bapak Cipto Agung (081325529346)</t>
  </si>
  <si>
    <t xml:space="preserve">EB 9660 H
EB 9662 H
</t>
  </si>
  <si>
    <t>HINO/FG8JKKB-GGJL (FG235TI)</t>
  </si>
  <si>
    <t>Bapak Bobi Mahendra (0895358204775)</t>
  </si>
  <si>
    <t>Bapak Agung Pratama (081271252577)</t>
  </si>
  <si>
    <t>Bapak Arifin Widjojo (082143683108)</t>
  </si>
  <si>
    <t>EB 9050 HD
EB 9051 HD</t>
  </si>
  <si>
    <t>Bapak Susanto Santo (085217461541)</t>
  </si>
  <si>
    <t>Bapak Slamet Hardyanto (081369000600)</t>
  </si>
  <si>
    <t>Bapak Ade (081219783234)</t>
  </si>
  <si>
    <t>EB 5779 AK</t>
  </si>
  <si>
    <t>Yamaha/31B (Jupiter Z)</t>
  </si>
  <si>
    <t>Bib Raya Property (082221582514)</t>
  </si>
  <si>
    <t>Wong Jowo (082113881499)</t>
  </si>
  <si>
    <t>Bapak Nur Kholis (089522704061)</t>
  </si>
  <si>
    <t>00025/RBY-PPJP/BKS/I/2024</t>
  </si>
  <si>
    <t>00111/2.0144-01/PI/10/0612/1/IX/2024</t>
  </si>
  <si>
    <t>Sarana Pelengkap, Mesin dan Peralatan Tangki Aspal, Pesediaan Aspal, Perlengkapan Kantor</t>
  </si>
  <si>
    <t>Jalan COPO Tanjung Kalaf RT.18</t>
  </si>
  <si>
    <t>Kel. Kumai Hulu</t>
  </si>
  <si>
    <t>Kumai</t>
  </si>
  <si>
    <t>Kab. Kota Waringin</t>
  </si>
  <si>
    <t>Kalimantan Tengah</t>
  </si>
  <si>
    <t>22-23 April 2024</t>
  </si>
  <si>
    <t>Robbi Sugara Ginting</t>
  </si>
  <si>
    <t>KH 9101 GD
KH 9184 GD
KH 9185 GD
KH 9099 GD/KH 826 GD</t>
  </si>
  <si>
    <t>Hino/FG8KKB-GGJL/FFG235JL</t>
  </si>
  <si>
    <t>Hino/FG8JKKB-GGJL/FG235JL</t>
  </si>
  <si>
    <t xml:space="preserve">KH 8148 GK
KH 8149 GK
</t>
  </si>
  <si>
    <t>Hino/ FG235JL</t>
  </si>
  <si>
    <t>Ogan Komering Ilir</t>
  </si>
  <si>
    <t>Hino/FG8JKKB-GGJL (FG235 TI)</t>
  </si>
  <si>
    <t>Ibu Dita Zhapira (Facebook Chat)</t>
  </si>
  <si>
    <t>Bapak Dhaniel (085219168827)</t>
  </si>
  <si>
    <t>Bapak Rayyan Sapta (081282911311)</t>
  </si>
  <si>
    <t>KH 9463 GI
KH 9467 GI
KH 8642 GL
KH 8655 GL</t>
  </si>
  <si>
    <t>2015
2015
2017
207</t>
  </si>
  <si>
    <t>Hino/FG8JKKB-GGJL/FFG235JL
Hino/ FG8JP1A-BGJ</t>
  </si>
  <si>
    <t>Bapak Adiya (089514497817)</t>
  </si>
  <si>
    <t>KH 9074 GD</t>
  </si>
  <si>
    <t>Toyota/Hilux Pick Up 2.0 (TGN10R-TRMD)</t>
  </si>
  <si>
    <t>Kotawaringin</t>
  </si>
  <si>
    <t>Toyota/Hilux Pick Up 2.0G (TGN10R-TRMD)</t>
  </si>
  <si>
    <t>Bapak Ary (08520324033)</t>
  </si>
  <si>
    <t>Bontang</t>
  </si>
  <si>
    <t>Bapak Huda (081346599283)</t>
  </si>
  <si>
    <t>Sanggau</t>
  </si>
  <si>
    <t>Bapak Rino (081258609132)</t>
  </si>
  <si>
    <t xml:space="preserve">KH 8044 GL
</t>
  </si>
  <si>
    <t>Toyota/Hilux 2.5 G DC 4x4 MT</t>
  </si>
  <si>
    <t>Samarinda</t>
  </si>
  <si>
    <t>KH 1526 GC</t>
  </si>
  <si>
    <t>Toyota/Kijang Innova E (TGN40R-GKMRKD)</t>
  </si>
  <si>
    <t>Pontianak</t>
  </si>
  <si>
    <t>Bapak Edy (082112739847)</t>
  </si>
  <si>
    <t>Balikpapan</t>
  </si>
  <si>
    <t>Bapak Taba (081351616414)</t>
  </si>
  <si>
    <t>Bapak Ributm (082357653900)</t>
  </si>
  <si>
    <t>KH 1821 GC</t>
  </si>
  <si>
    <t>Toyota/ Avanza 1300G (F601RM GMMFJ)</t>
  </si>
  <si>
    <t>Palangkaraya</t>
  </si>
  <si>
    <t>Toyota/ Avanza 1300G (F601RM GMMFJJ)</t>
  </si>
  <si>
    <t>Bapak Erwin (081253393665)</t>
  </si>
  <si>
    <t>Bapak Joe (081219671389)</t>
  </si>
  <si>
    <t>KH 5884 WV</t>
  </si>
  <si>
    <t>Honda/F1C02N6L0 A/T</t>
  </si>
  <si>
    <t>Honda/F1C02N46L0 A/T</t>
  </si>
  <si>
    <t>Bapak Andanu (082154175940)</t>
  </si>
  <si>
    <t>Ibu Norma (081258902429)</t>
  </si>
  <si>
    <t>Sintang</t>
  </si>
  <si>
    <t>Bapak Babak (081392827688)</t>
  </si>
  <si>
    <t>00026/RBY-PPJP/BKS/I/2024</t>
  </si>
  <si>
    <t>00112/2.0144-01/PI/10/0612/1/IX/2024</t>
  </si>
  <si>
    <t>PT. Sarana Jambi Utama</t>
  </si>
  <si>
    <t>Sarana Pelengkap, Peralatan dan Perlengkapan Kantor</t>
  </si>
  <si>
    <t>Jalan Lintas Timur Aur Duri Km. 16 No.49</t>
  </si>
  <si>
    <t>Kel Penyengat Rendah</t>
  </si>
  <si>
    <t>Telanipura</t>
  </si>
  <si>
    <t>Kota Jambi</t>
  </si>
  <si>
    <t>Jalan Timur Aur Duri, Kel. Penyengat Rendah, Kec. Telanipura, Kota Jambi, Prov. Jambi</t>
  </si>
  <si>
    <t>Bapak Pahron Siregar (081267570636)</t>
  </si>
  <si>
    <t>Jalan Lintas Timur Aur Duri, Kel. Penyengat Rendah, Kec. Telanipura, Kota Jambi, Prov. Jambi</t>
  </si>
  <si>
    <t>Ibu Nita (081289734403)</t>
  </si>
  <si>
    <t>Bapak Budi (081274088890)</t>
  </si>
  <si>
    <t>BH 8284 TJ</t>
  </si>
  <si>
    <t>Toyota/Hilux Pick Up 2.0 (TGN10R-TRMDKD)</t>
  </si>
  <si>
    <t>Magetan</t>
  </si>
  <si>
    <t>Toyota/Hilux Pick Up 2.0</t>
  </si>
  <si>
    <t>Bapak Muhammad Erwin (081353623229)</t>
  </si>
  <si>
    <t>Bapak Javier (085697011400)</t>
  </si>
  <si>
    <t>Jepara</t>
  </si>
  <si>
    <t>Bapak Vigi (082243871589)</t>
  </si>
  <si>
    <t>BH 8001 TB</t>
  </si>
  <si>
    <t>Toyota/ Hilux 2.5 G DC</t>
  </si>
  <si>
    <t>Bapak Aurelius Andrew (087781422177)</t>
  </si>
  <si>
    <t>Bapak Ardha Aziz (085231618666)</t>
  </si>
  <si>
    <t>Demak</t>
  </si>
  <si>
    <t>Bapak Arip Setiawan (082227574622)</t>
  </si>
  <si>
    <t>BH 1028 TI</t>
  </si>
  <si>
    <t>Ibu Beiby (0881024814473)</t>
  </si>
  <si>
    <t>Duri Kelapa</t>
  </si>
  <si>
    <t>Bapak Krisna (087857582999)</t>
  </si>
  <si>
    <t>Bapak Jonie Andrien (082311306654)</t>
  </si>
  <si>
    <t>BH 1921 TI</t>
  </si>
  <si>
    <t>Toyota/Rush 1.5G M/T</t>
  </si>
  <si>
    <t>Toyota/Rush 1.5 G M/T</t>
  </si>
  <si>
    <t>Bapak Yoes Yusuf (088811655153)</t>
  </si>
  <si>
    <t>Bapak Elnasari (082122367468)</t>
  </si>
  <si>
    <t>Pabuaran, Kabupaten Bogor</t>
  </si>
  <si>
    <t>Bapak Agung Adil (082112179477)</t>
  </si>
  <si>
    <t>BH 6915 TI</t>
  </si>
  <si>
    <t>Yamaha/1DY</t>
  </si>
  <si>
    <t>Bapak Damitra (085771619629)</t>
  </si>
  <si>
    <t>Bapak Damar Ramadan (085707513207)</t>
  </si>
  <si>
    <t>Jakarta Selatan</t>
  </si>
  <si>
    <t>Bapak Ilham (088290660113)</t>
  </si>
  <si>
    <t>BH 6916 TI</t>
  </si>
  <si>
    <t>Honda/Nc11Bf1CB A/T</t>
  </si>
  <si>
    <t>Kemayoran, Jakarta Pusat</t>
  </si>
  <si>
    <t>Honda/NC11BF1CB A/T</t>
  </si>
  <si>
    <t>Bapak Aryo Pras (081385941609)</t>
  </si>
  <si>
    <t>Ibu Sumiati (081958881138)</t>
  </si>
  <si>
    <t>Bapak Ugun Gunawan (081220279005)</t>
  </si>
  <si>
    <t>Komplek Pelabuhan Samudera Muara Sabak</t>
  </si>
  <si>
    <t>Jalan Sultan Syarif Kasim</t>
  </si>
  <si>
    <t>Desa Singkep</t>
  </si>
  <si>
    <t>Muara Sabak Barat</t>
  </si>
  <si>
    <t xml:space="preserve">BE 8846 BT
BE 8465 BT
BE 8373 BT
BE 8913 BT
BH 8095 TI
BH 8096 TI
BH 8097 TI
BH 8098 TI
BH 8099 TI
</t>
  </si>
  <si>
    <t>2008&amp;2009</t>
  </si>
  <si>
    <t>Hino/FG8JKKB-GGJ/FFG235JK</t>
  </si>
  <si>
    <t>Purworejo</t>
  </si>
  <si>
    <t>Bapak Faizin Marukawa (081455103853)</t>
  </si>
  <si>
    <t>Cengkareng</t>
  </si>
  <si>
    <t>Bapak Sukur (082111557474)</t>
  </si>
  <si>
    <t>Kabupaten Tegal</t>
  </si>
  <si>
    <t>Bapak Saiful (081455103853)</t>
  </si>
  <si>
    <t xml:space="preserve">BH 8188 TI
BH 8189 TI
BH 8233 TI
BH 8232 TI
BH 8241 TI
BH 8243 TI
BH 8244 TI
</t>
  </si>
  <si>
    <t>2012 (2)
2014 (2)
2015 (3)</t>
  </si>
  <si>
    <t>Hino/FG8JKKB-GGJ/FG235JK</t>
  </si>
  <si>
    <t>BH 8214 TI
BH 8215 TI
BH 8217 TI
BH 8218 TI</t>
  </si>
  <si>
    <t>Bapak Ade Chan (082122026996)</t>
  </si>
  <si>
    <t>Cakung, Jakarta Timur</t>
  </si>
  <si>
    <t>Bapak Docar (08111645524)</t>
  </si>
  <si>
    <t>Bapak Sagita (085932501095)</t>
  </si>
  <si>
    <t>BH 8076 TI
BH 8079 TI
BH 8082 TI</t>
  </si>
  <si>
    <t>Ciparay, Bandung</t>
  </si>
  <si>
    <t>Ibu Lydias (083193188988)</t>
  </si>
  <si>
    <t>Clincing</t>
  </si>
  <si>
    <t>Bapak BCT (087777997222)</t>
  </si>
  <si>
    <t>BH 8925 BT</t>
  </si>
  <si>
    <t>00027/RBY-PPJP/BKS/I/2024</t>
  </si>
  <si>
    <t>00113/2.0144-01/PI/10/0612/1/IX/2024</t>
  </si>
  <si>
    <t>Sarana Pelengkap, Mesin dan Peralatan Tangki Aspal, Perserdian Aspal, Perlengkapan Kantor</t>
  </si>
  <si>
    <t>Komplek Pelabuhan Tanjung Gudang</t>
  </si>
  <si>
    <t>Desa Air Jukung</t>
  </si>
  <si>
    <t>Belinyu</t>
  </si>
  <si>
    <t>Kab. Bangka</t>
  </si>
  <si>
    <t>Kepulauan Bangka</t>
  </si>
  <si>
    <t>BN 8073 QB
BN 8074 QB</t>
  </si>
  <si>
    <t>Hino/FG8JP1A-BGJ</t>
  </si>
  <si>
    <t>Hino/FG235TI</t>
  </si>
  <si>
    <t>Ibu Dita Zhapira (Facebook Chatt)</t>
  </si>
  <si>
    <t>Bapak Daniel (085219168827)</t>
  </si>
  <si>
    <t>BN 8340 QL
BN 8041 QL
BN 8342 QL
BN 8354 QL
BN 8360 QL</t>
  </si>
  <si>
    <t>Hino/FG8JKKB-GGJL/FFG235JL</t>
  </si>
  <si>
    <t>Bapak Johan (085759697777)</t>
  </si>
  <si>
    <t>Bapak Ilham (081210398992)</t>
  </si>
  <si>
    <t>BN 8343 QL</t>
  </si>
  <si>
    <t>Toyota/Hilux Pick Up 2.0 (TGN10R-MB)</t>
  </si>
  <si>
    <t>Bapak Parman (Facebook)</t>
  </si>
  <si>
    <t>Bapak Dores Y (081378940245)</t>
  </si>
  <si>
    <t>Bangka</t>
  </si>
  <si>
    <t>Bapak Yongki (081367908875)</t>
  </si>
  <si>
    <t>BN 1524 QS</t>
  </si>
  <si>
    <t>Toyota/ Kijang Innova E (TGN40R-GKMEKD)</t>
  </si>
  <si>
    <t>Toyota/Kijang Innova E (TGN40R- MP)</t>
  </si>
  <si>
    <t>Bapak Al (082284038604)</t>
  </si>
  <si>
    <t>Bapak Tedy (Facebook)</t>
  </si>
  <si>
    <t>Bapak Michael (085780203456)</t>
  </si>
  <si>
    <t>BN 1662 QB</t>
  </si>
  <si>
    <t>Cileunyi, Kab. Bandung</t>
  </si>
  <si>
    <t>Bapak Kurnia (081386265004)</t>
  </si>
  <si>
    <t xml:space="preserve">Lampung Timur </t>
  </si>
  <si>
    <t>Bapak Al Ayubi (085758417812)</t>
  </si>
  <si>
    <t>Bapak Olit (087888731623)</t>
  </si>
  <si>
    <t>BN 4514 QV</t>
  </si>
  <si>
    <t>Honda/NF11B2D1</t>
  </si>
  <si>
    <t>Bapak Edi (082184108687)</t>
  </si>
  <si>
    <t>Bapak Reza A (081400344857)</t>
  </si>
  <si>
    <t>Sepeda Moter</t>
  </si>
  <si>
    <t>Bapak Yanka (085768071031)</t>
  </si>
  <si>
    <t>00028/RBY-PPJP/BKS/I/2024</t>
  </si>
  <si>
    <t>00114/2.0144-01/PI/10/0612/1/IX/2024</t>
  </si>
  <si>
    <t>PT. Sarana Aceh Utama</t>
  </si>
  <si>
    <t>Sarana Pelengkap, Mesin dan Peralatan Tangki Aspal, Perlengkapan Kantor</t>
  </si>
  <si>
    <t>Komplek Pelabuhan Malahayati</t>
  </si>
  <si>
    <t>Jalan Laksamana Malahayati KM.32,5</t>
  </si>
  <si>
    <t>Desa Lamreh</t>
  </si>
  <si>
    <t>Mesjid Raya</t>
  </si>
  <si>
    <t>23 dan 24 April 2024</t>
  </si>
  <si>
    <t>BL 8361 LT
BL 8362</t>
  </si>
  <si>
    <t>Hino/FL260 JW</t>
  </si>
  <si>
    <t>Hino/FL260JW</t>
  </si>
  <si>
    <t>Hino/FL 260 JW</t>
  </si>
  <si>
    <t xml:space="preserve">BL 9629 L
BL 9631 L
BL 9635 L
BL 9636 L
BL 8470 LF
BL 8468 LF
BL 8164 LS
</t>
  </si>
  <si>
    <t>2009 (4)
2012 (2)
2015</t>
  </si>
  <si>
    <t xml:space="preserve">BL 8324 LS
BL 8325 LS
BL 8326 LS
BL 8327 LS
BL 8328 LS
</t>
  </si>
  <si>
    <t>Hino/FG 235 JP</t>
  </si>
  <si>
    <t>Bapak Robi Mahendra (0895358204775)</t>
  </si>
  <si>
    <t>Palaembang</t>
  </si>
  <si>
    <t>Bapak Agung Pramata (081271252577)</t>
  </si>
  <si>
    <t>BL 8376 LE</t>
  </si>
  <si>
    <t>ISUZU/TBR PICK UP Turbo</t>
  </si>
  <si>
    <t xml:space="preserve">Klapanunggal, Bogor </t>
  </si>
  <si>
    <t>BL 1491 LI</t>
  </si>
  <si>
    <t>Toyota/Kijang Innova E M/T</t>
  </si>
  <si>
    <t>Toyota/Innova E M/T</t>
  </si>
  <si>
    <t>Djainal (085723500219)</t>
  </si>
  <si>
    <t>Tuti (085743083483)</t>
  </si>
  <si>
    <t>BL 1585 KC</t>
  </si>
  <si>
    <t>Toyota/ Minibus G</t>
  </si>
  <si>
    <t>Serpong</t>
  </si>
  <si>
    <t>Toyota/Minibus G</t>
  </si>
  <si>
    <t>Sulastry (085360293711)</t>
  </si>
  <si>
    <t xml:space="preserve">Jakarta </t>
  </si>
  <si>
    <t>Meirza (083836691726)</t>
  </si>
  <si>
    <t>Unuy (085319005419)</t>
  </si>
  <si>
    <t>BL 1966 LH</t>
  </si>
  <si>
    <t>Rita Nita (0821141111109)</t>
  </si>
  <si>
    <t xml:space="preserve">Toyota/MInibus </t>
  </si>
  <si>
    <t>YS Mobil (081383817466)</t>
  </si>
  <si>
    <t>Panji (082141567622)</t>
  </si>
  <si>
    <t>00170/RBY-PPJP/BKS/VIII/2024</t>
  </si>
  <si>
    <t>00115/2.0144-01/PI/07/0612/1/IX/2024</t>
  </si>
  <si>
    <t>Sarana Pelngkap</t>
  </si>
  <si>
    <t>Perumahan Raffles Hills, Cluster Exquisite</t>
  </si>
  <si>
    <t>Jalan Raffles Hills Boulevard, Blok X 02 No.2</t>
  </si>
  <si>
    <t>Kel. Jatikarya</t>
  </si>
  <si>
    <t>Jati Sampurna</t>
  </si>
  <si>
    <t>Perumahan Raffles Hills, Cluster Unity Land, Jalan Raffles Hills Boulevard, Blok U, Kel. Jatikarya, Kec. Jati Sampurna, Kota Bekasi, Prov. Jawa Barat</t>
  </si>
  <si>
    <t>Bapak Arief (08131850533xx)</t>
  </si>
  <si>
    <t>Perumahan Raffles Hills, Cluster Stanley Grande, Jalan Raffles Hills Boulevard, Blok P3 No.12, Kel. Sukatani, Kec. Tapos, Kota Depok, Prov. Jawa Barat</t>
  </si>
  <si>
    <t>Ibu Susan (0813117938xx)</t>
  </si>
  <si>
    <t>Perumahan Raffles Hills, Jalan Raffles Hills Boulevard, Blok I 5 No.21, Kel. Sukatani, Kec. Tapos, Kota Depok, Prov. Jawa Barat</t>
  </si>
  <si>
    <t>Ibu Widianingsih Nita (0853196548XX)</t>
  </si>
  <si>
    <t>00120/RBY-PPJP/BKS/VI/2024</t>
  </si>
  <si>
    <t>00116/2.0144-01/PI/10/0612/1/IX/2024</t>
  </si>
  <si>
    <t>PT. Agriprima Cipta Persada</t>
  </si>
  <si>
    <t>8.1515,72</t>
  </si>
  <si>
    <t>Mesin dan Peralatan, Perlengkapan dan Iventaris Kantor, Sarana dan Prasarana</t>
  </si>
  <si>
    <t>Tahun Tanam 2013 sampai Tahun Tanam 2018</t>
  </si>
  <si>
    <t>Kp. Sigabel Jaya, Andaito, Manway Bob, Elnggol Jaya, Seed Agung, dan afkab Makmur</t>
  </si>
  <si>
    <t>Distrik Muting dan Elikobel</t>
  </si>
  <si>
    <t>Kab. Merauke</t>
  </si>
  <si>
    <t>Papua Selatan</t>
  </si>
  <si>
    <t>10-12 Juli 2024</t>
  </si>
  <si>
    <t>00121/RBY-PPJP/BKS/VI/2024</t>
  </si>
  <si>
    <t>00117/2.0144-01/PI/10/0612/1/IX/2024</t>
  </si>
  <si>
    <t>PT. Agrisnus Persada Mulia</t>
  </si>
  <si>
    <t>4662,28</t>
  </si>
  <si>
    <t>Mesin dan Peralatan serta Bangunan</t>
  </si>
  <si>
    <t>Tahun Tanam 2014 sampai Tahun Tanam 2018</t>
  </si>
  <si>
    <t>Kampung Siplas, Bupul, Bouwer Gerisar dab Tanas</t>
  </si>
  <si>
    <t>Papua</t>
  </si>
  <si>
    <t>00142/RBY-PPJP/BKS/VII/2024</t>
  </si>
  <si>
    <t>00118/2.0144-01/PI/10/0612/1/IX/2024</t>
  </si>
  <si>
    <t>PT. Aerosea Nirwana Indonesia</t>
  </si>
  <si>
    <t>Kapal Tanker KIRANA TRITYA</t>
  </si>
  <si>
    <t>Selat Makassar</t>
  </si>
  <si>
    <t>Desa Prapatan</t>
  </si>
  <si>
    <t>Balik Papan Selatan</t>
  </si>
  <si>
    <t>Kalimantan TImur</t>
  </si>
  <si>
    <t>07-08 Agustus 2024</t>
  </si>
  <si>
    <t>Kirana Tritya</t>
  </si>
  <si>
    <t>RSEA</t>
  </si>
  <si>
    <t>Kapal (Oil Tanker)</t>
  </si>
  <si>
    <t>LR</t>
  </si>
  <si>
    <t>China</t>
  </si>
  <si>
    <t>NK</t>
  </si>
  <si>
    <t>Singapura</t>
  </si>
  <si>
    <t>00147/RBY-PPJP/BKS/VII/2024</t>
  </si>
  <si>
    <t>00119/2.0144-01/PI/10/0612/1/IX/2024</t>
  </si>
  <si>
    <t>PT. Morita Tjkoro Gearindo</t>
  </si>
  <si>
    <t>Mesin dan Peralatan Spare Part Kendaraan Bermotor</t>
  </si>
  <si>
    <t>Jalan Rawa Terate I No.9</t>
  </si>
  <si>
    <t>Kel. Rawa Ternate</t>
  </si>
  <si>
    <t xml:space="preserve">Jalan Jababeka IV Kav. C3 </t>
  </si>
  <si>
    <t>00148/RBY-PPJP/BKS/VII/2024</t>
  </si>
  <si>
    <t>00120/2.0144-01/PI/10/0612/1/IX/2024</t>
  </si>
  <si>
    <t>PT. Tjokoro Bersaudara Kompenenindo</t>
  </si>
  <si>
    <t>Kawasan Industri Pulogadung</t>
  </si>
  <si>
    <t>Jalan Pulogadung No.17</t>
  </si>
  <si>
    <t>Kel. Rawa Terate</t>
  </si>
  <si>
    <t>00149/RBY-PPJP/BKS/VII/2024</t>
  </si>
  <si>
    <t>00121/2.0144-01/PI/10/0612/1/IX/2024</t>
  </si>
  <si>
    <t>PT. Diametral Involute</t>
  </si>
  <si>
    <t>Kawasan Industri Mitra Karawang</t>
  </si>
  <si>
    <t>Jalan Mitra Karawang II No.1</t>
  </si>
  <si>
    <t>Desa Parungmulya</t>
  </si>
  <si>
    <t>Ciampel</t>
  </si>
  <si>
    <t>00122/RBY-PPJP/BKS/VII/2024</t>
  </si>
  <si>
    <t>00122/2.0144-01/PI/10/0612/1/IX/2024</t>
  </si>
  <si>
    <t>PT. Jakarta Marten Logomindo</t>
  </si>
  <si>
    <t>Jalan Pulogadung No.12</t>
  </si>
  <si>
    <t>00154/RBY-PPJP/BKS/VII/2024</t>
  </si>
  <si>
    <t>00123/2.0144-01/PI/10/0612/1/IX/2024</t>
  </si>
  <si>
    <t>Tanah kosong</t>
  </si>
  <si>
    <t>Ibu Grace (089527370676)</t>
  </si>
  <si>
    <t>00152/RBY-PPJP/BKS/VIII/2024</t>
  </si>
  <si>
    <t>00124/2.0144-01/PI/10/0612/1/IX/2024</t>
  </si>
  <si>
    <t>PT. Medika Loka Galaxy</t>
  </si>
  <si>
    <t>Perumahan Taman Galaxy</t>
  </si>
  <si>
    <t>Jalan Gadenia Tengah Blok BA-1 No.69</t>
  </si>
  <si>
    <t>Galaxy Residence, Jalan Edelweis Barat Blok BB No.27, Kel. Jakasetia, Kec. Bekasi Selatan, Kota Bekasi, Prov. Jawa Barat</t>
  </si>
  <si>
    <t>Bapak Bayu (081213210205)</t>
  </si>
  <si>
    <t>Galaxy Residence, Jalan Edelweis Tengah Blok B5 No.9, Kel. Jakasetia, Kec. Bekasi Selatan, Kota Bekasi, Prov. Jawa Barat</t>
  </si>
  <si>
    <t>Bapak Arifin (08129328609)</t>
  </si>
  <si>
    <t>Galaxy Residence, Jalan Edelweis Selatan Blok C3 No.14, Kel. Jakasetia, Kec. Bekasi Selatan, Kota Bekasi, Prov. Jawa Barat</t>
  </si>
  <si>
    <t>Ibu Rita (087781530825)</t>
  </si>
  <si>
    <t>Wp beda dengan Wp draf</t>
  </si>
  <si>
    <t>00175/RBY-PPJP/BKS/VIII/2024</t>
  </si>
  <si>
    <t>00125/2.0144-01/PI/07/0612/1/IX/2024</t>
  </si>
  <si>
    <t>Tanah Kosong ( sedang diKembangkan Blok D)</t>
  </si>
  <si>
    <t>Perumahan Citra Swarna Tembong City</t>
  </si>
  <si>
    <t>Jalan Baru Ciomas - Tembong</t>
  </si>
  <si>
    <t>Kel. Tembong</t>
  </si>
  <si>
    <t>Tanah Kosong ( sedang diKembangkan Blok E)</t>
  </si>
  <si>
    <t>Tanah kosong (Sisa Tanah (Belum Dikembangkan)</t>
  </si>
  <si>
    <t>00109/RBY-PPJP/BKS/VI/2024</t>
  </si>
  <si>
    <t>00126/2.0144-01/PI/10/0612/1/IX/2024</t>
  </si>
  <si>
    <t>PT Rajawali Nusindo</t>
  </si>
  <si>
    <t>Gudang dan kantor</t>
  </si>
  <si>
    <t>Kawasan Industri Greenland International Industries Center (GIIC) Kota Deltamas</t>
  </si>
  <si>
    <t>Jalan Cempaka 1 Blok CD No.6</t>
  </si>
  <si>
    <t>27 Agustus 2024, 01 Agustus 2024, 02 Agustus 2024</t>
  </si>
  <si>
    <t>Kawasan Industri Greendland Internasional Industries Center (GIIC), Jalan Greendlan VIII, Desa Sukamahi, Kec. Cikarang Pusat, Kab. Bekasi, Prov. Jawa Barat</t>
  </si>
  <si>
    <t>Kawasan Industri Greendland Internasional Industries Center (GIIC), Jalan Anggrek VII, Desa Nagasari, Kec. Serang Baru, Kab. Bekasi, Prov. Jawa Barat</t>
  </si>
  <si>
    <t>Bapak Samsul Bahri (085885359388)</t>
  </si>
  <si>
    <t>Kawasan Industri Greendland Internasional Industries Center (GIIC), Jalan Anggrek I, Desa Sukamahi, Kec. Cikarang Pusat, Kab. Bekasi, Prov. Jawa Barat</t>
  </si>
  <si>
    <t>Kawasan Industri Candi Gatot Subroto Blok 9 No.3</t>
  </si>
  <si>
    <t>Kawasan Industri Candi Gatot Subroto, Blok 9 Kel. Ngaliyan, Kec. Ngaliyan,Kota Smarang, Prov. Jawa Tengah</t>
  </si>
  <si>
    <t>Bapak Nugroho (081931931810)</t>
  </si>
  <si>
    <t>Kawasan Industri Candi Gatot Subroto, Blok 7, Kel. Ngaliyan, Kec. Ngaliyan,Kota Smarang, Prov. Jawa Tengah</t>
  </si>
  <si>
    <t>Ibu Novie Deffasya (081228162217)</t>
  </si>
  <si>
    <t>Kawasan Industri Candi Gatot Subroto, Blok 23A No.1, Kel. Ngaliyan, Kec. Ngaliyan,Kota Smarang, Prov. Jawa Tengah</t>
  </si>
  <si>
    <t>Ibu Inge (0811298515)</t>
  </si>
  <si>
    <t>Tanah dan Bangunan Ex. Pabrik Gula Gempol</t>
  </si>
  <si>
    <t>Jalan Raya Cirebon-Bandung</t>
  </si>
  <si>
    <t>Desa Balerante, Desa Palimanan Barat</t>
  </si>
  <si>
    <t>Bapak Abdulah (082214778277)</t>
  </si>
  <si>
    <t>Tanah dan Bangunan (Pabrik Gula Gempol)</t>
  </si>
  <si>
    <t>Jalan Rawa Urip, Desa Rawaurip, Kec. Pangenan, Kab. Cirebon, Prov. Jawa Barat</t>
  </si>
  <si>
    <t>Jalan Kanci-Sindang Laut, Desa Kanci, Kec. Astanajapura, Kab Cirebon, Prov. Jawa Barat</t>
  </si>
  <si>
    <t>Jalan Karangsuwung, Desa Martapada Kulon, Kec. Astanajapura, Kab, Cirebon, Prov. Jawa Barat</t>
  </si>
  <si>
    <t>Ibu Alice (0818230200)</t>
  </si>
  <si>
    <t xml:space="preserve">Jalan Raya Mundu Pesisir </t>
  </si>
  <si>
    <t>Desa Mundu Mesigit</t>
  </si>
  <si>
    <t>Bapak Haji Ade (083845834055)</t>
  </si>
  <si>
    <t>Jalan Karang Sembung - Gebang</t>
  </si>
  <si>
    <t>Jawa barat</t>
  </si>
  <si>
    <t>Jalan Karang Sembung-Gebang, Desa Karang Sembung, Kec. Karang Sembung, Kab. Cirebon, Prov. Jawa Barat</t>
  </si>
  <si>
    <t>Bapak M. Cipta (0818964180)</t>
  </si>
  <si>
    <t>Karang Sembung-Gebang, Desa Kubangkarang, Kec. Karang Sembung, Kab. Cirebon, Prov. Jawa Barat</t>
  </si>
  <si>
    <t>Bapak Yudi (085280208880)</t>
  </si>
  <si>
    <t>Jalan Karang Sembung-Gebang, Desa Kubangkarang, Kec. Karang Sembung, Kab. Cirebon, Prov. Jawa Barat</t>
  </si>
  <si>
    <t>Bapak (081511612345)</t>
  </si>
  <si>
    <t>Tanah dan Bangunan (Eks. Pabrik Gula karangsuwung)</t>
  </si>
  <si>
    <t>Jalan Raya Karang Suwung</t>
  </si>
  <si>
    <t>Jalan Sawah, Desa Karangsuwung, Kec. Karangsembung, Kab. Cirebon, Prov. Jawa Barat</t>
  </si>
  <si>
    <t>Jalan Karang Anyar, Desa Karangsuwung, kec. Karangsembung, Kab. Cirebon, Prov. Jawa Barat</t>
  </si>
  <si>
    <t>Jalan Raya Karangsuwung, Desa Karangsuwung, Kec. Astanajapura, Kab. Cirebon, Prov. Jawa Barat</t>
  </si>
  <si>
    <t>Tanah dan Bangunan (Perumahan (Eks. Pabrik Gula Karangsuwung))</t>
  </si>
  <si>
    <t>Tanag dan Bangunan (Perumahan (Eks. Pabrik Gula Karangsuwung))</t>
  </si>
  <si>
    <t>00196/RBY-PPJP/BKS/IX/2024</t>
  </si>
  <si>
    <t>00127/2.0144-01/PI/12/0612/1/IX/2024</t>
  </si>
  <si>
    <t>Fitri Nisayenti</t>
  </si>
  <si>
    <t>Jalan Raya Leuwisadeng</t>
  </si>
  <si>
    <t>Desa Sadeng</t>
  </si>
  <si>
    <t>Leuwisadeng</t>
  </si>
  <si>
    <t>Jalan Raya Leuwisadeng, Desa Sadeng, Kec. Leuwisadeng, Kab. Bogor, Prov. Jawa Barat</t>
  </si>
  <si>
    <t>Bapak Yanto (0811711700)</t>
  </si>
  <si>
    <t>Jalan Raya Leuwiliang, Desa Leuwisadeng, Kec. Leuwisadeng, Kab. Bogor, Prov. Jawa Barat</t>
  </si>
  <si>
    <t>Bapak Ali (08561856818)</t>
  </si>
  <si>
    <t>Bapak Firman (081317909666)</t>
  </si>
  <si>
    <t>00172/RBY-PPJP/BKS/VIII/2024</t>
  </si>
  <si>
    <t>00128/2.0144-01/PI/10/0612/1/IX/2024</t>
  </si>
  <si>
    <t>PT. Indocater</t>
  </si>
  <si>
    <t>Tanah dan Bangunan (Gedung Perkantoran Nasdem Tower)</t>
  </si>
  <si>
    <t>Jalan RP. Soeroso No.44 dan 46 RT.007 RW. 007</t>
  </si>
  <si>
    <t>Kel. Gondangdia</t>
  </si>
  <si>
    <t>Jalan HOS. Cokrominoto, Kel. Gondangdia, Kec. Menteng, Kota Jakarta Pusat, Prov. DKI Jakarta</t>
  </si>
  <si>
    <t>Bapak Agus Yuwono (082211234845)</t>
  </si>
  <si>
    <t>Jalan Teuku Cik Ditiro, Kel. Gondangdia, Kec. Menteng, Kota Jakarta Pusat, Prov. DKI Jakarta</t>
  </si>
  <si>
    <t>Ibu Lala (081338518029)</t>
  </si>
  <si>
    <t>Jalan K.H wahid Hasyim, Kel. Kebon Sirih, Kec. Menteng, Kota Jakarta Pusat, Prov. DKI Jakarta</t>
  </si>
  <si>
    <t>Bapak Nizar Z (081574789088)</t>
  </si>
  <si>
    <t>00187/RBY-PPJP/BKS/IX/2024</t>
  </si>
  <si>
    <t>00129/2.0144-01/PI/07/0612/1/IX/2024</t>
  </si>
  <si>
    <t>PT. Titian Servis Indonesia</t>
  </si>
  <si>
    <t>Cintraland Waterfront City</t>
  </si>
  <si>
    <t>Carriben Ville, Blok B3 No.21</t>
  </si>
  <si>
    <t>Kel. Tondo</t>
  </si>
  <si>
    <t>Mantikulore</t>
  </si>
  <si>
    <t>Kota Palu</t>
  </si>
  <si>
    <t>Sulawesi Tengah</t>
  </si>
  <si>
    <t>05-06 September 2024</t>
  </si>
  <si>
    <t>Citraland Waterfront City, Jalan Carribean Ville, Blok B5 No. 08A, Kel. Tondo, Kec. Mantikulore, Kota Palu, Prov. Sulawesi Tengah</t>
  </si>
  <si>
    <t>Ibu Siti (081219567867)</t>
  </si>
  <si>
    <t>Citraland Waterfront City, Jalan Carribean Ville, Blok B5 No. 22, Kel. Tondo, Kec. Mantikulore, Kota Palu, Prov. Sulawesi Tengah</t>
  </si>
  <si>
    <t>Ibu Lisa (082197211808)</t>
  </si>
  <si>
    <t>Citraland Waterfront City, Jalan Carribean Ville, Blok B5 No. 12, Kel. Tondo, Kec. Mantikulore, Kota Palu, Prov. Sulawesi Tengah</t>
  </si>
  <si>
    <t>Ibu Deby (082123910003)</t>
  </si>
  <si>
    <t>Jalan Letjen. Urip Sumiharjo</t>
  </si>
  <si>
    <t>Kel. Bontang Lestari</t>
  </si>
  <si>
    <t>Bontong Selatan</t>
  </si>
  <si>
    <t>Kota Bontang</t>
  </si>
  <si>
    <t>09-10 September 2024</t>
  </si>
  <si>
    <t>Jalan Khatib Sulaiman, Kel. Bontang Lestari, Kec. Bontang Selatan, Kota Bontong, Prov. Kalimantan Timur</t>
  </si>
  <si>
    <t>Ibu Intan (081212500866)</t>
  </si>
  <si>
    <t>Ibu Lidya (081348976037)</t>
  </si>
  <si>
    <t>Pak Abdi (082155551630)</t>
  </si>
  <si>
    <t>00173/RBY-PPJP/BKS/VIII/2024</t>
  </si>
  <si>
    <t>00130/2.0144-01/PI/10/0612/1/IX/2024</t>
  </si>
  <si>
    <t>PT. Medika Loka Padang</t>
  </si>
  <si>
    <t>Tanah dan Bangunan (Rumah Sakit Hermina Padang)</t>
  </si>
  <si>
    <t xml:space="preserve">Sarana Pelengkap </t>
  </si>
  <si>
    <t>Jalan Khatib Sulaiman</t>
  </si>
  <si>
    <t>Kel. Gunung Pangilun</t>
  </si>
  <si>
    <t>Padang Utara</t>
  </si>
  <si>
    <t>Kota Padang</t>
  </si>
  <si>
    <t>Sumatera Barat</t>
  </si>
  <si>
    <t>Jalan Khatib Sulaiman, Kel. Gunung Pangilun, Kec. Padang Utara, Kota Padang, Prov. Sumatera Barat</t>
  </si>
  <si>
    <t>Ibu Lydia (08158060123)</t>
  </si>
  <si>
    <t>Bapak Doddy (0811660860)</t>
  </si>
  <si>
    <t>00146/RBY-PPJP/BKS/VII/2024</t>
  </si>
  <si>
    <t>00131/2.0144-01/PI/10/0612/1/IX/2024</t>
  </si>
  <si>
    <t>PT. Tanjung Rhu Plantation And Product</t>
  </si>
  <si>
    <t>PT. Bank Raya Indonesia, Tbk</t>
  </si>
  <si>
    <t>503,37</t>
  </si>
  <si>
    <t>Sarana dan Prasana</t>
  </si>
  <si>
    <t>Tahun Tanam 2010
Tahun Tanam 2012
Tahun Tanam 2014</t>
  </si>
  <si>
    <t>Desa Buduk Sempadang</t>
  </si>
  <si>
    <t>Selakau Timur</t>
  </si>
  <si>
    <t>08-10 Agustus 2024</t>
  </si>
  <si>
    <t>00132/2.0144-01/PI/10/0612/1/IX/2024</t>
  </si>
  <si>
    <t>Hard Copy Tidak ada</t>
  </si>
  <si>
    <t>00155/RBY-PPJP/BKS/VIII/2024</t>
  </si>
  <si>
    <t>00133/2.0144-01/PI/10/0612/1/X/2024</t>
  </si>
  <si>
    <t>PT. Sekawan Triasa</t>
  </si>
  <si>
    <t>Jalan Nogorojo</t>
  </si>
  <si>
    <t>Desa Caturtunggal</t>
  </si>
  <si>
    <t>Depok</t>
  </si>
  <si>
    <t>Kab. Sleman</t>
  </si>
  <si>
    <t>Daerah Istimewa Yogyakarta</t>
  </si>
  <si>
    <t>22-23 Agustus 2024</t>
  </si>
  <si>
    <t>Jalan Nolongaten, Desa Caturtunggal, Kec. Depok, Kab. Sleman, Prov. Daerah Istimewa Yogyakarta</t>
  </si>
  <si>
    <t>Ibu Liana (08122912143)</t>
  </si>
  <si>
    <t>Bapak Putra (087851591365)</t>
  </si>
  <si>
    <t>Jalan Kapas, Desa Caturtunggal, Kec. Depok, Kab. Sleman, Prov. Daerah Istimewa Yogyakarta</t>
  </si>
  <si>
    <t>Bapak Widhi (0895344810902)</t>
  </si>
  <si>
    <t>00134/2.0144-01/PI/10/0612/1/X/2024</t>
  </si>
  <si>
    <t>Jalan Batikan No.98 RT.09 RW.02</t>
  </si>
  <si>
    <t>Kel. Pandeyan</t>
  </si>
  <si>
    <t>Umbulharjo</t>
  </si>
  <si>
    <t>Kota Yogyakarta</t>
  </si>
  <si>
    <t>Jalan Batikan, Kel. Pandeyan, Kec. Umbulharjo, Kota Yogyakarta, Prov. Daerah Istimewa Yogyakarta</t>
  </si>
  <si>
    <t>Bapak Yuswan (081904252558)</t>
  </si>
  <si>
    <t>Jalan Pandeyan, Kel. Pandeyan, Kec. Umbulharjo, Kota Yogyakarta, Prov. Daerah Istimewa Yogyakarta</t>
  </si>
  <si>
    <t>Bapak Kristanto Wibowo (089667753592)</t>
  </si>
  <si>
    <t>Jalan Nitikan, Kel. Sorosutan, Kec. Umbulharjo, Kota Yogyakarta, Prov. Daerah Istimewa Yogyakarta</t>
  </si>
  <si>
    <t>Bapak Young (0817770053)</t>
  </si>
  <si>
    <t>00158/RBY-PPJP/BKS/VIII/2024</t>
  </si>
  <si>
    <t>00135/2.0144-01/PI/10/0612/1/X/2024</t>
  </si>
  <si>
    <t>Kawasan Industri pulogadung JIEP</t>
  </si>
  <si>
    <t>Jalan Pulogadung Blok G2 No.17</t>
  </si>
  <si>
    <t>Kel. Rawaterate</t>
  </si>
  <si>
    <t>Kawasan Industri Pulogadung JIEP, Jalan Pulo ayang, Kel. Rawaternate, kec. Cakung, Kota Jakarta Timur, Prov. DKI Jakarta</t>
  </si>
  <si>
    <t>Ibu Dian (0818992335)</t>
  </si>
  <si>
    <t>Bapak Yudhi (081382226888)</t>
  </si>
  <si>
    <t>Kawasan Industri Pulogadung JIEP, Jalan Rawa Bali, Kel. Rawaternate, kec. Cakung, Kota Jakarta Timur, Prov. DKI Jakarta</t>
  </si>
  <si>
    <t>Bapak Theo (08885551122)</t>
  </si>
  <si>
    <t>Richard Barus &amp; Robbi Sugara Ginting (Penilai), Firdaus Ginting (Pelaksana Inspeksi)</t>
  </si>
  <si>
    <t>00159/RBY-PPJP/BKS/VIII/2024</t>
  </si>
  <si>
    <t>00136/2.0144-01/PI/10/0612/1/X/2024</t>
  </si>
  <si>
    <t>Kawasan industri Mitra Karawang</t>
  </si>
  <si>
    <t>Jalan Mitra Selatan II No.1</t>
  </si>
  <si>
    <t>KICC Karawang, Jalan Harapan II, Desa Sirnabay, Kec. Teluk Jambe Timur, Kab. Karawang, Prov. Jawa Barat</t>
  </si>
  <si>
    <t>Marketing Projek (0215707632)</t>
  </si>
  <si>
    <t>Kawasan Industri Surya Cipta, Jalan Surya Nusa II, Desa Kutanegara, Kec. Ciampel, Kab. Karawang, Prov. Jawa Barat</t>
  </si>
  <si>
    <t>Bapak Rully Triandaru (081292555500)</t>
  </si>
  <si>
    <t>Kawasan Industri Surya Cipta, Jalan Surya Pratama, Desa Kutanegara, Kec. Ciampel, Kab. Karawang, Prov. Jawa Barat</t>
  </si>
  <si>
    <t>Bapak Aki Pandu Putra (089653115299)</t>
  </si>
  <si>
    <t>00160/RBY-PPJP/BKS/VIII/2024</t>
  </si>
  <si>
    <t>00137/2.0144-01/PI/07/0612/1/X/2024</t>
  </si>
  <si>
    <t>PT. Tjokro Putraperkasa</t>
  </si>
  <si>
    <t>Kawasan Industri Berbek</t>
  </si>
  <si>
    <t>Jalan Berbek Industri I</t>
  </si>
  <si>
    <t>Desa Berbek</t>
  </si>
  <si>
    <t>Waru</t>
  </si>
  <si>
    <t>Kawasan Industri Berbek, Jalan Berbek Industri II, Desa Berbek, Kec. Waru, Kab. Sidoarjo, Prov. Jawa Timur</t>
  </si>
  <si>
    <t>Ibu Naomi (087853678999)</t>
  </si>
  <si>
    <t>Ibu Vera (087853150260)</t>
  </si>
  <si>
    <t>Kawasan Surabaya Industrial Estate Rungkut (SIER), Jalan Rungkut Industri III, Desa Berbek, Kec. Waru, Kab. Sidoarjo, Prov. Jawa Timur</t>
  </si>
  <si>
    <t>Henni Puspita (085230014637)</t>
  </si>
  <si>
    <t>00161/RBY-PPJP/BKS/VIII/2024</t>
  </si>
  <si>
    <t>00138/2.0144-01/PI/10/0612/1/X/2024</t>
  </si>
  <si>
    <t xml:space="preserve">Jalan Jababeka IV Kav C3 </t>
  </si>
  <si>
    <t>Desa Pasirgombong</t>
  </si>
  <si>
    <t>Kawasan Industri Jababeka 1, Jalan Jababeka IX Blok A No. 5R, Desa. Pasir Limus, Kec. Cikarang Utara, Kab. Bekasi, Prov. Jawa Barat</t>
  </si>
  <si>
    <t>Ibu Voni (081289902292)</t>
  </si>
  <si>
    <t>Kawasan Industri Jababeka 1, Jalan Jababeka VI No. 5C, Desa. Harja Mekar, Kec. Cikarang Utara, Kab. Bekasi, Prov. Jawa Barat</t>
  </si>
  <si>
    <t>Bapak G. Abri (085210355957)</t>
  </si>
  <si>
    <t>Kawasan Industri Jababeka 1, Jalan Jababeka XIII, Desa. Pasirgombong, Kec. Cikarang Utara, Kab. Bekasi, Prov. Jawa Barat</t>
  </si>
  <si>
    <t>00205/RBY-PPJP/BKS/IX/2024</t>
  </si>
  <si>
    <t>00139/2.0144-01/PI/07/0612/1/X/2024</t>
  </si>
  <si>
    <t>Perumahan Bumi Bekasi Baru IV</t>
  </si>
  <si>
    <t>Jalan Meranti Raya Blok D No. 178 RT. 005 RW. 011</t>
  </si>
  <si>
    <t>Perumahan Bumi Bekasi Baru IV Jati Tengah IV, Kel. Bojong Menteng, Kec. Rawalumbu, Kota Bekasi, Prov. Jawa Barat</t>
  </si>
  <si>
    <t>Ibu Puji Lena (081282773918)</t>
  </si>
  <si>
    <t>Perumahan Bumi Bekasi Baru IV Jalan Meranti Selatan IV Blok D, Kel. Bojong Menteng, Kec. Rawalumbu, Kota Bekasi, Prov. Jawa Barat</t>
  </si>
  <si>
    <t>Ibu Serlys (083157602274)</t>
  </si>
  <si>
    <t>Perumahan Bumi Bekasi Baru IV Jalan Meranti Selatan I Blok D, Kel. Bojong Menteng, Kec. Rawalumbu, Kota Bekasi, Prov. Jawa Barat</t>
  </si>
  <si>
    <t>Ibu Siti Daryah (081314256202)</t>
  </si>
  <si>
    <t>00156/RBY-PPJP/BKS/VIII/2024</t>
  </si>
  <si>
    <t>00140/2.0144-01/PI/10/0612/1/X/2024</t>
  </si>
  <si>
    <t>Jalan Rawaterate I Blok F10 No. 9</t>
  </si>
  <si>
    <t>Bapak Roy (082111222071)</t>
  </si>
  <si>
    <t>Kawasan Industri JieP, Jalan Pulo Ayang, Kel. Rawaterate Kec. Cakung, Kota Jakarta Timur, Prov. DKI Jakarta</t>
  </si>
  <si>
    <t>Kawasan Industri JieP, Jalan Rawa Bali, Kel. Rawaterate Kec. Cakung, Kota Jakarta Timur, Prov. DKI Jakarta</t>
  </si>
  <si>
    <t>00157/RBY-PPJP/BKS/VIII/2024</t>
  </si>
  <si>
    <t>00141/2.0144-01/PI/10/0612/1/X/2024</t>
  </si>
  <si>
    <t>Jalan Raya Serang-Cibarusah Kp. Pasirandu</t>
  </si>
  <si>
    <t>Desa Sukasari</t>
  </si>
  <si>
    <t>Serang Baru</t>
  </si>
  <si>
    <t>Jalan Raya Serang-Cibarusah, Desa Sukadami, Kec. Cikarang Selatan, Kab. Bekasi, Prov. Jawa Barat</t>
  </si>
  <si>
    <t>Ibu Asni (0812380802121)</t>
  </si>
  <si>
    <t>Bapak Budi Sutjiawan (081398758875)</t>
  </si>
  <si>
    <t>Bapak Richard (082350510777)</t>
  </si>
  <si>
    <t>00193/RBY-PPJP/BKS/IX/2024</t>
  </si>
  <si>
    <t>00142/2.0144-01/PI/07/0612/1/X/2024</t>
  </si>
  <si>
    <t>Perumahan Vassa Lake Residence</t>
  </si>
  <si>
    <t>Jalan Danau Semayang No.1 dan 3</t>
  </si>
  <si>
    <t>Desa Sukaresmi</t>
  </si>
  <si>
    <t>Cikarang Selatan</t>
  </si>
  <si>
    <t>Perumahan Vassa Lake Residance, Jalan Danau Semayang No.32, Desa. Cibatu, Kec. Cikarang Selatan, Kab. Bekasi, Prov. Jawa Barat</t>
  </si>
  <si>
    <t>Ibu Selly (0818783037)</t>
  </si>
  <si>
    <t>Perumahan Vassa Lake Residance, Jalan Danau Semayang, Desa. Cibatu, Kec. Cikarang Selatan, Kab. Bekasi, Prov. Jawa Barat</t>
  </si>
  <si>
    <t>Ibu Tanti (08164824417)</t>
  </si>
  <si>
    <t>Perumahan The Veranda Residence</t>
  </si>
  <si>
    <t>Jalan Veranda Blok OO No.12</t>
  </si>
  <si>
    <t>Desa Sertajaya</t>
  </si>
  <si>
    <t>Cikarang Timur</t>
  </si>
  <si>
    <t>Perumahan The Veranda Residence, Jalan Veranda Blok OO No. Kav.8, Desa Sertajaya, Kec. Cikarang Timur, Kab. Bekasi, Prov. Jawa Barat</t>
  </si>
  <si>
    <t>Ibu Tien (0818604050)</t>
  </si>
  <si>
    <t>Perumahan The Veranda Residence, Jalan Veranda Blok OO No. Kav.7, Desa Sertajaya, Kec. Cikarang Timur, Kab. Bekasi, Prov. Jawa Barat</t>
  </si>
  <si>
    <t>Bapak Djune (081510003493)</t>
  </si>
  <si>
    <t>Perumahan The Veranda Residence, Jalan Veranda Blok OO No. Kav.2, Desa Sertajaya, Kec. Cikarang Timur, Kab. Bekasi, Prov. Jawa Barat</t>
  </si>
  <si>
    <t>Ibu Levina (085862714212)</t>
  </si>
  <si>
    <t>Perumahan Mekar Indah</t>
  </si>
  <si>
    <t>Jalan Puspa XII Blok G No.21</t>
  </si>
  <si>
    <t>Desa Mekarmukti</t>
  </si>
  <si>
    <t>Perumahan Mekar Indah, Jalan Puspa XII Blok G No.16, Desa Mekarmukti, Kec. Cikarang Utara, Kab. Bekasi, Prov. Jawa Barat</t>
  </si>
  <si>
    <t>Ibu Yani (0818824162)</t>
  </si>
  <si>
    <t>Perumahan Mekar Indah, Jalan Puspa III No.24, Desa Mekarmukti, Kec. Cikarang Utara, Kab. Bekasi, Prov. Jawa Barat</t>
  </si>
  <si>
    <t>Bapak Satrio (081220825141)</t>
  </si>
  <si>
    <t>Perumahan Mekar Indah, Jalan Puspa XII Blok G No.25, Desa Mekarmukti, Kec. Cikarang Utara, Kab. Bekasi, Prov. Jawa Barat</t>
  </si>
  <si>
    <t>Ibu Novi (087877808966)</t>
  </si>
  <si>
    <t>Komplek Ruko Metro Boulevar</t>
  </si>
  <si>
    <t>Blok B No. 12A</t>
  </si>
  <si>
    <t>Desa Pasisari</t>
  </si>
  <si>
    <t>Komplek Ruko Metro Boulevard, Blok B No.XX, Desa Pasirsari, Kec. Cikarang Selatan, Kab. Bekasi, Prov. Jawa Barat</t>
  </si>
  <si>
    <t>Bapak (087780007212)</t>
  </si>
  <si>
    <t>Komplek Ruko Metro Boulevard, Blok A No.XX, Desa Pasirsari, Kec. Cikarang Selatan, Kab. Bekasi, Prov. Jawa Barat</t>
  </si>
  <si>
    <t>Bapak Hary (082123441001)</t>
  </si>
  <si>
    <t>Bapak Ovan (082298169518)</t>
  </si>
  <si>
    <t>Blok B No. 12B</t>
  </si>
  <si>
    <t>48,78</t>
  </si>
  <si>
    <t>Metropark Condominium Jababeka</t>
  </si>
  <si>
    <t>Lantai VI Tower A Blok A.612B, Jalan Niaga Raya Kav. CC2</t>
  </si>
  <si>
    <t>Metropark Condominium Jababeka, Jalan Niaga Raya Kav. CC2,Lantai I Tower A,  Desa Pasirsari, Kec. Cikarang Selatan, Kab. Bekasi, Prov. Jawa Barat</t>
  </si>
  <si>
    <t>Rumah Susun Hunian</t>
  </si>
  <si>
    <t>Bapak Hendrik (081319995975)</t>
  </si>
  <si>
    <t>Metropark Condominium Jababeka, Jalan Niaga Raya Kav. CC2,Lantai II Tower A No. 206,  Desa Pasirsari, Kec. Cikarang Selatan, Kab. Bekasi, Prov. Jawa Barat</t>
  </si>
  <si>
    <t>Ibu Vani (082110177701)</t>
  </si>
  <si>
    <t>Metropark Condominium Jababeka, Jalan Niaga Raya Kav. CC2,LantaiV I Tower A No. 601,  Desa Pasirsari, Kec. Cikarang Selatan, Kab. Bekasi, Prov. Jawa Barat</t>
  </si>
  <si>
    <t>Bapak Peterson (0881080162125)</t>
  </si>
  <si>
    <t>Kawasan Industri Jababeka II</t>
  </si>
  <si>
    <t>Jalan Industri Utama Blok RR 2E</t>
  </si>
  <si>
    <t>Kawasan Industri Jababeka II, Jalan Industri Utara 1, Desa Pasirsari, Kec. Cikarang Selatan, Kab. Bekasi, Prov. Jawa Barat</t>
  </si>
  <si>
    <t>Kawasan Industri Jababeka II, Jalan Industri Selatan I B, Desa Pasirsari, Kec. Cikarang Selatan, Kab. Bekasi, Prov. Jawa Barat</t>
  </si>
  <si>
    <t>Ibu Hatipah Kiki (081389960167)</t>
  </si>
  <si>
    <t>Kawasan Industri Jababeka II, Jalan Industri Selatan V, Desa Pasirsari, Kec. Cikarang Selatan, Kab. Bekasi, Prov. Jawa Barat</t>
  </si>
  <si>
    <t>Lina Ho (087713430xxx)</t>
  </si>
  <si>
    <t>Jalan Warung Ampel RT.08 RW.04</t>
  </si>
  <si>
    <t>Desa CIlangkara</t>
  </si>
  <si>
    <t>Warung Ampel, Desa Cilangkara, Kec. Serang Baru, Kab. Bekasi, Prov. Jawa Barat</t>
  </si>
  <si>
    <t>Bapak Hermawan (085213885123)</t>
  </si>
  <si>
    <t>Bapak Nandih (085717500682)</t>
  </si>
  <si>
    <t>Bapak Deney (081911186464)</t>
  </si>
  <si>
    <t>Jalan Raya Citarik Lama</t>
  </si>
  <si>
    <t>Desa Jatireja</t>
  </si>
  <si>
    <t>Jalan Raya Citarik Lama, Desa Jatireja, Kec. Cikarang Timur, Kab. Bekasi, Prov. Jawa Barat</t>
  </si>
  <si>
    <t>Bapak Nanang (085102396008)</t>
  </si>
  <si>
    <t>Bapak Soni (081314019063/085775185363)</t>
  </si>
  <si>
    <t>Jalan Raya Citarik, Desa Jatireja, Kec. Cikarang Timur, Kab. Bekasi, Prov. Jawa Barat</t>
  </si>
  <si>
    <t>Bapak Indra (081388389798)</t>
  </si>
  <si>
    <t>00221/RBY-PPJP/BKS/X/2024</t>
  </si>
  <si>
    <t>00143/2.0144-01/PI/10/0612/1/X/2024</t>
  </si>
  <si>
    <t>PT. Rapha Falita Mora</t>
  </si>
  <si>
    <t>Kel. Dutulanaa</t>
  </si>
  <si>
    <t>Kab. Gorontalo</t>
  </si>
  <si>
    <t>Jalan Sun Mail, Kel. Kayubulan, Kec. Limboto, Kab. Gorontalo, Prov. Gorontalo</t>
  </si>
  <si>
    <t>00207/RBY-PPJP/BKS/IX/2024</t>
  </si>
  <si>
    <t>00144/2.0144-01/PI/07/0612/1/X/2024</t>
  </si>
  <si>
    <t>Jalan Pangkalan 2 No. 171 RT. 001 RW. 001</t>
  </si>
  <si>
    <t>Bapak Bobby (081380075815)</t>
  </si>
  <si>
    <t>Pangkalan 2, Kel. Sumur Batu, Kec. Bantargerbang, Kota Bekasi, Prov. Jawa Barat</t>
  </si>
  <si>
    <t>Bapak Johni (087888049923)</t>
  </si>
  <si>
    <t>Jalan, Pangkalan 2, Kel. Sumur Batu, Kec. Bantargebang, Kota Bekasi, Prov. Jawa Barat</t>
  </si>
  <si>
    <t>Jalan Setu Cilengsi-Taman Rahayu</t>
  </si>
  <si>
    <t>Setu</t>
  </si>
  <si>
    <t>Jalan Setu Cilengsi- Taman Rahayu, Kel. Ciledug, Kec. Setu, Kab. Bekasi, Prov. Jawa Barat</t>
  </si>
  <si>
    <t>Pak Wanto (085718496775)</t>
  </si>
  <si>
    <t>Pak Jof (087802292409)</t>
  </si>
  <si>
    <t>Jalan Sero RT.003 RW.01</t>
  </si>
  <si>
    <t>Pak Ruli (081314359448)</t>
  </si>
  <si>
    <t>Pak Dedi (081283286656)</t>
  </si>
  <si>
    <t>Pak Arif (08129244426)</t>
  </si>
  <si>
    <t>Jalan Raya Mutiara Gating Timur No.168</t>
  </si>
  <si>
    <t>Kel. Mustikajaya</t>
  </si>
  <si>
    <t>Perumahan Pondok TImur Indah, Jalan Pondok Timur Indah Blok G, Kel. Jatimulya, Kec. Tambun Selatan, Kota Bekasi Prov. Jawa Barat</t>
  </si>
  <si>
    <t>Ibu Epon (081325756550)</t>
  </si>
  <si>
    <t>Perumahan Pondok TImur Indah, Jalan Pondok Timur Indah Blok G No. 4, Kel. Jatimulya, Kec. Tambun Selatan, Kota Bekasi Prov. Jawa Barat</t>
  </si>
  <si>
    <t>Bapak Rusman (08128812330)</t>
  </si>
  <si>
    <t>Perumahan Pondok TImur Indah, Jalan Pondok Timur Indah Blok D No. 5, Kel. Jatimulya, Kec. Tambun Selatan, Kota Bekasi Prov. Jawa Barat</t>
  </si>
  <si>
    <t>Bapak Havid (089664955778)</t>
  </si>
  <si>
    <t xml:space="preserve"> Blok B No. 29</t>
  </si>
  <si>
    <t>Kab. Cianjur</t>
  </si>
  <si>
    <t>Komplek Villa Yasmin No.55, Desa Palasari, Kec. Cipanas, Kab. Cianjur, Prov. Jawa Barat</t>
  </si>
  <si>
    <t>Bapak Dance (087778957786)</t>
  </si>
  <si>
    <t>Komplek Villa Yasmin No.69, Desa Palasari, Kec. Cipanas, Kab. Cianjur, Prov. Jawa Barat</t>
  </si>
  <si>
    <t>Komplek Villa Yasmin No.31 dan 32, Desa Palasari, Kec. Cipanas, Kab. Cianjur, Prov. Jawa Barat</t>
  </si>
  <si>
    <t>Bapak Simon Lolonlun (081286339585)</t>
  </si>
  <si>
    <t>Jalan Pondok Timur Indah</t>
  </si>
  <si>
    <t>Jalan Anggrek Blok N 5 No.2</t>
  </si>
  <si>
    <t xml:space="preserve">Jalan Raya Pebayuran </t>
  </si>
  <si>
    <t>Desa Sumbersari</t>
  </si>
  <si>
    <t>Bapak Eka Dirgantara (08118377733)</t>
  </si>
  <si>
    <t>Ibu Encih (085692884199)</t>
  </si>
  <si>
    <t>Tanah Darat</t>
  </si>
  <si>
    <t>Robi Sugara Giting (Penilai), Firdaus Ginting (Pelaksana Inspeksi)</t>
  </si>
  <si>
    <t>Gang H. Ramli No. 8 RT.001 RW. 013</t>
  </si>
  <si>
    <t>Jalan Pangkalan Jatin III, Kel. Cipinang Melayu, Kec. Makasar, Kota Jakarta Timur, Prov. DKI Jakarta</t>
  </si>
  <si>
    <t>Bapak George (081285605599)</t>
  </si>
  <si>
    <t>Jalan Inspeksi Saluran, Kel. Cipinang Melayu, Kec. Makasar, Kota Jakarta Timur, Prov. DKI Jakarta</t>
  </si>
  <si>
    <t>Bapak Suprayitno (081296377895)</t>
  </si>
  <si>
    <t>Jalan Jaguar, Kel. Cipinang Melayu, Kec. Makasar, Kota Jakarta Timur, Prov. DKI Jakarta</t>
  </si>
  <si>
    <t>Bapak Djusman Napit (082318303322)</t>
  </si>
  <si>
    <t>Jalan Bontang II No. 55 RT.004 RW. 01</t>
  </si>
  <si>
    <t>00223/RBY-PPJP/BKS/X/2024</t>
  </si>
  <si>
    <t>00145/2.0144-01/PI/07/0612/1/X/2024</t>
  </si>
  <si>
    <t>Mediterania Boulevard, Cluster Katamaran Indah</t>
  </si>
  <si>
    <t>Jalan Kataraman Indah 6 Blok P-9 No. 1. K</t>
  </si>
  <si>
    <t>Mediterania Boulevard, Cluster Kataraman Indah, Jalan Kataraman Indah 11, Kel. Kapuk Muara, Kec. Penjaringan, Kota Jakarta Utara, Prov. DKI Jakarta</t>
  </si>
  <si>
    <t>Bapak Irsan (081289633100)</t>
  </si>
  <si>
    <t>Ibu Evi Lie (088210907940)</t>
  </si>
  <si>
    <t>Mediterania Boulevard, Cluster Kataraman Indah, Jalan Kataraman Indah 8, Kel. Kapuk Muara, Kec. Penjaringan, Kota Jakarta Utara, Prov. DKI Jakarta</t>
  </si>
  <si>
    <t>Bapak Agung (087786060987)</t>
  </si>
  <si>
    <t>00192/RBY-PPJP/BKS/IX/2024</t>
  </si>
  <si>
    <t>00146/2.0144-01/PI/10/0612/1/X/2024</t>
  </si>
  <si>
    <t>PT. Tanindo Sejahtera</t>
  </si>
  <si>
    <t xml:space="preserve">Perumahan Wisma Harapan </t>
  </si>
  <si>
    <t>Jalan Latana 4 Blok D7 No. 21</t>
  </si>
  <si>
    <t xml:space="preserve">Kota Tanggerang </t>
  </si>
  <si>
    <t>Perumahan Wisma Harapan, Jalan Wisma Melati Iv, Kel. Gembor, Kec. Periuk, Kota Tanggerang, Prov. Banten</t>
  </si>
  <si>
    <t>Bapak Anto (0818868356)</t>
  </si>
  <si>
    <t>Perumahan Wisma Harapan, Jalan Merpati Mas, Kel. Gembor, Kec. Periuk, Kota Tanggerang, Prov. Banten</t>
  </si>
  <si>
    <t>Bapak Rachelnoni (081290040003)</t>
  </si>
  <si>
    <t>Perumahan Wisma Harapan, Jalan Wisma Mawar, Kel. Gembor, Kec. Periuk, Kota Tanggerang, Prov. Banten</t>
  </si>
  <si>
    <t>David Hariyanto (087878831777)</t>
  </si>
  <si>
    <t>Jalan Latana 4 RT. 007 RW.03 (Kp. Doyong)</t>
  </si>
  <si>
    <t>Jalan Industri Keroncong, Kel. Gembor, Kec. Periuk, Kota Tanggerang, Prov. Banten</t>
  </si>
  <si>
    <t>Bapak Stanly (085370855555)</t>
  </si>
  <si>
    <t>Bapak Berco Chung (081617989882)</t>
  </si>
  <si>
    <t>Jalan Baru Regency II, Kel. Gembor, Kec. Periuk, Kota Tanggerang, Prov. Banten</t>
  </si>
  <si>
    <t>Bapak Badri (081288010153)</t>
  </si>
  <si>
    <t>00139/RBY-PPJP/BKS/VII/2024</t>
  </si>
  <si>
    <t>00147/2.0144-01/PI/10/0612/1/X/2024</t>
  </si>
  <si>
    <t>PT. Medika Loka Jakabaring</t>
  </si>
  <si>
    <t>Tanah dan Bangunan (Rumah Sakit Hermina Jakabaring)</t>
  </si>
  <si>
    <t>Jalan Gubernur H.A Bastari</t>
  </si>
  <si>
    <t>Kel. Jakabaring Selatan</t>
  </si>
  <si>
    <t>Rambutan</t>
  </si>
  <si>
    <t>Kab. Banyuasin</t>
  </si>
  <si>
    <t>Jalan Gubernur H.A Batarti, Kel. 8 Ulu, Kec. Seberang Ulu I, Kota Palembang, Sumatera Selatan</t>
  </si>
  <si>
    <t>Bapak Ermin Koto (081397097058)</t>
  </si>
  <si>
    <t>Bapak Muhammad Hambali (0895351798038)</t>
  </si>
  <si>
    <t>Jalan Pangeran Ratu, Kel. 5 Ulu, Kec. Seberang Ulu I, Kota Palembang, Sumatera Selatan</t>
  </si>
  <si>
    <t>Bapak Alhalipi (082177171275)</t>
  </si>
  <si>
    <t>00043/RBY-PPJP/BKS/III/2024</t>
  </si>
  <si>
    <t>00148/2.0144-01/PI/10/0612/1/X/2024</t>
  </si>
  <si>
    <t>PT. Medika Loka Jatinegara</t>
  </si>
  <si>
    <t>Tanah dan Bangunan (Rumah Sakit Hermina Jatinegara (Rawat Jalan))</t>
  </si>
  <si>
    <t>Jalan Raya Jatinegara Barat</t>
  </si>
  <si>
    <t>Kel. Kampung Melayu</t>
  </si>
  <si>
    <t>Jatinegara</t>
  </si>
  <si>
    <t>Jalan Otto Iskandardinata, Kel. Bali Mester, Kec. Jatinegara, Kota Jakarta Timur, Prov. DKI Jakarta</t>
  </si>
  <si>
    <t>Ibu Acila (081327245151)</t>
  </si>
  <si>
    <t>Jalan Pramuka, Kel. Utan Kayu, Kec. Matraman, Kota Jakarta Timur, Prov. DKI Jakarta</t>
  </si>
  <si>
    <t>Bapak Arie Baskoro (081510009053)</t>
  </si>
  <si>
    <t>Jalan Otto Iskandardinata, Kel. Bidara Cina, Kec. Jatinegara, Kota Jakarta Timur, Prov. DKI Jakarta</t>
  </si>
  <si>
    <t>Bapak Jhon Shendro (0818858269)</t>
  </si>
  <si>
    <t>Richard Barus &amp; Santo Cornelius Ginting (Penilai), Firdaus Ginting (Pelaksana Inspeksi)</t>
  </si>
  <si>
    <t>Tanah dan Bangunan (Rumah Sakit Hermina Jatinegara (Rawat Inap))</t>
  </si>
  <si>
    <t>Tanah dan Bangunan (Guest House)</t>
  </si>
  <si>
    <t>Kel. Bali Mester</t>
  </si>
  <si>
    <t>Jalan Komplek PU. RT. 013  RW. 001</t>
  </si>
  <si>
    <t>Jalan Asem (dalam gang), Kel. Kampung Melayu, Kec. Jatinegara, Kota Jakarta Timur, Prov. DKI Jakarta</t>
  </si>
  <si>
    <t>Ibu Nur (081911305730)</t>
  </si>
  <si>
    <t>Jalan Saabun, Kel. Kampung Melayu, Kec. Jatinegara, Kota Jakarta Timur, Prov. DKI Jakarta</t>
  </si>
  <si>
    <t>Pak Wandi (081312806939)</t>
  </si>
  <si>
    <t>Jalan Inspeksi Kali Ciliwung (dalam gang), Kel. Kampung Melayu, Kec. Jatinegara, Kota Jakarta Timur, Prov. DKI Jakarta</t>
  </si>
  <si>
    <t>Pak Dwi Sumanto (081808469069)</t>
  </si>
  <si>
    <t>Jalan Komplek PU RT. 013 RW. 01 No.24</t>
  </si>
  <si>
    <t>Gang Anwar RT.010 RW.001</t>
  </si>
  <si>
    <t>Jalan Inspeksi Kali Ciliwung, Kel. Kampung Melayu, Kec. Jatinegara, Kota Jakarta Timur, Prov. DKI Jakarta</t>
  </si>
  <si>
    <t>Bapak Harno (081510718600)</t>
  </si>
  <si>
    <t>Jalan Pedati Raya, Kel. Bidara Cina, Kec. Jatinegara, Kota Jakarta Timur, Prov. DKI Jakarta</t>
  </si>
  <si>
    <t>Bapak Haikal Basuan (08129664792)</t>
  </si>
  <si>
    <t>Jalan Wedana, Kel. Bali Mester, Kec. Jatinegara, Kota Jakarta Timur, Prov. DKI Jakarta</t>
  </si>
  <si>
    <t>Bapak Johanes Ori Basworo (081905054990)</t>
  </si>
  <si>
    <t>Gang Anwar RT.013 RW.001</t>
  </si>
  <si>
    <t>00178/RBY-PPJP/BKS/VIII/2024</t>
  </si>
  <si>
    <t>00149/2.0144-01/PI/10/0612/1/X/2024</t>
  </si>
  <si>
    <t>PT. Grahasari Suryajaya</t>
  </si>
  <si>
    <t>Tanah dan Bangunan (The Media Hotel)</t>
  </si>
  <si>
    <t>Jalan Gunung Sahari Raya No. 3</t>
  </si>
  <si>
    <t>Kel. Gunung Sahari Utara</t>
  </si>
  <si>
    <t>Sawah Besar</t>
  </si>
  <si>
    <t>Jalan Mangga Besar, Kel. Kartini, Kec. Sawah Besar, Kota Jakarta Pusat, Prov. DKI Jakarta</t>
  </si>
  <si>
    <t>Bapak LIZ (0816999412)</t>
  </si>
  <si>
    <t>Jalan Angkasa Raya, Kel. Gunung Sahari Utara, Kec. Sawah Besar, Kota Jakarta Pusat, Prov. DKI Jakarta</t>
  </si>
  <si>
    <t>Bapak Didi (089510412274)</t>
  </si>
  <si>
    <t>Jalan Gunung Sahari Raya, Kel. Gunung Sahari Utara, Kec. Sawah Besar, Kota Jakarta Pusat, Prov. DKI Jakarta</t>
  </si>
  <si>
    <t>Bapak Rudy Tanuwijaya (0818800703)</t>
  </si>
  <si>
    <t>Robbi Sugara Ginting &amp; Richard Barus (Penilai), Fajar Hariyadi Tambunan (Pelaksana Inspeksi)</t>
  </si>
  <si>
    <t>00190/RBY-PPJP/BKS/IX/2024</t>
  </si>
  <si>
    <t>00150/2.0144-01/PI/10/0612/1/XI/2024</t>
  </si>
  <si>
    <t>Purwakarta</t>
  </si>
  <si>
    <t>Perumahan Golf Asri, Jalan Pondok Golf Asri, Kel. Kebon Dalem, Kec. Purwakarta, Kota Cilegon, Prov. Banten</t>
  </si>
  <si>
    <t>Ibu Erawaty (087875585023)</t>
  </si>
  <si>
    <t>Perumahan Golf Asri, Jalan Bojonegara, Kel. Kebon Dalem, Kec. Purwakarta, Kota Cilegon, Prov. Banten</t>
  </si>
  <si>
    <t>Bapak Yoka Rojak (087808537758)</t>
  </si>
  <si>
    <t>00219/RBY-PPJP/BKS/X/2024</t>
  </si>
  <si>
    <t>00151/2.0144-01/PI/10/0612/1/XI/2024</t>
  </si>
  <si>
    <t>PT. Jasa Raharja (Persero)</t>
  </si>
  <si>
    <t>Jalan Kali Besar Timur Raya No.10</t>
  </si>
  <si>
    <t>Kel. Pinangsia</t>
  </si>
  <si>
    <t>Tamansari</t>
  </si>
  <si>
    <t>Kota Administrasi Jakarta Barat</t>
  </si>
  <si>
    <t>Jalan Kali Besar Timur No. 23, Kel. Pinangsia, Kec. Tamansari, Kota Administrasi Jakarta Barat, Prov. DKI Jakarta</t>
  </si>
  <si>
    <t>Bapak Gunawan (081385590788)</t>
  </si>
  <si>
    <t>Jalan Kurir 2 Dalam, Kel. Pinangsia, Kec. Tamansari, Kota Administrasi Jakarta Barat, Prov. DKI Jakarta</t>
  </si>
  <si>
    <t>Tanah dan Bangunan Ruko</t>
  </si>
  <si>
    <t>Bapak Akiong (0811130448)</t>
  </si>
  <si>
    <t>Jalan Asemka No. 31, Kel. Pinangsia, Kec. Tamansari, Kota Administrasi Jakarta Barat, Prov. DKI Jakarta</t>
  </si>
  <si>
    <t>Bapak Wijaya (08161419832)</t>
  </si>
  <si>
    <t>Amri Simbolon &amp; Jonathan (Penilai)</t>
  </si>
  <si>
    <t>Jalan Kali Besar Timur Raya No. 26 RT. 008 RW. 007</t>
  </si>
  <si>
    <t>Jalan Minangkabau Barat No. 28E RT.001 RW. 01</t>
  </si>
  <si>
    <t>Kel. Pasar Manggis</t>
  </si>
  <si>
    <t>Jalan Dr. Saharjo. Kel. Pasar Manggis, Kec. Setiabudi, Kota Jakarta Selatan, Prov. DKI Jakarta</t>
  </si>
  <si>
    <t>Bapak Agus Mulyadi (081269178579)</t>
  </si>
  <si>
    <t>Jalan Minangkabau Barat. Kel. Pasar Manggis, Kec. Setiabudi, Kota Jakarta Selatan, Prov. DKI Jakarta</t>
  </si>
  <si>
    <t>Ibu Lolita Bangun (082118881955)</t>
  </si>
  <si>
    <t>Jalan Dr. Saharjo, Kel. Pasar Manggis, Kec. Setiabudi, Kota Jakarta Selatan, Prov. DKI Jakarta</t>
  </si>
  <si>
    <t>Bapak Hendi (0816729199)</t>
  </si>
  <si>
    <t>Jalan Pariaman No. 20 RT. 011 RW. 010</t>
  </si>
  <si>
    <t>Jalan Sindoro, Kel. Guntur, Kec. Setiabudi, Kota Jakarta Selatan, Prov. DKI Jakarta</t>
  </si>
  <si>
    <t>Bapak Johan</t>
  </si>
  <si>
    <t>Jalan Sawahlunto No.17. Kel. Pasar Manggis, Kec. Setiabudi, Kota Jakarta Selatan, Prov. DKI Jakarta</t>
  </si>
  <si>
    <t>Bapak Ridwan (081272138809)</t>
  </si>
  <si>
    <t>Jalan Menteng Wades. Kel. Pasar Manggis, Kec. Setiabudi, Kota Jakarta Selatan, Prov. DKI Jakarta</t>
  </si>
  <si>
    <t>Bapak Rico (087780871123)</t>
  </si>
  <si>
    <t>Jalan Talang Betutu No. 6</t>
  </si>
  <si>
    <t>Kel. Kebon Melati</t>
  </si>
  <si>
    <t>Jalan Kota Bumi, Kel. Kebon Melati, Kec. Tanah Abang, Kota Admistrasi Jakarta Pusat. Prov. DKI Jakarta</t>
  </si>
  <si>
    <t>Ibu Ika (089608566490)</t>
  </si>
  <si>
    <t>Jalan Batu Raja, Kel. Kebon Melati, Kec. Tanah Abang, Kota Admistrasi Jakarta Pusat. Prov. DKI Jakarta</t>
  </si>
  <si>
    <t>Ibu Dewi (081219550667)</t>
  </si>
  <si>
    <t>Jalan Ki Mangunsarkoro No. 10, Kel. Menteng, Kec. Menteng, Kota Admistrasi Jakarta Pusat. Prov. DKI Jakarta</t>
  </si>
  <si>
    <t>Bapak Ahmad Yani (08536998880)</t>
  </si>
  <si>
    <t>Jalan Martapura No.6</t>
  </si>
  <si>
    <t>Jalan Bank V No. 1 RT. 004 RW. 07</t>
  </si>
  <si>
    <t>Kel. Pela Mampang</t>
  </si>
  <si>
    <t>Jalan Bangka XII, Kel. Pela Mampang, Kec. Mampang Prapatan, Kiya Jakarta Selatan, Prov. DKI Jakarta</t>
  </si>
  <si>
    <t>Bapak Harry (08111461282)</t>
  </si>
  <si>
    <t>Jalan Bank V No. B7, Kel. Pela Mampang, Kec. Mampang Prapatan, Kota Jakarta Selatan, Prov. DKI Jakarta</t>
  </si>
  <si>
    <t>Ibu Shima (081380888803)</t>
  </si>
  <si>
    <t>Jalan Bangka 8A, Kel. Pela Mampang, Kec. Mampang Prapatan, Kota Jakarta Selatan, Prov. DKI Jakarta</t>
  </si>
  <si>
    <t>Ibu Ade Nurma (0818836678)</t>
  </si>
  <si>
    <t>Jalan Bangka VIII/D9</t>
  </si>
  <si>
    <t>Komplek Tanjung Mas Raya</t>
  </si>
  <si>
    <t>Jalan Garuda Mas III/II Blok D3 No. 1</t>
  </si>
  <si>
    <t>Kel. Tanjung Barat</t>
  </si>
  <si>
    <t>Jagarkarsa</t>
  </si>
  <si>
    <t>Komplek Tanjung Mas Raya, Jalan Elang Prima, Kel. Tanjung Barat, Kec. Jagakarsa, Kota Jakarta Selata, Prov. DKI Jakarta</t>
  </si>
  <si>
    <t>Bapak Setyo (08118887658)</t>
  </si>
  <si>
    <t>Komplek Tanjung Mas Raya, Jalan Cendrawasih Mas VIII, Kel. Tanjung Barat, Kec. Jagakarsa, Kota Jakarta Selata, Prov. DKI Jakarta</t>
  </si>
  <si>
    <t>Bapak Danu (085973041844)</t>
  </si>
  <si>
    <t>Komplek Tanjung Mas Raya, Jalan Tanjung Kencana, Kel. Tanjung Barat, Kec. Jagakarsa, Kota Jakarta Selata, Prov. DKI Jakarta</t>
  </si>
  <si>
    <t xml:space="preserve">Perumahan Taman Indah </t>
  </si>
  <si>
    <t>Jalan Taman Indah No. 70/13 RT. 006 RW. 05</t>
  </si>
  <si>
    <t>Kel. Bidara Cina</t>
  </si>
  <si>
    <t xml:space="preserve">komplek Cipinang II No. 27B, Kel. Cipinang Cempedak, Kec. Jatinegara, Kota Jakarta Timur. Prov. DKI Jakarta </t>
  </si>
  <si>
    <t>Ibu Dania (0811945296)</t>
  </si>
  <si>
    <t xml:space="preserve">komplek Cipinang I No. 22 B, Kel. Cipinang Cempedak, Kec. Jatinegara, Kota Jakarta Timur. Prov. DKI Jakarta </t>
  </si>
  <si>
    <t>Bapak (0851000651572)</t>
  </si>
  <si>
    <t xml:space="preserve">komplek Cipinang I No. 18 C (masuk dalam), Kel. Cipinang Cempedak, Kec. Jatinegara, Kota Jakarta Timur. Prov. DKI Jakarta </t>
  </si>
  <si>
    <t>Ibu Aliyah (0811304144)</t>
  </si>
  <si>
    <t>Komplek Taman Sari, Pesona Bali</t>
  </si>
  <si>
    <t>Jalan Tanjong Banoa Raya Blok B5 No. 14</t>
  </si>
  <si>
    <t>Ciputat</t>
  </si>
  <si>
    <t>Komplek Tamansari Pesona Bali, Kel. Pisangan, Kec. Ciputat, Kota Tanggerang Selatan, Prov. Banten</t>
  </si>
  <si>
    <t>Ibu Niken (085883613766)</t>
  </si>
  <si>
    <t>Ibu Sari (081218953820)</t>
  </si>
  <si>
    <t>Ibu Nabilla (088801132578)</t>
  </si>
  <si>
    <t>00195/RBY-PPJP/BKS/IX/2024</t>
  </si>
  <si>
    <t>00152/2.0144-01/PI/10/0612/1/XI/2024</t>
  </si>
  <si>
    <t>PT. Medika Loka Kutabumi</t>
  </si>
  <si>
    <t>Tanah dan Bangunan (Rumah Sakit Hermina Kutabumi)</t>
  </si>
  <si>
    <t>Jalan Mohammad Toha, Kampung Nagrak RT. 004 RW. 006</t>
  </si>
  <si>
    <t>Jalan Raya Karet Kotabumi, Kel. Periuk Jaya, Kec. Periuk, Kota Tanggerang, Prov. Banten</t>
  </si>
  <si>
    <t>Bapak Dani (081292766636)</t>
  </si>
  <si>
    <t>Jalan Mohammad Toha, Kel. Pabuaran Tumpang, Kec. Karawaci, Kota Tanggerang, Prov. Banten</t>
  </si>
  <si>
    <t>Bapak Johan (085100253270)</t>
  </si>
  <si>
    <t>Jalan Mohammad Toha, Kel. Gerendeng, Kec. Karawaci, Kota Tanggerang, Prov. Banten</t>
  </si>
  <si>
    <t>Bapak Andi Siem (081380008834)</t>
  </si>
  <si>
    <t>00194/RBY-PPJP/BKS/IX/2024</t>
  </si>
  <si>
    <t>00153/2.0144-01/PI/10/0612/1/XI/2024</t>
  </si>
  <si>
    <t>Tanah dan Bangunan (Rumah Sakit Hermina Galaxy)</t>
  </si>
  <si>
    <t>Jalan Boulevard Raya Blok BA I No. 11 RT.005 RW. 017</t>
  </si>
  <si>
    <t>Komplek Grand Galaxy City, Jalan Gardenia Raya, Kel. Jakasetia, Kec. Bekasi Selatan, Kota Bekasi, Prov. Jawa Barat</t>
  </si>
  <si>
    <t>Bapak Rully (089684078752)</t>
  </si>
  <si>
    <t>Jalan Raya Pekayon, Kel. Jakasetia, Kec. Bekasi Selatan, Kota Bekasi, Prov. Jawa Barat</t>
  </si>
  <si>
    <t>Ibu Sarah (081315979121)</t>
  </si>
  <si>
    <t>Bapak Fadjrie (082199696418)</t>
  </si>
  <si>
    <t>Jonathan (Penilai)</t>
  </si>
  <si>
    <t>00201/RBY-PPJP/BKS/IX/2024</t>
  </si>
  <si>
    <t>00154/2.0144-01/PI/07/0612/1/XI/2024</t>
  </si>
  <si>
    <t xml:space="preserve">Blok Lelegon RT. 005 RW. 009 </t>
  </si>
  <si>
    <t>Jalan Syekh Moh. Nawawi Albantani, Kel. Banjarsari, Kec. Cipocok Jaya, Kota Serang, Prov. Banten</t>
  </si>
  <si>
    <t>Bapak Sahri Vahlevi (087774329444)</t>
  </si>
  <si>
    <t>Jalan Akses Polda, Kel. Banjarsari, Kec. Cipocok Jaya, Kota Serang, Prov. Banten</t>
  </si>
  <si>
    <t>Ibu Silvia (08170223888)</t>
  </si>
  <si>
    <t>00197/RBY-PPJP/BKS/IX/2024</t>
  </si>
  <si>
    <t>00155/2.0144-01/PI/07/0612/1/XI/2024</t>
  </si>
  <si>
    <t xml:space="preserve">Jalan Tentara Pelajar RT. 002 RW. 09, </t>
  </si>
  <si>
    <t>Jalan Tentara Pelajar, Kel. Grogol Utara, Kec. Kebayoran Lama, Kota Jakarta Selatan, Prov. DKI Jakarta</t>
  </si>
  <si>
    <t>Ibu Nia (085691837311)</t>
  </si>
  <si>
    <t>Tana dan Banguna (hitung tanah)</t>
  </si>
  <si>
    <t>Ibu Fitri Kusuma (081283435989)</t>
  </si>
  <si>
    <t>Jalan Penjernihan 1, Kel. Bendungan Hilir, Kec. Tanah Abang, Kota Jakarta Selatan, Prov. DKI Jakarta</t>
  </si>
  <si>
    <t>Ibu Niniek Hendriyani (081312013801/081808485901)</t>
  </si>
  <si>
    <t>00156/2.0144-01/PI/07/0612/1/XI/2024</t>
  </si>
  <si>
    <t>Rumah Susun Komersial Campuran Wahid Sudirman Residence</t>
  </si>
  <si>
    <t xml:space="preserve">Lantai (I)/LB No. LB/07//OFF, Jalan K.H. Mas Mansyur </t>
  </si>
  <si>
    <t>Kel. Karet Tengsin</t>
  </si>
  <si>
    <t>Kota Administrasi Jakarta Pusat</t>
  </si>
  <si>
    <t>Rumah Susun Komersial Campuran Sahid Sudirman Residence, Lantai 1, Jalan K.H. Mas Mansyur, Kel. Karet Tengsin, Kec. Tanah Abang, Kota Administrasi Jakarta Pusat, Prov. DKI Jakarta</t>
  </si>
  <si>
    <t>Rumah Susun Non Hunian</t>
  </si>
  <si>
    <t>Bapak Aldi (081210009550)</t>
  </si>
  <si>
    <t>Rumah Susun Komersial Campuran Sahid Sudirman Residence, Lantai Lobby, Jalan K.H. Mas Mansyur, Kel. Karet Tengsin, Kec. Tanah Abang, Kota Administrasi Jakarta Pusat, Prov. DKI Jakarta</t>
  </si>
  <si>
    <t>Bapak Nicole (081384849062)</t>
  </si>
  <si>
    <t>Bapak Haikal Imarhel (0813101799676)</t>
  </si>
  <si>
    <t>00157/2.0144-01/PI/10/0612/1/XI/2024</t>
  </si>
  <si>
    <t>Lantai (-I)/LG No. LG/03/OFF, Jalan K.H. Mas Mansyur</t>
  </si>
  <si>
    <t>00158/2.0144-01/PI/10/0612/1/XI/2024</t>
  </si>
  <si>
    <t>Lantai (-I)/LG No. LG/05/OFF, Jalan K.H. Mas Mansyur</t>
  </si>
  <si>
    <t>00159/2.0144-01/PI/10/0612/1/XI/2024</t>
  </si>
  <si>
    <t>Lantai (-I)/LG No. LG/12A/OFF, Jalan K.H. Mas Mansyur</t>
  </si>
  <si>
    <t>00160/2.0144-01/PI/10/0612/1/XI/2024</t>
  </si>
  <si>
    <t xml:space="preserve">Lantai (I)/LB No. LB/03//OFF, Jalan K.H. Mas Mansyur </t>
  </si>
  <si>
    <t>00161/2.0144-01/PI/10/0612/1/XI/2024</t>
  </si>
  <si>
    <t>Lantai (II)/1 No. 01/09/OFF, Jalan K.H. Mas Mansyur</t>
  </si>
  <si>
    <t>00162/2.0144-01/PI/10/0612/1/XI/2024</t>
  </si>
  <si>
    <t>Lantai (IV)/3 No. 03/01/OFF,  Jalan K.H. Mas Mansyut</t>
  </si>
  <si>
    <t>Rumah Susun Komersial Campuran Sahid Sudirman Residence, Lantai 2, Jalan K.H. Mas Mansyur, Kel. Karet Tengsin, Kec. Tanah Abang, Kota Administrasi Jakarta Pusat, Prov. DKI Jakarta</t>
  </si>
  <si>
    <t>Bapak Robert Wijaya (081315206789/081315206789)</t>
  </si>
  <si>
    <t>Rumah Susun Komersial Campuran Sahid Sudirman Residence, Lantai 30, Jalan K.H. Mas Mansyur, Kel. Karet Tengsin, Kec. Tanah Abang, Kota Administrasi Jakarta Pusat, Prov. DKI Jakarta</t>
  </si>
  <si>
    <t>00163/2.0144-01/PI/10/0612/1/XI/2024</t>
  </si>
  <si>
    <t>Lantai 52, Jalan K.H. Mas Mansyur/Jendral Sudirman No. 86</t>
  </si>
  <si>
    <t>00164/2.0144-01/PI/10/0612/1/XI/2024</t>
  </si>
  <si>
    <t>Lantai (I)/LB No. LB/02A/OFF, Jalan K.H. Mas Mansyur</t>
  </si>
  <si>
    <t>00165/2.0144-01/PI/10/0612/1/XI/2024</t>
  </si>
  <si>
    <t>Lantai (-I)/LG No. LG/12/OFF, Jalan K.H. Mas Mansyur</t>
  </si>
  <si>
    <t>00166/2.0144-01/PI/10/0612/1/XI/2024</t>
  </si>
  <si>
    <t>Tanak kosong</t>
  </si>
  <si>
    <t>Jalan Lebak Bulus Raya</t>
  </si>
  <si>
    <t>Kel. Lebak Bulus</t>
  </si>
  <si>
    <t>Cilandak dan Ciputat Timur</t>
  </si>
  <si>
    <t>Jalan Raya Lebak Bulus. Kel. Lebak Bulus, Kec. Cilandak, Kota Jakarta Selatan, Prov. DKI Jakarta</t>
  </si>
  <si>
    <t>Bapak Arief (08118898777)</t>
  </si>
  <si>
    <t>Bapak Wiliam (08151668881)</t>
  </si>
  <si>
    <t>Tanah dan Bangunan (Swalayan)</t>
  </si>
  <si>
    <t>Bapak Beni (0818152335)</t>
  </si>
  <si>
    <t>00236/RBY-PPJP/BKS/XI/2024</t>
  </si>
  <si>
    <t>00167/2.0144-01/PI/7/0612/1/XI/2024</t>
  </si>
  <si>
    <t xml:space="preserve">Sentra Bisnis Artha Gading </t>
  </si>
  <si>
    <t>Jalan Boulevard Artha Gading Blok A-6.A No. 8</t>
  </si>
  <si>
    <t>Komplek Bisnis Artha Gading, Jalan Boulevard Artha Gading Blok A-6, B No. 8, Kel. Kelapa Gading Barat, Kec. Kelapa Gading, Kota Jakarta Utara, Prov. DKI Jakarta</t>
  </si>
  <si>
    <t>Bapak Daniel (0811183173)</t>
  </si>
  <si>
    <t>Komplek Bisnis Artha Gading, Jalan Boulevard Artha Gading Blok 11, No. 5, Kel. Kelapa Gading Barat, Kec. Kelapa Gading, Kota Jakarta Utara, Prov. DKI Jakarta</t>
  </si>
  <si>
    <t>Ibu Maria (0812122870730)</t>
  </si>
  <si>
    <t>Komplek Bisnis Artha Gading, Jalan Boulevard Artha Gading Blok G, No. 24 dan 25, Kel. Kelapa Gading Barat, Kec. Kelapa Gading, Kota Jakarta Utara, Prov. DKI Jakarta</t>
  </si>
  <si>
    <t>Bapak Budi Tjia (081398758875)</t>
  </si>
  <si>
    <t>00168/2.0144-01/PI/07/0612/1/XI/2024</t>
  </si>
  <si>
    <t>Komplek Ruko Mega Grosir</t>
  </si>
  <si>
    <t>Blok H. No. 1 dan 2</t>
  </si>
  <si>
    <t>Komplek Ruko Mega Grosir, Blok H. No, 7 dan 8, Kel. Sumur Batu, Kec. Kemayoran, Kota Jakarta Pusat, Prov. DKI Jakarta</t>
  </si>
  <si>
    <t>Komplek Ruko Mega Grosir, Blok L. No, 1, Kel. Sumur Batu, Kec. Kemayoran, Kota Jakarta Pusat, Prov. DKI Jakarta</t>
  </si>
  <si>
    <t>Bapak Parman  (081286867887)</t>
  </si>
  <si>
    <t>Komplek Ruko Mega Grosir, Blok I. No. 42, Kel. Sumur Batu, Kec. Kemayoran, Kota Jakarta Pusat, Prov. DKI Jakarta</t>
  </si>
  <si>
    <t>Bapak Nasirun (081319928008)</t>
  </si>
  <si>
    <t>00238/RBY-PPJP/BKS/XI/2024</t>
  </si>
  <si>
    <t>00169/2.0144-01/PI/07/0612/1/XI/2024</t>
  </si>
  <si>
    <t>Jalan Tebet Barat Dalam IV No. 29, Blok X Persil No. 566</t>
  </si>
  <si>
    <t>kel. Tebet Barat</t>
  </si>
  <si>
    <t>Jalan Tebet  Dalam IV No. 17, Kel. Tebet Barat, Kec. Tebet, Kota Jakarta Selatan, Prov. DKI Jakarta</t>
  </si>
  <si>
    <t>Bapak Marlin (085945725002)</t>
  </si>
  <si>
    <t>Jalan Tebet  Dalam IV No. 15, Kel. Tebet Barat, Kec. Tebet, Kota Jakarta Selatan, Prov. DKI Jakarta</t>
  </si>
  <si>
    <t>Ibu Sundari (081220018792)</t>
  </si>
  <si>
    <t>Jalan Tebet  Dalam II No. 17B, Kel. Tebet Barat, Kec. Tebet, Kota Jakarta Selatan, Prov. DKI Jakarta</t>
  </si>
  <si>
    <t>Bapak Andi Khao (081958182299)</t>
  </si>
  <si>
    <t>00168/RBY-PPJP/BKS/VIII/2024</t>
  </si>
  <si>
    <t>00170/2.0144-01/PI/10/0612/1/XI/2024</t>
  </si>
  <si>
    <t>PT. Medika Loka Tanggerang</t>
  </si>
  <si>
    <t>Gang Toha 2 No. 30 RT. 001 RW.001, Jalan Dadang Suprapto</t>
  </si>
  <si>
    <t>Kel . Pasar Baru</t>
  </si>
  <si>
    <t>Karawaci</t>
  </si>
  <si>
    <t>Gang M.H. Nur, Jalan KS.Tubun, Kel. Pasar Baru, Kec. Karawaci, Kota Tanggerang, Prov. Banten</t>
  </si>
  <si>
    <t>Bapak Narman (085218420502)</t>
  </si>
  <si>
    <t>Gang MH. Nur 2, Jalan KS.Tubun, Kel. Pasar Baru, Kec. Karawaci, Kota Tanggerang, Prov. Banten</t>
  </si>
  <si>
    <t>Bapak Aris (081930599885)</t>
  </si>
  <si>
    <t>Bapak Dedy  (0811852871)</t>
  </si>
  <si>
    <t>Gang Toha 3/ Toha Raya No. 38 RT. 001 RW.001, Jalan KS. Tubun</t>
  </si>
  <si>
    <t>Jalan Mochamad Jamil No. 56 RT. 001 RW. 001</t>
  </si>
  <si>
    <t>Jalan Berhias Kel. Pasar Baru, Kec. Karawaci, Kota Tanggerang, Prov. Banten</t>
  </si>
  <si>
    <t>Bapak Andreas (087770001020)</t>
  </si>
  <si>
    <t>Jalan Dadang Suprapto, Kel. Pasar Baru, Kec. Karawaci, Kota Tanggerang, Prov. Banten</t>
  </si>
  <si>
    <t>Bapak Syahila (085813548784)</t>
  </si>
  <si>
    <t>Rumah Tinggal (dihitung tanah)</t>
  </si>
  <si>
    <t>Bapak Eddy (087878696116)</t>
  </si>
  <si>
    <t>Gang Buntu No. 31 RT.001 RW. 001, Jalan KS. Tubun</t>
  </si>
  <si>
    <t>Jalan Dadang Suprapto No. 27 RT. 001 RW. 001</t>
  </si>
  <si>
    <t>Rumah Tinggal dan Café</t>
  </si>
  <si>
    <t>Jalan Mochamad Jamil No. 28 RT. 001 RW. 001</t>
  </si>
  <si>
    <t>Jalan Toha 3/ Toha Raya No. 24 RT. 001 RW.001, Jalan KS. Tubun</t>
  </si>
  <si>
    <t>Jalan Mochamad Jamil No. 57, RT. 001 RW. 001</t>
  </si>
  <si>
    <t>Gang Toha 3 No. 32 RT.001 RW. 001, Jalan KS. Tubun</t>
  </si>
  <si>
    <t>Gang Toha Raya No. 36 RT. 001 RW. 001, Jalan KS. Tubun</t>
  </si>
  <si>
    <t>00213/RBY-PPJP/BKS/X/2024</t>
  </si>
  <si>
    <t>00171/2.0144-01/PI/10/0612/1/XI/2024</t>
  </si>
  <si>
    <t>PT. Medika Loka Manajemen</t>
  </si>
  <si>
    <t>Jalan Raya Narogong Km. 24,6 No. 8 RT. 03 RW. 06/ Jalan Pedati Selatan</t>
  </si>
  <si>
    <t>Kel. Cijantung</t>
  </si>
  <si>
    <t>Pasar Rebo</t>
  </si>
  <si>
    <t>Jalan Raya Bogor Km. 25, Kel. Susukan, Kec. Ciracas, Kota Jakarta Timur, Prov. DKI Jakarta</t>
  </si>
  <si>
    <t>Bapak Teddy (087788137691)</t>
  </si>
  <si>
    <t>Jalan Raya Ciracas, Kel. Ciracas, Kec. Ciracas, Kota Jakarta Timur, Prov. DKI Jakarta</t>
  </si>
  <si>
    <t>Fajar Indra (085770205714)</t>
  </si>
  <si>
    <t>Jalan Raya Bogor Km. 29, Kel. Cimanggis, Kec. Mekarsari, Kota Depok, Prov. Jawa Barat</t>
  </si>
  <si>
    <t>Bapak Gunawan (08159466819)</t>
  </si>
  <si>
    <t>00137/RBY-PPJP/BKS/VII/2024</t>
  </si>
  <si>
    <t>00172/2.0144-01/PI/10/0612/1/XI/2024</t>
  </si>
  <si>
    <t>PT. Medika Loka Lampung</t>
  </si>
  <si>
    <t>Tanah dan Bangunan (Rumah Sakit Hermina Lampung)</t>
  </si>
  <si>
    <t>Jalan Tulang Bawang No.21-23</t>
  </si>
  <si>
    <t>Kel. Enggal</t>
  </si>
  <si>
    <t>Enggal</t>
  </si>
  <si>
    <t>Nilai Pasasr</t>
  </si>
  <si>
    <t>06-07 Agustus 2024</t>
  </si>
  <si>
    <t>Jalan Tulang Bawang, Kel. Enggal, Kec. Enggal, Kota Bandar Lampung, Prov. Lampung</t>
  </si>
  <si>
    <t>Bapak Nazaruddin Burhan (081272797667)</t>
  </si>
  <si>
    <t>Jalan Jend. Suprapto, Kel. Enggal, Kec. Enggal, Kota Bandar Lampung, Prov. Lampung</t>
  </si>
  <si>
    <t>Ibu Tuti (085380152345)</t>
  </si>
  <si>
    <t>Tanah (Parkir Kendaraan)</t>
  </si>
  <si>
    <t>Jalan Tulang Bawang</t>
  </si>
  <si>
    <t>00226/RBY-PPJP/BKS/X/2024</t>
  </si>
  <si>
    <t>00173/2.0144-01/PI/10/0612/1/XI/2024</t>
  </si>
  <si>
    <t>PT. Medika Loka Soreang</t>
  </si>
  <si>
    <t>Tanah dan Bangunan (Rumah Sakit Medika Loka Soreang)</t>
  </si>
  <si>
    <t>Jalan Terusan Al Fathu No. 9, Sarilamping</t>
  </si>
  <si>
    <t>Desa Soreang</t>
  </si>
  <si>
    <t>Soreang</t>
  </si>
  <si>
    <t>Kab. Bandung</t>
  </si>
  <si>
    <t>Jalan Soreang-Pasir Koja, Desa Pemekaran, Kec. Soreang, Kab. Bandung, Prov. Jawa Barat</t>
  </si>
  <si>
    <t>Ibu Lasma Manurung (0811209163)</t>
  </si>
  <si>
    <t>Jalan Bandung-Soreang,Desa Soreang, Kec. Soreang, Kab. Bandung, Prov. Jawa Barat</t>
  </si>
  <si>
    <t>Ibu Ingrid Lesmana (088218337688)</t>
  </si>
  <si>
    <t>Bapak Fred (082117105300)</t>
  </si>
  <si>
    <t>00203/RBY-PPJP/BKS/X/2024</t>
  </si>
  <si>
    <t>00174/2.0144-01/PI/10/0612/1/XI/2024</t>
  </si>
  <si>
    <t>PT. Medika Loka Grand Bekasi</t>
  </si>
  <si>
    <t>Tanah dan Bangunan (Rumah Sakit Hermina Grand Wisata)</t>
  </si>
  <si>
    <t>Komplek Grand Wisata</t>
  </si>
  <si>
    <t>Jalan West Gateway Boulevard Blok JA 1 No. 1</t>
  </si>
  <si>
    <t>Desa Lambang Sari</t>
  </si>
  <si>
    <t>Komplek Grand Wisata, Jalan Grand Lake Boulevard, Kel. Lembang Sari, Kec. Tambun Selatan, Kab. Bekasi, Prov. Jawa Barat</t>
  </si>
  <si>
    <t>Bapak Achandra (081210881728)</t>
  </si>
  <si>
    <t>Komplek Grand Wisata, Jalan Grand Lake Boulevard Blok ED Lot 21, Kel. Lembang Sari, Kec. Tambun Selatan, Kab. Bekasi, Prov. Jawa Barat</t>
  </si>
  <si>
    <t>Komplek Grand Wisata, Jalan Grand Lake Boulevard Blok ED Lot 27-30, Kel. Lembang Sari, Kec. Tambun Selatan, Kab. Bekasi, Prov. Jawa Barat</t>
  </si>
  <si>
    <t>Ibu Olive (081283236300)</t>
  </si>
  <si>
    <t>Jonathan (Penilai), Pretty Balerina Bangun (Pelaksana Inspeksi)</t>
  </si>
  <si>
    <t>00230/RBY-PPJP/BKS/X/2024</t>
  </si>
  <si>
    <t>00175/2.0144-01/PI/10/0612/1/XI/2024</t>
  </si>
  <si>
    <t>Kapal Crew Boat S Hermes (Eks. Bahari 77)</t>
  </si>
  <si>
    <t>Lamongan Shorebase</t>
  </si>
  <si>
    <t>Desa Kemantren</t>
  </si>
  <si>
    <t>Paciran</t>
  </si>
  <si>
    <t>Kab. Lamongan</t>
  </si>
  <si>
    <t>Crew Boat</t>
  </si>
  <si>
    <t>S. Hermes (eks. Bahari 77)</t>
  </si>
  <si>
    <t>Malaysia</t>
  </si>
  <si>
    <t>Kapal (Crew Boat)</t>
  </si>
  <si>
    <t>Kapal Crew Boat S Grace (Eks. Barnadette L)</t>
  </si>
  <si>
    <t>S. Grace (eks. Bernadette L)</t>
  </si>
  <si>
    <t>The City Tower</t>
  </si>
  <si>
    <t>MH Thamrin No. 81 Lantai 6 No. L6-01</t>
  </si>
  <si>
    <t>The City Tower, MH. Thamrin No.81, Kel. Menteng, Kec. Menteng, Kota Jakarta Pusat, Prov. DKI Jakarta</t>
  </si>
  <si>
    <t>Ibu Julainti Istianto (081310331813)</t>
  </si>
  <si>
    <t>Ibu Dina (0811811916)</t>
  </si>
  <si>
    <t>The City Tower (High Floor)(, MH. Thamrin No.81, Kel. Menteng, Kec. Menteng, Kota Jakarta Pusat, Prov. DKI Jakarta</t>
  </si>
  <si>
    <t>Ibu Westri Ariyanti (085880888225)</t>
  </si>
  <si>
    <t>Jonathan (Penilai), Firdaus Ginting (Pelaksana Inspeksi)</t>
  </si>
  <si>
    <t>00212/RBY-PPJP/BKS/X/2024</t>
  </si>
  <si>
    <t>00176/2.0144-01/PI/10/0612/1/XI/2024</t>
  </si>
  <si>
    <t>Metland Transyogi Cibubur</t>
  </si>
  <si>
    <t>Jalan Kota Taman Metropolitan, Blok TJ-IA</t>
  </si>
  <si>
    <t>Desa Cileungsi Kidul</t>
  </si>
  <si>
    <t>Cileungsi</t>
  </si>
  <si>
    <t>Komplek Metland Transyogi Cibubur, Jalan LOT EBONI 2, Desa Cileungsi Kidul, Kec. Cileungsi, Kab. Bogor, Prov. Jawa Barat</t>
  </si>
  <si>
    <t>Ibu Anna (081213402410)</t>
  </si>
  <si>
    <t>Komplek Metland Transyogi Cibubur, Jalan LOT EBONI 8, Desa Cileungsi Kidul, Kec. Cileungsi, Kab. Bogor, Prov. Jawa Barat</t>
  </si>
  <si>
    <t>Bapak Adit (082260706072)</t>
  </si>
  <si>
    <t>Komplek Metland Transyogi Cibubur, Jalan LOT EBONI 7, Desa Cileungsi Kidul, Kec. Cileungsi, Kab. Bogor, Prov. Jawa Barat</t>
  </si>
  <si>
    <t>Bapak Imam (085846671150)</t>
  </si>
  <si>
    <t>Jalan Green Palma, Blok TJ-D</t>
  </si>
  <si>
    <t>00211/RBY-PPJP/BKS/X/2024</t>
  </si>
  <si>
    <t>00177/2.0144-01/PI/10/0612/1/XI/2024</t>
  </si>
  <si>
    <t xml:space="preserve">Jalan West Gateway Boulevard </t>
  </si>
  <si>
    <t>00232/RBY-PPJP/BKS/X/2024</t>
  </si>
  <si>
    <t>00178/2.0144-01/PI/10/0612/1/XI/2024</t>
  </si>
  <si>
    <t>PT. Medika Loka Purwekerto</t>
  </si>
  <si>
    <t>Tanah dan Bangunan (Rumah Sakit Hermina Purwokerto)</t>
  </si>
  <si>
    <t>Jalan Yos Sudarso RT. 003 RW. 001</t>
  </si>
  <si>
    <t>Kel. Karanglewas Lor</t>
  </si>
  <si>
    <t>Purwokerto Barat</t>
  </si>
  <si>
    <t>Jalan Yos Sudarso, Kel. Karanglewas Lor, Kec. Purwekerto Barat, Kab. Banyumas, Prov. Jawa Tengah</t>
  </si>
  <si>
    <t>Bapak Suryotomo (0816691676)</t>
  </si>
  <si>
    <t>Bapak Sintan (081391440707)</t>
  </si>
  <si>
    <t>Jalan Veteran, Kel. Karanglewas Lor, Kec. Purwekerto Barat, Kab. Banyumas, Prov. Jawa Tengah</t>
  </si>
  <si>
    <t>Bapak Heru (082227013111)</t>
  </si>
  <si>
    <t>00225/RBY-PPJP/BKS/X/2024</t>
  </si>
  <si>
    <t>00179/2.0144-01/PI/10/0612/1/XI/2024</t>
  </si>
  <si>
    <t>Tanah dan Bangunan (Rumah Sakit Altha Medika)</t>
  </si>
  <si>
    <t>Jalan Raya Siliwangi, Kp. Sundawenang RT.031 RW. 013</t>
  </si>
  <si>
    <t>Desa Sudawenang</t>
  </si>
  <si>
    <t>Parungkuda</t>
  </si>
  <si>
    <t>Jalan Raya Cibadak-Sukabumi, Desa Cibadak, Kec. Cibadak, Kab. Sukabumi, Prov. Jawa Barat</t>
  </si>
  <si>
    <t>Bapak Hendra Wijaya (081380221818)</t>
  </si>
  <si>
    <t>Jalan Raya Cibadak-Sukabumi, Desa Karang Tengah, Kec. Cibadak, Kab. Sukabumi, Prov. Jawa Barat</t>
  </si>
  <si>
    <t>Bapak Armen Basir (081394285722)</t>
  </si>
  <si>
    <t>Jalan Raya Cibadak-Sukabumi, Desa Sundawenang Kec. Parungkuda, Kab. Sukabumi, Prov. Jawa Barat</t>
  </si>
  <si>
    <t>Bapak Timmy (081291431997)</t>
  </si>
  <si>
    <t>00180/2.0144-01/PI/10/0612/1/XI/2024</t>
  </si>
  <si>
    <t>00210/RBY-PPJP/BKS/X/2024</t>
  </si>
  <si>
    <t>00181/2.0144-01/PI/07/0612/1/XII/2024</t>
  </si>
  <si>
    <t>PT. Awal Bros Citra Batam</t>
  </si>
  <si>
    <t>Tanah dan Bangunan (Rumah Sakit Awal Bros Batam)</t>
  </si>
  <si>
    <t>Sarana Pelengkap, Alat Kesehatan, Mesin dan Peralan, Peralatan dan Perlengkapan Kantor</t>
  </si>
  <si>
    <t>Jalan Gajah Mada Kav. 01</t>
  </si>
  <si>
    <t>Kel. Baloi</t>
  </si>
  <si>
    <t>Lubuk Baja</t>
  </si>
  <si>
    <t>Penjamina Utang</t>
  </si>
  <si>
    <t>23-24 Oktober 2024</t>
  </si>
  <si>
    <t>Jalan Sudirman, Kel. Baloi Indah, Kec. Lubuk Baja, Kota Batam, Prov. Kepulauan Riau</t>
  </si>
  <si>
    <t>Tanah dan Bangunan (Ex Mall)</t>
  </si>
  <si>
    <t>Bapak Suandi (08117773488)</t>
  </si>
  <si>
    <t>Jalan Teuku Umar, Kel. Kampung Pelita, Kec. Lubuk Baja, Kota Batam, Prov. Kepulauan Riau</t>
  </si>
  <si>
    <t>Tanah dan Bangunan (Ex. Penginapan)</t>
  </si>
  <si>
    <t>Bapak Ibrahim (081261535737)</t>
  </si>
  <si>
    <t>Jalan Raden Patah, Kel. Kampung Pelita, Kec. Lubuk Baja, Kota Batam, Prov. Kepulauan Riau</t>
  </si>
  <si>
    <t>Bapak Hendrik (08170797778)</t>
  </si>
  <si>
    <t>BP 7165 DD
BP 9052 DG
BP 8644 ZE
BP 1957 QD
BP 1247 QA
BP 1763 IG
BP 2213 FD</t>
  </si>
  <si>
    <t>2024
2013
2002
2023
2023
2016
2010</t>
  </si>
  <si>
    <t>Hino/XZU359R-HKMRBD8
Volkswagen/Panel Van Transporter 2.0MT
Toyota/Hiace LH 172
Daihatsu/All New Xenia 1.3 X CVT
Daihatsu/All New Xenia 1.3 X CVT
Daihatsu/Xenia 1.3 X A/T
Honda/NF11B1D M/T</t>
  </si>
  <si>
    <t>Batam</t>
  </si>
  <si>
    <t>Daihatsu/All New Xenia 1.3 X CVT</t>
  </si>
  <si>
    <t>Bapak Aska (Facebook)</t>
  </si>
  <si>
    <t>Bapak Raffi (082186667955)</t>
  </si>
  <si>
    <t>Bapak Devano (083830670512)</t>
  </si>
  <si>
    <t xml:space="preserve">Jalan Gajah Mada </t>
  </si>
  <si>
    <t>Kel. Baloi Indah</t>
  </si>
  <si>
    <t>00247/RBY-PPJP/BKS/XI/2024</t>
  </si>
  <si>
    <t>00182/2.0144-01/PI/07/0612/1/XII/2024</t>
  </si>
  <si>
    <t>Jalan Raya Ciputat-Parung</t>
  </si>
  <si>
    <t>Kel. Bojongsari</t>
  </si>
  <si>
    <t>Bojongsari</t>
  </si>
  <si>
    <t>Jalan Permata, Kel. Bojongsari, Kec. Bojongsari, Kota Depok, Prov. Jawa Barat</t>
  </si>
  <si>
    <t>Bapak Yusup (081292942743)</t>
  </si>
  <si>
    <t>Jalan Raya Ciputat-Parung, Kel. Bojongsari, Kec. Bojongsari, Kota Depok, Prov. Jawa Barat</t>
  </si>
  <si>
    <t>Bapak Kono (08119937993)</t>
  </si>
  <si>
    <t>Bapak Heru (0816839394)</t>
  </si>
  <si>
    <t>Robbi Sugara Ginting &amp; Santo Cornelius Ginting (Penilai)</t>
  </si>
  <si>
    <t>00102/RBY-PPJP/BKS/VI/2024</t>
  </si>
  <si>
    <t>00183/2.0144-01/PI/10/0612/1/XII/2024</t>
  </si>
  <si>
    <t>PT. Medika Loka Internusa</t>
  </si>
  <si>
    <t>Rusun Komersia Bukan Hunia (Rumah Sakit Hermina Kemayoran)</t>
  </si>
  <si>
    <t>Hermina Office Tower</t>
  </si>
  <si>
    <t>Jalan Selangit Kav. 4 RW. 10 Blok B-10 Lantai 1</t>
  </si>
  <si>
    <t>Kel. Gunung Sahari Selatan</t>
  </si>
  <si>
    <t>Hermina Office Tower, Jalan Selangit Kav. 4 RW. 10 Blok B-10 Lantai 15, Kel. GN. Sahari, Kec. Kemayoran, Kota Jakarta Pusat, Prov. DKI Jakarta</t>
  </si>
  <si>
    <t>Rusun Komersia Bukan Hunian</t>
  </si>
  <si>
    <t>Hermina Office Tower, Jalan Selangit Kav. 4 RW. 10 Blok B-10 Lantai 3, Kel. GN. Sahari, Kec. Kemayoran, Kota Jakarta Pusat, Prov. DKI Jakarta</t>
  </si>
  <si>
    <t>Rusun Komersial Bukan Hunian</t>
  </si>
  <si>
    <t>Ibu Rachel (081292593597)</t>
  </si>
  <si>
    <t>Kem Tower, Jalan Selangit No. 10 RW. 10, Kel. GN. Sahari, Kec. Kemayoran, Kota Jakarta Pusat, Prov. DKI Jakarta</t>
  </si>
  <si>
    <t>Ibu Juanita (0816945091)</t>
  </si>
  <si>
    <t>Jalan Selangit Kav. 4 RW. 10 Blok B-10 Lantai 4 Podium &amp; 5 No. HT-5</t>
  </si>
  <si>
    <t>Jalan Selangit Kav. 4 RW. 10 Blok B-10 Lantai 5 Podium &amp; 6 No. HT1-6</t>
  </si>
  <si>
    <t>Jalan Selangit Kav. 4 RW. 10 Blok B-10 Lantai 5 Podium &amp; 6 No. HT2-6</t>
  </si>
  <si>
    <t>Jalan Selangit Kav. 4 RW. 10 Blok B-10 Lantai 6 Podium &amp; 7 No. HT-7</t>
  </si>
  <si>
    <t>00244/RBY-PPJP/BKS/XI/2024</t>
  </si>
  <si>
    <t>00184/2.0144-01/PI/07/0612/1/XII/2024</t>
  </si>
  <si>
    <t xml:space="preserve">Buana Gardenia </t>
  </si>
  <si>
    <t>Jalan Buana Agung Raya , Blok A No. 25</t>
  </si>
  <si>
    <t>Buana Gardenia, Jalan Buana Gardenia, Kel. Pinang, Kec. Pinang, Kota Tanggerang, Prov. Banten</t>
  </si>
  <si>
    <t>Ibu Imel (087771416486)</t>
  </si>
  <si>
    <t>Bapak Arif (081287947932)</t>
  </si>
  <si>
    <t>00260/RBY-PPJP/BKS/XII/2024</t>
  </si>
  <si>
    <t>00185/2.0144-01/PI/07/0612/1/XII/2024</t>
  </si>
  <si>
    <t>PT. Jtrust Indonesia, Tbk</t>
  </si>
  <si>
    <t>PT. JTrust Indonesia, Tbk</t>
  </si>
  <si>
    <t>Komplek Ruko Soka 1</t>
  </si>
  <si>
    <t>Jalan Terusan Bandengan</t>
  </si>
  <si>
    <t>Kel. Penjagalan</t>
  </si>
  <si>
    <t>Komplek Puri Deltamas, Jalan Bandenga Selatan, Kel. Penjagalan, Kec. Penjaringan, Kota Jakarta Utara, Prov. DKI Jakarta</t>
  </si>
  <si>
    <t>Ibu Vinka (08129882968)</t>
  </si>
  <si>
    <t>Jalan Bandenga Utara 2, Kel. Penjagalan, Kec. Penjaringan, Kota Jakarta Utara, Prov. DKI Jakarta</t>
  </si>
  <si>
    <t>Bapak Edison (081295012255)</t>
  </si>
  <si>
    <t>Jalan Bandenga Selatan, Kel. Penjagalan, Kec. Penjaringan, Kota Jakarta Utara, Prov. DKI Jakarta</t>
  </si>
  <si>
    <t>Santo Cornelius Ginting (Penilai), Robbi Sugara Ginting (Pelaksana Inspeksi)</t>
  </si>
  <si>
    <t>00269/RBY-PPJP/BKS/XII/2024</t>
  </si>
  <si>
    <t>00186/2.0144-01/PI/07/0612/1/XII/2024</t>
  </si>
  <si>
    <t>PT. Pembangunan Daerah Jawa Barat dan Banten, Tbk</t>
  </si>
  <si>
    <t>Tanah dan Bangunan (Kandang Ayam)</t>
  </si>
  <si>
    <t>Desa Tunggulpayung</t>
  </si>
  <si>
    <t>Lelea</t>
  </si>
  <si>
    <t>Desa Tunggulpayung, Kec. Lelea, Kab. Indramayu, Prov. Jawa Barat</t>
  </si>
  <si>
    <t>Bapak Ratiman (081320557237)</t>
  </si>
  <si>
    <t>Bapak Mifta (085198709245)</t>
  </si>
  <si>
    <t>Jalan Raya Pancasari-Wanasari, Desa Mulyasari, Kec. Bangodua, Kab. Indramayu, Prov. Jawa Barat</t>
  </si>
  <si>
    <t>Bapak Irwan Priandi (087828806655)</t>
  </si>
  <si>
    <t>00261/RBY-PPJP/BKS/XII/2024</t>
  </si>
  <si>
    <t>00187/2.0144-01/PI/10/0612/1/XII/2024</t>
  </si>
  <si>
    <t>Komplek Ruko Mas Odessa Blok C1 No. 08</t>
  </si>
  <si>
    <t>Jalan Teungku Sulung</t>
  </si>
  <si>
    <t>Kel. Belian</t>
  </si>
  <si>
    <t>Batam Kota</t>
  </si>
  <si>
    <t>Komplek Ruko Mas Odessa Blok C1 No.05, Jalan Tengku Sulung, Kel. Belian, Kec. Batam Kota, Kota Batam, Prov. Kepulauan Riau</t>
  </si>
  <si>
    <t>Bapak Hatta Tan (0811777572)</t>
  </si>
  <si>
    <t>Komplek Ruko Mas Odessa Blok C2 No.3A, Jalan Tengku Sulung, Kel. Belian, Kec. Batam Kota, Kota Batam, Prov. Kepulauan Riau</t>
  </si>
  <si>
    <t>Ibu Mulyanti (08127030919)</t>
  </si>
  <si>
    <t>Komplek Ruko Mas Odessa Blok C3 No.09, Jalan Tengku Sulung, Kel. Belian, Kec. Batam Kota, Kota Batam, Prov. Kepulauan Riau</t>
  </si>
  <si>
    <t>Bapak Steven (0853755111650)</t>
  </si>
  <si>
    <t>Tanah dan Bangunan (Rumah Sakit Keluarga Husada Batam)</t>
  </si>
  <si>
    <t>Sarana Pelengkap, Alat Kesehatan, Perlengkapan Medis, Peralatan dan Perlengkapan Kantor</t>
  </si>
  <si>
    <t>Komplek Ruko Mas Odessa Blok C1 No. 11, No. 12, No. 12A, No. 12B, No. 15, No. 16, dan Blok C7 No. 12</t>
  </si>
  <si>
    <t>Komplek Mega indah Blok A 3-4 &amp; B 1-4, Jalan Laksamana Bintan, Kel. Sungai Panas, Kec. Batam Kota, Kota Batam, Prov. Kepulauan Riau</t>
  </si>
  <si>
    <t>Tanah dan Bangunan (Rumah Sakit Griya Medika)</t>
  </si>
  <si>
    <t>Komplek Nagoya, Kec. Batam Kota, Kota Batam, Prov. Kepulauan Riau</t>
  </si>
  <si>
    <t>Bapak Sunaryo (081261525151)</t>
  </si>
  <si>
    <t>Komplek Niaga Mas, Kec. Batam Kota, Kota Batam, Prov. Kepulauan Riau</t>
  </si>
  <si>
    <t>3 Ruko Gandeng</t>
  </si>
  <si>
    <t>BP 1127 ME
BP 1813 EG</t>
  </si>
  <si>
    <t>2017
2011</t>
  </si>
  <si>
    <t>Suzuki/GC415V Apv DLX MT
Daihatsu Terios/F700RG-TS AT</t>
  </si>
  <si>
    <t>Daihatsu/F700RG-TS AT</t>
  </si>
  <si>
    <t>Bapak M. Iman Mustafa (081233376054)</t>
  </si>
  <si>
    <t>Bapak Dyan (081267272527)</t>
  </si>
  <si>
    <t>Ibu Megawati Hutagaol (081260093858)</t>
  </si>
  <si>
    <t>00251/RBY-PPJP/BKS/XI/2024</t>
  </si>
  <si>
    <t>00188/2.0144-01/PI/10/0612/1/XII/2024</t>
  </si>
  <si>
    <t>Jalan Dr. Djunjunan No. 109</t>
  </si>
  <si>
    <t>Kel. Pajajaran</t>
  </si>
  <si>
    <t>Jalan Dr. Djunjunan, Kel. Pajajaran, Kec. Cicendo, Kota Bandung, Prov. Jawa Barat</t>
  </si>
  <si>
    <t>Tanah dan Bangunan (Kios)</t>
  </si>
  <si>
    <t>Bapak Ucu (085624385141)</t>
  </si>
  <si>
    <t>Bapak Indra (08999764164)</t>
  </si>
  <si>
    <t>Bapak Sanjaya (081221220777)</t>
  </si>
  <si>
    <t>00164/RBY-PPJP/BKS/VIII/2024</t>
  </si>
  <si>
    <t>00189/2.0144-01/PI/10/0612/1/XII/2024</t>
  </si>
  <si>
    <t>PT. Primus Sanus Cooking Industrial (Priscolin)</t>
  </si>
  <si>
    <t>Tanah dan Bangunan (Pabrik Pengolahan Minyak Goreng)</t>
  </si>
  <si>
    <t>Sarana Pelengkap, Mesin dan Peralatan, Alat Berat dan Kendaraan</t>
  </si>
  <si>
    <t xml:space="preserve">Kawasan Industri Surya Cipta </t>
  </si>
  <si>
    <t>Jalan Surya Utama Kav. I No. 1-5</t>
  </si>
  <si>
    <t>Desa Kutamekar</t>
  </si>
  <si>
    <t>17-18 Oktober 2024</t>
  </si>
  <si>
    <t>Kawasan Industri Surya Cipta, Jalan Surya Utama, Desa. Kutamekar, Kec. Ciampel, Kab. Karawang. Prov. Jawa Barat</t>
  </si>
  <si>
    <t>Ibu Jesica Natalia (0811890889)</t>
  </si>
  <si>
    <t>Kawasan Industri Surya Cipta,  Desa. Kutamekar, Kec. Ciampel, Kab. Karawang. Prov. Jawa Barat</t>
  </si>
  <si>
    <t>Ibu Fransisca (0811888241)</t>
  </si>
  <si>
    <t>Richard Barus (Penilai), Firdaus Giting &amp; Fajar Hariyadi Tambunan (Pelaksana Inspeksi)</t>
  </si>
  <si>
    <t>T 8912 HI
T3871OG</t>
  </si>
  <si>
    <t>2022
2022
2022</t>
  </si>
  <si>
    <t>Daihatsu Grand Max/ S402RP-PMRFJJ KJ
Motor Roda Tiga
Yamaha/B6h A/T</t>
  </si>
  <si>
    <t>Daihatsu Grand Max/S402RP-PMRFJJ KJ</t>
  </si>
  <si>
    <t>Ibu Monalisa (08127809941)</t>
  </si>
  <si>
    <t>Bapak Rahmat (087870581705)</t>
  </si>
  <si>
    <t>Bapak Rafa (087773690340)</t>
  </si>
  <si>
    <t>Laporan Tahun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</si>
</sst>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21]dd\ mmmm\ yyyy;@"/>
    <numFmt numFmtId="165" formatCode="[$-409]d\-mmm\-yy;@"/>
    <numFmt numFmtId="166" formatCode="_-[$Rp-421]* #,##0_-;\-[$Rp-421]* #,##0_-;_-[$Rp-421]* &quot;-&quot;_-;_-@_-"/>
    <numFmt numFmtId="167" formatCode="_-[$Rp-421]* #,##0.00_-;\-[$Rp-421]* #,##0.00_-;_-[$Rp-421]* &quot;-&quot;??_-;_-@_-"/>
    <numFmt numFmtId="168" formatCode="#,##0;[Red]#,##0"/>
    <numFmt numFmtId="169" formatCode="_([$USD]\ * #,##0_);_([$USD]\ * \(#,##0\);_([$USD]\ * &quot;-&quot;_);_(@_)"/>
    <numFmt numFmtId="170" formatCode="[$Rp-421]#,##0.00"/>
    <numFmt numFmtId="171" formatCode="_-[$Rp-421]* #,##0.0_-;\-[$Rp-421]* #,##0.0_-;_-[$Rp-421]* &quot;-&quot;?_-;_-@_-"/>
    <numFmt numFmtId="172" formatCode="_([$$-409]* #,##0_);_([$$-409]* \(#,##0\);_([$$-409]* &quot;-&quot;_);_(@_)"/>
  </numFmts>
  <fonts count="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b/>
      <sz val="10"/>
      <color indexed="8"/>
      <name val="Arial Narrow"/>
      <family val="2"/>
    </font>
    <font>
      <b/>
      <sz val="10"/>
      <color theme="1"/>
      <name val="Arial Narrow"/>
      <family val="2"/>
    </font>
    <font>
      <sz val="20"/>
      <color theme="1"/>
      <name val="Calibri"/>
      <family val="2"/>
      <scheme val="minor"/>
    </font>
    <font>
      <u/>
      <sz val="11"/>
      <color theme="10"/>
      <name val="Calibri"/>
      <family val="2"/>
      <scheme val="minor"/>
    </font>
  </fonts>
  <fills count="8">
    <fill>
      <patternFill patternType="none"/>
    </fill>
    <fill>
      <patternFill patternType="gray125"/>
    </fill>
    <fill>
      <patternFill patternType="solid">
        <fgColor indexed="13"/>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499984740745262"/>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4">
    <xf numFmtId="0" fontId="0" fillId="0" borderId="0"/>
    <xf numFmtId="43" fontId="3" fillId="0" borderId="0" applyFont="0" applyFill="0" applyBorder="0" applyAlignment="0" applyProtection="0"/>
    <xf numFmtId="0" fontId="3" fillId="0" borderId="0"/>
    <xf numFmtId="0" fontId="7" fillId="0" borderId="0" applyNumberFormat="0" applyFill="0" applyBorder="0" applyAlignment="0" applyProtection="0"/>
  </cellStyleXfs>
  <cellXfs count="106">
    <xf numFmtId="0" fontId="0" fillId="0" borderId="0" xfId="0"/>
    <xf numFmtId="43" fontId="4" fillId="2" borderId="1" xfId="1" applyFont="1" applyFill="1" applyBorder="1" applyAlignment="1">
      <alignment horizontal="center" vertical="center" wrapText="1"/>
    </xf>
    <xf numFmtId="14" fontId="4" fillId="2" borderId="1" xfId="1"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49" fontId="4" fillId="2" borderId="1" xfId="2" applyNumberFormat="1" applyFont="1" applyFill="1" applyBorder="1" applyAlignment="1">
      <alignment horizontal="center" vertical="center" wrapText="1"/>
    </xf>
    <xf numFmtId="164" fontId="4" fillId="2" borderId="1" xfId="2" applyNumberFormat="1" applyFont="1" applyFill="1" applyBorder="1" applyAlignment="1">
      <alignment horizontal="center" vertical="center" wrapText="1"/>
    </xf>
    <xf numFmtId="165" fontId="4" fillId="2" borderId="1" xfId="2" applyNumberFormat="1" applyFont="1" applyFill="1" applyBorder="1" applyAlignment="1">
      <alignment horizontal="center" vertical="center" wrapText="1"/>
    </xf>
    <xf numFmtId="165" fontId="4" fillId="2" borderId="5" xfId="2" applyNumberFormat="1" applyFont="1" applyFill="1" applyBorder="1" applyAlignment="1">
      <alignment horizontal="center" vertical="center" wrapText="1"/>
    </xf>
    <xf numFmtId="165" fontId="4" fillId="2" borderId="2" xfId="2" applyNumberFormat="1" applyFont="1" applyFill="1" applyBorder="1" applyAlignment="1">
      <alignment horizontal="center" vertical="center" wrapText="1"/>
    </xf>
    <xf numFmtId="165" fontId="4" fillId="2" borderId="4" xfId="2" applyNumberFormat="1" applyFont="1" applyFill="1" applyBorder="1" applyAlignment="1">
      <alignment horizontal="center" vertical="center" wrapText="1"/>
    </xf>
    <xf numFmtId="165" fontId="4" fillId="2" borderId="3" xfId="2" applyNumberFormat="1" applyFont="1" applyFill="1" applyBorder="1" applyAlignment="1">
      <alignment horizontal="center" vertical="center" wrapText="1"/>
    </xf>
    <xf numFmtId="166" fontId="4" fillId="2" borderId="1" xfId="2" applyNumberFormat="1" applyFont="1" applyFill="1" applyBorder="1" applyAlignment="1">
      <alignment horizontal="center" vertical="center" wrapText="1"/>
    </xf>
    <xf numFmtId="166" fontId="4" fillId="2" borderId="4" xfId="2" applyNumberFormat="1" applyFont="1" applyFill="1" applyBorder="1" applyAlignment="1">
      <alignment horizontal="center" vertical="center" wrapText="1"/>
    </xf>
    <xf numFmtId="43" fontId="4" fillId="2" borderId="6" xfId="1" applyFont="1" applyFill="1" applyBorder="1" applyAlignment="1">
      <alignment horizontal="center" vertical="center" wrapText="1"/>
    </xf>
    <xf numFmtId="14" fontId="4" fillId="2" borderId="6" xfId="1" applyNumberFormat="1"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3" borderId="5"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0" fillId="5" borderId="5" xfId="0" applyFill="1" applyBorder="1" applyAlignment="1">
      <alignment horizontal="center" vertical="center" wrapText="1"/>
    </xf>
    <xf numFmtId="49" fontId="4" fillId="2" borderId="6" xfId="2" applyNumberFormat="1" applyFont="1" applyFill="1" applyBorder="1" applyAlignment="1">
      <alignment horizontal="center" vertical="center" wrapText="1"/>
    </xf>
    <xf numFmtId="164" fontId="4" fillId="2" borderId="6" xfId="2" applyNumberFormat="1" applyFont="1" applyFill="1" applyBorder="1" applyAlignment="1">
      <alignment horizontal="center" vertical="center" wrapText="1"/>
    </xf>
    <xf numFmtId="165" fontId="4" fillId="2" borderId="6" xfId="2" applyNumberFormat="1" applyFont="1" applyFill="1" applyBorder="1" applyAlignment="1">
      <alignment horizontal="center" vertical="center" wrapText="1"/>
    </xf>
    <xf numFmtId="0" fontId="5" fillId="5" borderId="5" xfId="0" applyFont="1" applyFill="1" applyBorder="1" applyAlignment="1">
      <alignment horizontal="center" vertical="center"/>
    </xf>
    <xf numFmtId="166" fontId="4" fillId="2" borderId="5" xfId="2" applyNumberFormat="1" applyFont="1" applyFill="1" applyBorder="1" applyAlignment="1">
      <alignment horizontal="center" vertical="center" wrapText="1"/>
    </xf>
    <xf numFmtId="167" fontId="4" fillId="2" borderId="5" xfId="2" applyNumberFormat="1" applyFont="1" applyFill="1" applyBorder="1" applyAlignment="1">
      <alignment horizontal="center" vertical="center" wrapText="1"/>
    </xf>
    <xf numFmtId="166" fontId="4" fillId="2" borderId="6" xfId="2" applyNumberFormat="1" applyFont="1" applyFill="1" applyBorder="1" applyAlignment="1">
      <alignment horizontal="center" vertical="center" wrapText="1"/>
    </xf>
    <xf numFmtId="0" fontId="0" fillId="0" borderId="5" xfId="0" applyBorder="1" applyAlignment="1">
      <alignment horizontal="center" vertical="center" wrapText="1"/>
    </xf>
    <xf numFmtId="3" fontId="0" fillId="6" borderId="5" xfId="0" applyNumberFormat="1" applyFill="1" applyBorder="1" applyAlignment="1">
      <alignment horizontal="center" vertical="center" wrapText="1"/>
    </xf>
    <xf numFmtId="166" fontId="0" fillId="6" borderId="5" xfId="0" applyNumberFormat="1" applyFill="1" applyBorder="1" applyAlignment="1">
      <alignment horizontal="center" vertical="center" wrapText="1"/>
    </xf>
    <xf numFmtId="164" fontId="0" fillId="0" borderId="5" xfId="0" applyNumberFormat="1" applyBorder="1" applyAlignment="1">
      <alignment horizontal="center" vertical="center" wrapText="1"/>
    </xf>
    <xf numFmtId="166" fontId="0" fillId="0" borderId="5" xfId="0" applyNumberFormat="1" applyBorder="1" applyAlignment="1">
      <alignment horizontal="center" vertical="center" wrapText="1"/>
    </xf>
    <xf numFmtId="3" fontId="0" fillId="0" borderId="5" xfId="0" applyNumberFormat="1" applyBorder="1" applyAlignment="1">
      <alignment horizontal="center" vertical="center" wrapText="1"/>
    </xf>
    <xf numFmtId="168" fontId="0" fillId="0" borderId="5" xfId="0" applyNumberFormat="1" applyBorder="1" applyAlignment="1">
      <alignment horizontal="center" vertical="center" wrapText="1"/>
    </xf>
    <xf numFmtId="0" fontId="1" fillId="0" borderId="5" xfId="0" applyFont="1" applyBorder="1" applyAlignment="1">
      <alignment horizontal="center" vertical="center" wrapText="1"/>
    </xf>
    <xf numFmtId="164" fontId="1" fillId="0" borderId="5" xfId="0" applyNumberFormat="1" applyFont="1" applyBorder="1" applyAlignment="1">
      <alignment horizontal="center" vertical="center" wrapText="1"/>
    </xf>
    <xf numFmtId="3" fontId="1" fillId="0" borderId="5" xfId="0" applyNumberFormat="1" applyFont="1" applyBorder="1" applyAlignment="1">
      <alignment horizontal="center" vertical="center" wrapText="1"/>
    </xf>
    <xf numFmtId="166" fontId="1" fillId="0" borderId="5" xfId="0" applyNumberFormat="1" applyFont="1" applyBorder="1" applyAlignment="1">
      <alignment horizontal="center" vertical="center" wrapText="1"/>
    </xf>
    <xf numFmtId="168" fontId="1" fillId="0" borderId="5" xfId="0" applyNumberFormat="1" applyFont="1" applyBorder="1" applyAlignment="1">
      <alignment horizontal="center" vertical="center" wrapText="1"/>
    </xf>
    <xf numFmtId="0" fontId="2" fillId="7" borderId="5" xfId="0" applyFont="1" applyFill="1" applyBorder="1" applyAlignment="1">
      <alignment horizontal="center" vertical="center" wrapText="1"/>
    </xf>
    <xf numFmtId="0" fontId="0" fillId="7" borderId="5" xfId="0" applyFill="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xf>
    <xf numFmtId="167" fontId="0" fillId="0" borderId="5" xfId="0" applyNumberFormat="1" applyBorder="1" applyAlignment="1">
      <alignment horizontal="center" vertical="center" wrapText="1"/>
    </xf>
    <xf numFmtId="0" fontId="0" fillId="0" borderId="5" xfId="0" applyBorder="1" applyAlignment="1">
      <alignment horizontal="center" vertical="center"/>
    </xf>
    <xf numFmtId="166" fontId="0" fillId="0" borderId="5" xfId="0" applyNumberFormat="1" applyBorder="1" applyAlignment="1">
      <alignment horizontal="center" vertical="center"/>
    </xf>
    <xf numFmtId="0" fontId="1" fillId="0" borderId="0" xfId="0" applyFont="1" applyAlignment="1">
      <alignment horizontal="center" vertical="center"/>
    </xf>
    <xf numFmtId="166" fontId="0" fillId="0" borderId="0" xfId="0" applyNumberFormat="1" applyAlignment="1">
      <alignment horizontal="center" vertical="center"/>
    </xf>
    <xf numFmtId="166" fontId="0" fillId="0" borderId="1"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6" xfId="0" applyNumberFormat="1" applyBorder="1" applyAlignment="1">
      <alignment horizontal="center" vertical="center" wrapText="1"/>
    </xf>
    <xf numFmtId="0" fontId="0" fillId="0" borderId="1" xfId="0" applyBorder="1" applyAlignment="1">
      <alignment horizontal="center" vertical="center" wrapText="1"/>
    </xf>
    <xf numFmtId="3" fontId="0" fillId="0" borderId="5" xfId="0" applyNumberFormat="1" applyBorder="1" applyAlignment="1">
      <alignment horizontal="center" vertical="center"/>
    </xf>
    <xf numFmtId="168" fontId="0" fillId="0" borderId="5" xfId="0" applyNumberFormat="1" applyBorder="1" applyAlignment="1">
      <alignment horizontal="center" vertical="center"/>
    </xf>
    <xf numFmtId="0" fontId="0" fillId="0" borderId="8" xfId="0" applyBorder="1" applyAlignment="1">
      <alignment horizontal="center" vertical="center" wrapText="1"/>
    </xf>
    <xf numFmtId="0" fontId="0" fillId="0" borderId="6" xfId="0" applyBorder="1" applyAlignment="1">
      <alignment horizontal="center" vertical="center" wrapText="1"/>
    </xf>
    <xf numFmtId="167" fontId="0" fillId="0" borderId="5" xfId="0" applyNumberFormat="1" applyBorder="1" applyAlignment="1">
      <alignment horizontal="center" vertical="center"/>
    </xf>
    <xf numFmtId="166" fontId="0" fillId="0" borderId="1" xfId="0" applyNumberFormat="1" applyBorder="1" applyAlignment="1">
      <alignment horizontal="center" vertical="center" wrapText="1"/>
    </xf>
    <xf numFmtId="166" fontId="0" fillId="0" borderId="8" xfId="0" applyNumberFormat="1" applyBorder="1" applyAlignment="1">
      <alignment horizontal="center" vertical="center" wrapText="1"/>
    </xf>
    <xf numFmtId="166" fontId="0" fillId="0" borderId="6" xfId="0" applyNumberForma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0" fontId="7" fillId="0" borderId="5" xfId="3" applyBorder="1" applyAlignment="1">
      <alignment horizontal="center" vertical="center" wrapText="1"/>
    </xf>
    <xf numFmtId="169" fontId="0" fillId="0" borderId="5"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0" fillId="0" borderId="8" xfId="0" applyNumberFormat="1" applyBorder="1" applyAlignment="1">
      <alignment horizontal="center" vertical="center" wrapText="1"/>
    </xf>
    <xf numFmtId="164" fontId="0" fillId="0" borderId="6" xfId="0" applyNumberFormat="1" applyBorder="1" applyAlignment="1">
      <alignment horizontal="center" vertical="center" wrapText="1"/>
    </xf>
    <xf numFmtId="170" fontId="0" fillId="0" borderId="5" xfId="0" applyNumberFormat="1" applyBorder="1" applyAlignment="1">
      <alignment horizontal="center" vertical="center" wrapText="1"/>
    </xf>
    <xf numFmtId="171" fontId="0" fillId="0" borderId="5" xfId="0" applyNumberFormat="1" applyBorder="1" applyAlignment="1">
      <alignment horizontal="center" vertical="center" wrapText="1"/>
    </xf>
    <xf numFmtId="172" fontId="0" fillId="0" borderId="5" xfId="0" applyNumberFormat="1" applyBorder="1" applyAlignment="1">
      <alignment horizontal="center" vertical="center" wrapText="1"/>
    </xf>
    <xf numFmtId="168" fontId="0" fillId="0" borderId="0" xfId="0" applyNumberFormat="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wrapText="1"/>
    </xf>
    <xf numFmtId="0" fontId="0" fillId="0" borderId="8" xfId="0" applyBorder="1" applyAlignment="1">
      <alignmen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164" fontId="0" fillId="0" borderId="1" xfId="0" applyNumberFormat="1" applyBorder="1" applyAlignment="1">
      <alignment horizontal="center" vertical="center"/>
    </xf>
    <xf numFmtId="164" fontId="0" fillId="0" borderId="8" xfId="0" applyNumberFormat="1" applyBorder="1" applyAlignment="1">
      <alignment horizontal="center" vertical="center"/>
    </xf>
    <xf numFmtId="164" fontId="0" fillId="0" borderId="5" xfId="0" applyNumberFormat="1" applyBorder="1" applyAlignment="1">
      <alignment horizontal="center" vertical="center"/>
    </xf>
    <xf numFmtId="0" fontId="0" fillId="0" borderId="5" xfId="0" applyBorder="1" applyAlignment="1">
      <alignment vertical="center" wrapText="1"/>
    </xf>
    <xf numFmtId="164" fontId="0" fillId="0" borderId="5" xfId="0" applyNumberFormat="1" applyBorder="1" applyAlignment="1">
      <alignment vertical="center" wrapText="1"/>
    </xf>
    <xf numFmtId="166" fontId="1" fillId="6" borderId="5" xfId="0" applyNumberFormat="1" applyFont="1" applyFill="1" applyBorder="1" applyAlignment="1">
      <alignment horizontal="center" vertical="center" wrapText="1"/>
    </xf>
    <xf numFmtId="172" fontId="0" fillId="6" borderId="5" xfId="0" applyNumberFormat="1" applyFill="1" applyBorder="1" applyAlignment="1">
      <alignment horizontal="center" vertical="center" wrapText="1"/>
    </xf>
    <xf numFmtId="3" fontId="0" fillId="0" borderId="1" xfId="0" applyNumberFormat="1" applyBorder="1" applyAlignment="1">
      <alignment horizontal="center" vertical="center" wrapText="1"/>
    </xf>
    <xf numFmtId="166" fontId="0" fillId="6" borderId="1" xfId="0" applyNumberFormat="1" applyFill="1" applyBorder="1" applyAlignment="1">
      <alignment horizontal="center" vertical="center" wrapText="1"/>
    </xf>
    <xf numFmtId="168" fontId="0" fillId="0" borderId="1" xfId="0" applyNumberFormat="1" applyBorder="1" applyAlignment="1">
      <alignment horizontal="center" vertical="center" wrapText="1"/>
    </xf>
    <xf numFmtId="3" fontId="0" fillId="0" borderId="6" xfId="0" applyNumberFormat="1" applyBorder="1" applyAlignment="1">
      <alignment horizontal="center" vertical="center" wrapText="1"/>
    </xf>
    <xf numFmtId="166" fontId="0" fillId="6" borderId="6" xfId="0" applyNumberFormat="1" applyFill="1" applyBorder="1" applyAlignment="1">
      <alignment horizontal="center" vertical="center" wrapText="1"/>
    </xf>
    <xf numFmtId="168" fontId="0" fillId="0" borderId="6" xfId="0" applyNumberFormat="1" applyBorder="1" applyAlignment="1">
      <alignment horizontal="center" vertical="center" wrapText="1"/>
    </xf>
    <xf numFmtId="3" fontId="0" fillId="0" borderId="8" xfId="0" applyNumberFormat="1" applyBorder="1" applyAlignment="1">
      <alignment horizontal="center" vertical="center" wrapText="1"/>
    </xf>
    <xf numFmtId="166" fontId="0" fillId="6" borderId="8" xfId="0" applyNumberFormat="1" applyFill="1" applyBorder="1" applyAlignment="1">
      <alignment horizontal="center" vertical="center" wrapText="1"/>
    </xf>
    <xf numFmtId="168" fontId="0" fillId="0" borderId="8" xfId="0" applyNumberFormat="1" applyBorder="1" applyAlignment="1">
      <alignment horizontal="center" vertical="center" wrapText="1"/>
    </xf>
    <xf numFmtId="166" fontId="0" fillId="0" borderId="5" xfId="0" applyNumberFormat="1" applyBorder="1" applyAlignment="1">
      <alignment vertical="center" wrapText="1"/>
    </xf>
    <xf numFmtId="166" fontId="0" fillId="6" borderId="5" xfId="0" applyNumberFormat="1" applyFill="1" applyBorder="1" applyAlignment="1">
      <alignment vertical="center" wrapText="1"/>
    </xf>
    <xf numFmtId="164" fontId="0" fillId="0" borderId="6" xfId="0" applyNumberFormat="1" applyBorder="1" applyAlignment="1">
      <alignment horizontal="center" vertical="center"/>
    </xf>
    <xf numFmtId="3" fontId="0" fillId="0" borderId="1" xfId="0" applyNumberFormat="1" applyBorder="1" applyAlignment="1">
      <alignment vertical="center" wrapText="1"/>
    </xf>
    <xf numFmtId="166" fontId="0" fillId="0" borderId="1" xfId="0" applyNumberFormat="1" applyBorder="1" applyAlignment="1">
      <alignment vertical="center" wrapText="1"/>
    </xf>
    <xf numFmtId="3" fontId="0" fillId="0" borderId="1" xfId="0" applyNumberFormat="1" applyBorder="1" applyAlignment="1">
      <alignment horizontal="center" vertical="center" wrapText="1"/>
    </xf>
    <xf numFmtId="172" fontId="0" fillId="0" borderId="1" xfId="0" applyNumberFormat="1" applyBorder="1" applyAlignment="1">
      <alignment horizontal="center" vertical="center" wrapText="1"/>
    </xf>
    <xf numFmtId="172" fontId="0" fillId="6" borderId="1" xfId="0" applyNumberFormat="1" applyFill="1" applyBorder="1" applyAlignment="1">
      <alignment horizontal="center" vertical="center" wrapText="1"/>
    </xf>
    <xf numFmtId="172" fontId="0" fillId="0" borderId="6" xfId="0" applyNumberFormat="1" applyBorder="1" applyAlignment="1">
      <alignment horizontal="center" vertical="center" wrapText="1"/>
    </xf>
    <xf numFmtId="172" fontId="0" fillId="6" borderId="6" xfId="0" applyNumberFormat="1" applyFill="1" applyBorder="1" applyAlignment="1">
      <alignment horizontal="center" vertical="center" wrapText="1"/>
    </xf>
    <xf numFmtId="3" fontId="1" fillId="6" borderId="5" xfId="0" applyNumberFormat="1" applyFont="1" applyFill="1" applyBorder="1" applyAlignment="1">
      <alignment horizontal="center" vertical="center" wrapText="1"/>
    </xf>
  </cellXfs>
  <cellStyles count="4">
    <cellStyle name="Comma 5" xfId="1" xr:uid="{7E1BD77A-378B-4B27-86E2-7C379A72B1B9}"/>
    <cellStyle name="Hyperlink" xfId="3" builtinId="8"/>
    <cellStyle name="Normal" xfId="0" builtinId="0"/>
    <cellStyle name="Normal 4" xfId="2" xr:uid="{54D36589-5259-4599-AA83-7A2E6F408E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autisnp.com/ta" TargetMode="External"/><Relationship Id="rId2" Type="http://schemas.openxmlformats.org/officeDocument/2006/relationships/hyperlink" Target="mailto:james.jayson@clarksons.com" TargetMode="External"/><Relationship Id="rId1" Type="http://schemas.openxmlformats.org/officeDocument/2006/relationships/hyperlink" Target="mailto:james.Jayson@clarkso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AF89-2BC4-48AC-9F06-95D0F0EA8648}">
  <dimension ref="A1:CL382"/>
  <sheetViews>
    <sheetView tabSelected="1" workbookViewId="0">
      <selection sqref="A1:M2"/>
    </sheetView>
  </sheetViews>
  <sheetFormatPr defaultColWidth="15.28515625" defaultRowHeight="15" x14ac:dyDescent="0.25"/>
  <cols>
    <col min="1" max="1" width="7.42578125" customWidth="1"/>
  </cols>
  <sheetData>
    <row r="1" spans="1:90" x14ac:dyDescent="0.25">
      <c r="A1" s="44" t="s">
        <v>3167</v>
      </c>
      <c r="B1" s="44"/>
      <c r="C1" s="44"/>
      <c r="D1" s="44"/>
      <c r="E1" s="44"/>
      <c r="F1" s="44"/>
      <c r="G1" s="44"/>
      <c r="H1" s="44"/>
      <c r="I1" s="44"/>
      <c r="J1" s="44"/>
      <c r="K1" s="44"/>
      <c r="L1" s="44"/>
      <c r="M1" s="44"/>
    </row>
    <row r="2" spans="1:90" x14ac:dyDescent="0.25">
      <c r="A2" s="45"/>
      <c r="B2" s="45"/>
      <c r="C2" s="45"/>
      <c r="D2" s="45"/>
      <c r="E2" s="45"/>
      <c r="F2" s="45"/>
      <c r="G2" s="45"/>
      <c r="H2" s="45"/>
      <c r="I2" s="45"/>
      <c r="J2" s="45"/>
      <c r="K2" s="45"/>
      <c r="L2" s="45"/>
      <c r="M2" s="45"/>
    </row>
    <row r="3" spans="1:90" x14ac:dyDescent="0.25">
      <c r="A3" s="1" t="s">
        <v>0</v>
      </c>
      <c r="B3" s="1" t="s">
        <v>1</v>
      </c>
      <c r="C3" s="1" t="s">
        <v>2</v>
      </c>
      <c r="D3" s="2" t="s">
        <v>3</v>
      </c>
      <c r="E3" s="1" t="s">
        <v>4</v>
      </c>
      <c r="F3" s="3" t="s">
        <v>5</v>
      </c>
      <c r="G3" s="4" t="s">
        <v>6</v>
      </c>
      <c r="H3" s="5"/>
      <c r="I3" s="4" t="s">
        <v>7</v>
      </c>
      <c r="J3" s="6"/>
      <c r="K3" s="6"/>
      <c r="L3" s="6"/>
      <c r="M3" s="6"/>
      <c r="N3" s="6"/>
      <c r="O3" s="6"/>
      <c r="P3" s="5"/>
      <c r="Q3" s="4" t="s">
        <v>8</v>
      </c>
      <c r="R3" s="6"/>
      <c r="S3" s="6"/>
      <c r="T3" s="6"/>
      <c r="U3" s="6"/>
      <c r="V3" s="6"/>
      <c r="W3" s="5"/>
      <c r="X3" s="7" t="s">
        <v>9</v>
      </c>
      <c r="Y3" s="7" t="s">
        <v>10</v>
      </c>
      <c r="Z3" s="8" t="s">
        <v>11</v>
      </c>
      <c r="AA3" s="8" t="s">
        <v>12</v>
      </c>
      <c r="AB3" s="9" t="s">
        <v>13</v>
      </c>
      <c r="AC3" s="10"/>
      <c r="AD3" s="10"/>
      <c r="AE3" s="10"/>
      <c r="AF3" s="10"/>
      <c r="AG3" s="10"/>
      <c r="AH3" s="10"/>
      <c r="AI3" s="10"/>
      <c r="AJ3" s="11" t="s">
        <v>14</v>
      </c>
      <c r="AK3" s="12"/>
      <c r="AL3" s="12"/>
      <c r="AM3" s="12"/>
      <c r="AN3" s="13"/>
      <c r="AO3" s="14" t="s">
        <v>15</v>
      </c>
      <c r="AP3" s="11" t="s">
        <v>16</v>
      </c>
      <c r="AQ3" s="12"/>
      <c r="AR3" s="12"/>
      <c r="AS3" s="12"/>
      <c r="AT3" s="12"/>
      <c r="AU3" s="12"/>
      <c r="AV3" s="12"/>
      <c r="AW3" s="15"/>
      <c r="AX3" s="12"/>
      <c r="AY3" s="12"/>
      <c r="AZ3" s="15"/>
      <c r="BA3" s="15"/>
      <c r="BB3" s="12"/>
      <c r="BC3" s="13"/>
      <c r="BD3" s="11" t="s">
        <v>17</v>
      </c>
      <c r="BE3" s="12"/>
      <c r="BF3" s="12"/>
      <c r="BG3" s="12"/>
      <c r="BH3" s="12"/>
      <c r="BI3" s="12"/>
      <c r="BJ3" s="12"/>
      <c r="BK3" s="12"/>
      <c r="BL3" s="12"/>
      <c r="BM3" s="12"/>
      <c r="BN3" s="12"/>
      <c r="BO3" s="12"/>
      <c r="BP3" s="12"/>
      <c r="BQ3" s="13"/>
      <c r="BR3" s="11" t="s">
        <v>18</v>
      </c>
      <c r="BS3" s="12"/>
      <c r="BT3" s="12"/>
      <c r="BU3" s="12"/>
      <c r="BV3" s="12"/>
      <c r="BW3" s="12"/>
      <c r="BX3" s="12"/>
      <c r="BY3" s="12"/>
      <c r="BZ3" s="12"/>
      <c r="CA3" s="12"/>
      <c r="CB3" s="12"/>
      <c r="CC3" s="12"/>
      <c r="CD3" s="12"/>
      <c r="CE3" s="13"/>
      <c r="CF3" s="7" t="s">
        <v>19</v>
      </c>
      <c r="CG3" s="7" t="s">
        <v>20</v>
      </c>
      <c r="CH3" s="7" t="s">
        <v>21</v>
      </c>
    </row>
    <row r="4" spans="1:90" ht="45" x14ac:dyDescent="0.25">
      <c r="A4" s="16"/>
      <c r="B4" s="16"/>
      <c r="C4" s="16"/>
      <c r="D4" s="17"/>
      <c r="E4" s="16"/>
      <c r="F4" s="18"/>
      <c r="G4" s="19" t="s">
        <v>0</v>
      </c>
      <c r="H4" s="19" t="s">
        <v>22</v>
      </c>
      <c r="I4" s="20" t="s">
        <v>23</v>
      </c>
      <c r="J4" s="20" t="s">
        <v>24</v>
      </c>
      <c r="K4" s="19" t="s">
        <v>25</v>
      </c>
      <c r="L4" s="19" t="s">
        <v>26</v>
      </c>
      <c r="M4" s="19" t="s">
        <v>27</v>
      </c>
      <c r="N4" s="19" t="s">
        <v>28</v>
      </c>
      <c r="O4" s="21" t="s">
        <v>29</v>
      </c>
      <c r="P4" s="21" t="s">
        <v>24</v>
      </c>
      <c r="Q4" s="22" t="s">
        <v>30</v>
      </c>
      <c r="R4" s="22" t="s">
        <v>31</v>
      </c>
      <c r="S4" s="22" t="s">
        <v>32</v>
      </c>
      <c r="T4" s="22" t="s">
        <v>33</v>
      </c>
      <c r="U4" s="22" t="s">
        <v>34</v>
      </c>
      <c r="V4" s="22" t="s">
        <v>35</v>
      </c>
      <c r="W4" s="22" t="s">
        <v>36</v>
      </c>
      <c r="X4" s="23"/>
      <c r="Y4" s="23"/>
      <c r="Z4" s="24"/>
      <c r="AA4" s="24"/>
      <c r="AB4" s="25"/>
      <c r="AC4" s="10" t="s">
        <v>37</v>
      </c>
      <c r="AD4" s="10" t="s">
        <v>38</v>
      </c>
      <c r="AE4" s="10" t="s">
        <v>39</v>
      </c>
      <c r="AF4" s="10" t="s">
        <v>40</v>
      </c>
      <c r="AG4" s="26" t="s">
        <v>41</v>
      </c>
      <c r="AH4" s="10" t="s">
        <v>42</v>
      </c>
      <c r="AI4" s="10" t="s">
        <v>43</v>
      </c>
      <c r="AJ4" s="10" t="s">
        <v>44</v>
      </c>
      <c r="AK4" s="27" t="s">
        <v>45</v>
      </c>
      <c r="AL4" s="10" t="s">
        <v>46</v>
      </c>
      <c r="AM4" s="28" t="s">
        <v>47</v>
      </c>
      <c r="AN4" s="10" t="s">
        <v>48</v>
      </c>
      <c r="AO4" s="29"/>
      <c r="AP4" s="10" t="s">
        <v>49</v>
      </c>
      <c r="AQ4" s="10" t="s">
        <v>50</v>
      </c>
      <c r="AR4" s="10" t="s">
        <v>51</v>
      </c>
      <c r="AS4" s="10" t="s">
        <v>52</v>
      </c>
      <c r="AT4" s="10" t="s">
        <v>53</v>
      </c>
      <c r="AU4" s="10" t="s">
        <v>38</v>
      </c>
      <c r="AV4" s="10" t="s">
        <v>54</v>
      </c>
      <c r="AW4" s="28" t="s">
        <v>55</v>
      </c>
      <c r="AX4" s="10" t="s">
        <v>56</v>
      </c>
      <c r="AY4" s="10" t="s">
        <v>57</v>
      </c>
      <c r="AZ4" s="28" t="s">
        <v>58</v>
      </c>
      <c r="BA4" s="28" t="s">
        <v>59</v>
      </c>
      <c r="BB4" s="10" t="s">
        <v>60</v>
      </c>
      <c r="BC4" s="10" t="s">
        <v>61</v>
      </c>
      <c r="BD4" s="10" t="s">
        <v>49</v>
      </c>
      <c r="BE4" s="10" t="s">
        <v>50</v>
      </c>
      <c r="BF4" s="10" t="s">
        <v>62</v>
      </c>
      <c r="BG4" s="10" t="s">
        <v>52</v>
      </c>
      <c r="BH4" s="10" t="s">
        <v>63</v>
      </c>
      <c r="BI4" s="10" t="s">
        <v>64</v>
      </c>
      <c r="BJ4" s="10" t="s">
        <v>65</v>
      </c>
      <c r="BK4" s="28" t="s">
        <v>66</v>
      </c>
      <c r="BL4" s="10" t="s">
        <v>56</v>
      </c>
      <c r="BM4" s="10" t="s">
        <v>67</v>
      </c>
      <c r="BN4" s="28" t="s">
        <v>58</v>
      </c>
      <c r="BO4" s="28" t="s">
        <v>59</v>
      </c>
      <c r="BP4" s="10" t="s">
        <v>60</v>
      </c>
      <c r="BQ4" s="10" t="s">
        <v>61</v>
      </c>
      <c r="BR4" s="10" t="s">
        <v>49</v>
      </c>
      <c r="BS4" s="10" t="s">
        <v>50</v>
      </c>
      <c r="BT4" s="10" t="s">
        <v>62</v>
      </c>
      <c r="BU4" s="10" t="s">
        <v>68</v>
      </c>
      <c r="BV4" s="10" t="s">
        <v>53</v>
      </c>
      <c r="BW4" s="10" t="s">
        <v>38</v>
      </c>
      <c r="BX4" s="10" t="s">
        <v>69</v>
      </c>
      <c r="BY4" s="28" t="s">
        <v>55</v>
      </c>
      <c r="BZ4" s="10" t="s">
        <v>56</v>
      </c>
      <c r="CA4" s="10" t="s">
        <v>57</v>
      </c>
      <c r="CB4" s="28" t="s">
        <v>58</v>
      </c>
      <c r="CC4" s="28" t="s">
        <v>59</v>
      </c>
      <c r="CD4" s="10" t="s">
        <v>60</v>
      </c>
      <c r="CE4" s="10" t="s">
        <v>61</v>
      </c>
      <c r="CF4" s="23"/>
      <c r="CG4" s="23"/>
      <c r="CH4" s="23"/>
    </row>
    <row r="5" spans="1:90" ht="300" x14ac:dyDescent="0.25">
      <c r="A5" s="30">
        <v>1</v>
      </c>
      <c r="B5" s="30" t="s">
        <v>364</v>
      </c>
      <c r="C5" s="30" t="s">
        <v>365</v>
      </c>
      <c r="D5" s="33">
        <v>45295</v>
      </c>
      <c r="E5" s="30" t="s">
        <v>366</v>
      </c>
      <c r="F5" s="30" t="s">
        <v>367</v>
      </c>
      <c r="G5" s="30"/>
      <c r="H5" s="30" t="s">
        <v>130</v>
      </c>
      <c r="I5" s="35"/>
      <c r="J5" s="30"/>
      <c r="K5" s="35"/>
      <c r="L5" s="35"/>
      <c r="M5" s="30" t="s">
        <v>368</v>
      </c>
      <c r="N5" s="30"/>
      <c r="O5" s="30">
        <v>1</v>
      </c>
      <c r="P5" s="30" t="s">
        <v>140</v>
      </c>
      <c r="Q5" s="30"/>
      <c r="R5" s="30" t="s">
        <v>369</v>
      </c>
      <c r="S5" s="30" t="s">
        <v>370</v>
      </c>
      <c r="T5" s="30" t="s">
        <v>371</v>
      </c>
      <c r="U5" s="30" t="s">
        <v>372</v>
      </c>
      <c r="V5" s="30" t="s">
        <v>172</v>
      </c>
      <c r="W5" s="30" t="s">
        <v>72</v>
      </c>
      <c r="X5" s="30" t="s">
        <v>85</v>
      </c>
      <c r="Y5" s="30" t="s">
        <v>73</v>
      </c>
      <c r="Z5" s="33">
        <v>45271</v>
      </c>
      <c r="AA5" s="33">
        <v>45271</v>
      </c>
      <c r="AB5" s="30" t="s">
        <v>90</v>
      </c>
      <c r="AC5" s="30" t="s">
        <v>373</v>
      </c>
      <c r="AD5" s="30"/>
      <c r="AE5" s="30" t="s">
        <v>374</v>
      </c>
      <c r="AF5" s="30"/>
      <c r="AG5" s="30"/>
      <c r="AH5" s="30"/>
      <c r="AI5" s="30"/>
      <c r="AJ5" s="31">
        <f t="shared" ref="AJ5:AJ68" si="0">I5</f>
        <v>0</v>
      </c>
      <c r="AK5" s="34"/>
      <c r="AL5" s="31">
        <f t="shared" ref="AL5:AL68" si="1">K5</f>
        <v>0</v>
      </c>
      <c r="AM5" s="34"/>
      <c r="AN5" s="34">
        <v>710830000</v>
      </c>
      <c r="AO5" s="51">
        <f>AN5+AN6+AN7</f>
        <v>1851400000</v>
      </c>
      <c r="AP5" s="30" t="s">
        <v>276</v>
      </c>
      <c r="AQ5" s="30" t="s">
        <v>130</v>
      </c>
      <c r="AR5" s="30"/>
      <c r="AS5" s="30"/>
      <c r="AT5" s="30" t="s">
        <v>375</v>
      </c>
      <c r="AU5" s="30">
        <v>2019</v>
      </c>
      <c r="AV5" s="35"/>
      <c r="AW5" s="34"/>
      <c r="AX5" s="35"/>
      <c r="AY5" s="34"/>
      <c r="AZ5" s="34">
        <v>565000000</v>
      </c>
      <c r="BA5" s="32">
        <f t="shared" ref="BA5:BA68" si="2">AV5*AW5</f>
        <v>0</v>
      </c>
      <c r="BB5" s="30" t="s">
        <v>376</v>
      </c>
      <c r="BC5" s="30" t="s">
        <v>81</v>
      </c>
      <c r="BD5" s="30" t="s">
        <v>276</v>
      </c>
      <c r="BE5" s="30" t="s">
        <v>130</v>
      </c>
      <c r="BF5" s="30"/>
      <c r="BG5" s="30"/>
      <c r="BH5" s="30" t="s">
        <v>375</v>
      </c>
      <c r="BI5" s="30">
        <v>2019</v>
      </c>
      <c r="BJ5" s="36"/>
      <c r="BK5" s="34"/>
      <c r="BL5" s="36"/>
      <c r="BM5" s="34"/>
      <c r="BN5" s="34">
        <v>535000000</v>
      </c>
      <c r="BO5" s="32">
        <f t="shared" ref="BO5:BO68" si="3">BJ5*BK5</f>
        <v>0</v>
      </c>
      <c r="BP5" s="30" t="s">
        <v>377</v>
      </c>
      <c r="BQ5" s="30" t="s">
        <v>81</v>
      </c>
      <c r="BR5" s="30" t="s">
        <v>331</v>
      </c>
      <c r="BS5" s="30" t="s">
        <v>130</v>
      </c>
      <c r="BT5" s="30"/>
      <c r="BU5" s="30"/>
      <c r="BV5" s="30" t="s">
        <v>375</v>
      </c>
      <c r="BW5" s="30">
        <v>2019</v>
      </c>
      <c r="BX5" s="36"/>
      <c r="BY5" s="34"/>
      <c r="BZ5" s="36"/>
      <c r="CA5" s="34"/>
      <c r="CB5" s="34">
        <v>558000000</v>
      </c>
      <c r="CC5" s="32">
        <f t="shared" ref="CC5:CC68" si="4">BX5*BY5</f>
        <v>0</v>
      </c>
      <c r="CD5" s="30" t="s">
        <v>378</v>
      </c>
      <c r="CE5" s="30" t="s">
        <v>81</v>
      </c>
      <c r="CF5" s="30" t="s">
        <v>379</v>
      </c>
      <c r="CG5" s="30"/>
      <c r="CH5" s="30"/>
      <c r="CI5" s="64"/>
      <c r="CJ5" s="64"/>
      <c r="CK5" s="64"/>
      <c r="CL5" s="64"/>
    </row>
    <row r="6" spans="1:90" ht="105" customHeight="1" x14ac:dyDescent="0.25">
      <c r="A6" s="30">
        <v>2</v>
      </c>
      <c r="B6" s="30" t="s">
        <v>364</v>
      </c>
      <c r="C6" s="30" t="s">
        <v>365</v>
      </c>
      <c r="D6" s="33">
        <v>45295</v>
      </c>
      <c r="E6" s="30" t="s">
        <v>367</v>
      </c>
      <c r="F6" s="30" t="s">
        <v>367</v>
      </c>
      <c r="G6" s="30"/>
      <c r="H6" s="30" t="s">
        <v>130</v>
      </c>
      <c r="I6" s="35"/>
      <c r="J6" s="30"/>
      <c r="K6" s="35"/>
      <c r="L6" s="35"/>
      <c r="M6" s="30" t="s">
        <v>380</v>
      </c>
      <c r="N6" s="30"/>
      <c r="O6" s="30">
        <v>1</v>
      </c>
      <c r="P6" s="30" t="s">
        <v>140</v>
      </c>
      <c r="Q6" s="30"/>
      <c r="R6" s="30" t="s">
        <v>369</v>
      </c>
      <c r="S6" s="30" t="s">
        <v>370</v>
      </c>
      <c r="T6" s="30" t="s">
        <v>371</v>
      </c>
      <c r="U6" s="30" t="s">
        <v>372</v>
      </c>
      <c r="V6" s="30" t="s">
        <v>172</v>
      </c>
      <c r="W6" s="30" t="s">
        <v>72</v>
      </c>
      <c r="X6" s="30" t="s">
        <v>85</v>
      </c>
      <c r="Y6" s="30" t="s">
        <v>73</v>
      </c>
      <c r="Z6" s="33">
        <v>45271</v>
      </c>
      <c r="AA6" s="33">
        <v>45271</v>
      </c>
      <c r="AB6" s="30" t="s">
        <v>90</v>
      </c>
      <c r="AC6" s="30" t="s">
        <v>381</v>
      </c>
      <c r="AD6" s="30"/>
      <c r="AE6" s="30" t="s">
        <v>374</v>
      </c>
      <c r="AF6" s="30"/>
      <c r="AG6" s="30"/>
      <c r="AH6" s="30"/>
      <c r="AI6" s="30"/>
      <c r="AJ6" s="31">
        <f t="shared" si="0"/>
        <v>0</v>
      </c>
      <c r="AK6" s="34"/>
      <c r="AL6" s="31">
        <f t="shared" si="1"/>
        <v>0</v>
      </c>
      <c r="AM6" s="34"/>
      <c r="AN6" s="34">
        <v>773790000</v>
      </c>
      <c r="AO6" s="52"/>
      <c r="AP6" s="30" t="s">
        <v>276</v>
      </c>
      <c r="AQ6" s="30" t="s">
        <v>130</v>
      </c>
      <c r="AR6" s="30"/>
      <c r="AS6" s="30"/>
      <c r="AT6" s="30" t="s">
        <v>375</v>
      </c>
      <c r="AU6" s="30">
        <v>2019</v>
      </c>
      <c r="AV6" s="35"/>
      <c r="AW6" s="34"/>
      <c r="AX6" s="35"/>
      <c r="AY6" s="34"/>
      <c r="AZ6" s="34">
        <v>565000000</v>
      </c>
      <c r="BA6" s="32">
        <f t="shared" si="2"/>
        <v>0</v>
      </c>
      <c r="BB6" s="30" t="s">
        <v>376</v>
      </c>
      <c r="BC6" s="30" t="s">
        <v>81</v>
      </c>
      <c r="BD6" s="30" t="s">
        <v>276</v>
      </c>
      <c r="BE6" s="30" t="s">
        <v>130</v>
      </c>
      <c r="BF6" s="30"/>
      <c r="BG6" s="30"/>
      <c r="BH6" s="30" t="s">
        <v>375</v>
      </c>
      <c r="BI6" s="30">
        <v>2019</v>
      </c>
      <c r="BJ6" s="36"/>
      <c r="BK6" s="34"/>
      <c r="BL6" s="36"/>
      <c r="BM6" s="34"/>
      <c r="BN6" s="34">
        <v>535000000</v>
      </c>
      <c r="BO6" s="32">
        <f t="shared" si="3"/>
        <v>0</v>
      </c>
      <c r="BP6" s="30" t="s">
        <v>377</v>
      </c>
      <c r="BQ6" s="30" t="s">
        <v>81</v>
      </c>
      <c r="BR6" s="30" t="s">
        <v>331</v>
      </c>
      <c r="BS6" s="30" t="s">
        <v>130</v>
      </c>
      <c r="BT6" s="30"/>
      <c r="BU6" s="30"/>
      <c r="BV6" s="30" t="s">
        <v>375</v>
      </c>
      <c r="BW6" s="30">
        <v>2019</v>
      </c>
      <c r="BX6" s="36"/>
      <c r="BY6" s="34"/>
      <c r="BZ6" s="36"/>
      <c r="CA6" s="34"/>
      <c r="CB6" s="34">
        <v>558000000</v>
      </c>
      <c r="CC6" s="32">
        <f t="shared" si="4"/>
        <v>0</v>
      </c>
      <c r="CD6" s="30" t="s">
        <v>378</v>
      </c>
      <c r="CE6" s="30" t="s">
        <v>81</v>
      </c>
      <c r="CF6" s="30" t="s">
        <v>379</v>
      </c>
      <c r="CG6" s="30"/>
      <c r="CH6" s="30"/>
      <c r="CI6" s="64"/>
      <c r="CJ6" s="64"/>
      <c r="CK6" s="64"/>
      <c r="CL6" s="64"/>
    </row>
    <row r="7" spans="1:90" ht="105" customHeight="1" x14ac:dyDescent="0.25">
      <c r="A7" s="30">
        <v>3</v>
      </c>
      <c r="B7" s="30" t="s">
        <v>364</v>
      </c>
      <c r="C7" s="30" t="s">
        <v>365</v>
      </c>
      <c r="D7" s="33">
        <v>45295</v>
      </c>
      <c r="E7" s="30" t="s">
        <v>367</v>
      </c>
      <c r="F7" s="30" t="s">
        <v>367</v>
      </c>
      <c r="G7" s="30"/>
      <c r="H7" s="30" t="s">
        <v>130</v>
      </c>
      <c r="I7" s="35"/>
      <c r="J7" s="30"/>
      <c r="K7" s="35"/>
      <c r="L7" s="35"/>
      <c r="M7" s="30" t="s">
        <v>382</v>
      </c>
      <c r="N7" s="30"/>
      <c r="O7" s="30">
        <v>1</v>
      </c>
      <c r="P7" s="30" t="s">
        <v>140</v>
      </c>
      <c r="Q7" s="30"/>
      <c r="R7" s="30" t="s">
        <v>369</v>
      </c>
      <c r="S7" s="30" t="s">
        <v>370</v>
      </c>
      <c r="T7" s="30" t="s">
        <v>371</v>
      </c>
      <c r="U7" s="30" t="s">
        <v>372</v>
      </c>
      <c r="V7" s="30" t="s">
        <v>172</v>
      </c>
      <c r="W7" s="30" t="s">
        <v>72</v>
      </c>
      <c r="X7" s="30" t="s">
        <v>85</v>
      </c>
      <c r="Y7" s="30" t="s">
        <v>73</v>
      </c>
      <c r="Z7" s="33">
        <v>45271</v>
      </c>
      <c r="AA7" s="33">
        <v>45271</v>
      </c>
      <c r="AB7" s="30" t="s">
        <v>90</v>
      </c>
      <c r="AC7" s="30" t="s">
        <v>383</v>
      </c>
      <c r="AD7" s="30"/>
      <c r="AE7" s="30"/>
      <c r="AF7" s="30"/>
      <c r="AG7" s="30"/>
      <c r="AH7" s="30"/>
      <c r="AI7" s="30"/>
      <c r="AJ7" s="31">
        <f t="shared" si="0"/>
        <v>0</v>
      </c>
      <c r="AK7" s="34"/>
      <c r="AL7" s="31">
        <f t="shared" si="1"/>
        <v>0</v>
      </c>
      <c r="AM7" s="34"/>
      <c r="AN7" s="34">
        <v>366780000</v>
      </c>
      <c r="AO7" s="53"/>
      <c r="AP7" s="30"/>
      <c r="AQ7" s="30"/>
      <c r="AR7" s="30"/>
      <c r="AS7" s="30"/>
      <c r="AT7" s="30"/>
      <c r="AU7" s="30"/>
      <c r="AV7" s="35"/>
      <c r="AW7" s="34"/>
      <c r="AX7" s="35"/>
      <c r="AY7" s="34"/>
      <c r="AZ7" s="34"/>
      <c r="BA7" s="32">
        <f t="shared" si="2"/>
        <v>0</v>
      </c>
      <c r="BB7" s="30"/>
      <c r="BC7" s="30"/>
      <c r="BD7" s="30"/>
      <c r="BE7" s="30"/>
      <c r="BF7" s="30"/>
      <c r="BG7" s="30"/>
      <c r="BH7" s="30"/>
      <c r="BI7" s="30"/>
      <c r="BJ7" s="36"/>
      <c r="BK7" s="34"/>
      <c r="BL7" s="36"/>
      <c r="BM7" s="34"/>
      <c r="BN7" s="34"/>
      <c r="BO7" s="32">
        <f t="shared" si="3"/>
        <v>0</v>
      </c>
      <c r="BP7" s="30"/>
      <c r="BQ7" s="30"/>
      <c r="BR7" s="30"/>
      <c r="BS7" s="30"/>
      <c r="BT7" s="30"/>
      <c r="BU7" s="30"/>
      <c r="BV7" s="30"/>
      <c r="BW7" s="30"/>
      <c r="BX7" s="36"/>
      <c r="BY7" s="34"/>
      <c r="BZ7" s="36"/>
      <c r="CA7" s="34"/>
      <c r="CB7" s="34"/>
      <c r="CC7" s="32">
        <f t="shared" si="4"/>
        <v>0</v>
      </c>
      <c r="CD7" s="30"/>
      <c r="CE7" s="30"/>
      <c r="CF7" s="30" t="s">
        <v>379</v>
      </c>
      <c r="CG7" s="30"/>
      <c r="CH7" s="30"/>
      <c r="CI7" s="64"/>
      <c r="CJ7" s="64"/>
      <c r="CK7" s="64"/>
      <c r="CL7" s="64"/>
    </row>
    <row r="8" spans="1:90" ht="105" customHeight="1" x14ac:dyDescent="0.25">
      <c r="A8" s="30">
        <v>4</v>
      </c>
      <c r="B8" s="30" t="s">
        <v>384</v>
      </c>
      <c r="C8" s="30" t="s">
        <v>385</v>
      </c>
      <c r="D8" s="33">
        <v>45295</v>
      </c>
      <c r="E8" s="30" t="s">
        <v>386</v>
      </c>
      <c r="F8" s="30" t="s">
        <v>332</v>
      </c>
      <c r="G8" s="30"/>
      <c r="H8" s="30" t="s">
        <v>387</v>
      </c>
      <c r="I8" s="35"/>
      <c r="J8" s="30"/>
      <c r="K8" s="35">
        <v>1048</v>
      </c>
      <c r="L8" s="35"/>
      <c r="M8" s="30" t="s">
        <v>388</v>
      </c>
      <c r="N8" s="30"/>
      <c r="O8" s="30"/>
      <c r="P8" s="30"/>
      <c r="Q8" s="30"/>
      <c r="R8" s="30" t="s">
        <v>389</v>
      </c>
      <c r="S8" s="30" t="s">
        <v>339</v>
      </c>
      <c r="T8" s="30" t="s">
        <v>390</v>
      </c>
      <c r="U8" s="30" t="s">
        <v>120</v>
      </c>
      <c r="V8" s="30" t="s">
        <v>121</v>
      </c>
      <c r="W8" s="30" t="s">
        <v>72</v>
      </c>
      <c r="X8" s="30" t="s">
        <v>85</v>
      </c>
      <c r="Y8" s="30" t="s">
        <v>73</v>
      </c>
      <c r="Z8" s="33">
        <v>45251</v>
      </c>
      <c r="AA8" s="33">
        <v>45251</v>
      </c>
      <c r="AB8" s="30" t="s">
        <v>90</v>
      </c>
      <c r="AC8" s="30"/>
      <c r="AD8" s="30"/>
      <c r="AE8" s="30"/>
      <c r="AF8" s="30"/>
      <c r="AG8" s="30"/>
      <c r="AH8" s="30"/>
      <c r="AI8" s="30"/>
      <c r="AJ8" s="31">
        <f t="shared" si="0"/>
        <v>0</v>
      </c>
      <c r="AK8" s="34"/>
      <c r="AL8" s="31">
        <f t="shared" si="1"/>
        <v>1048</v>
      </c>
      <c r="AM8" s="34">
        <f>3138100000/AL8</f>
        <v>2994370.2290076334</v>
      </c>
      <c r="AN8" s="34">
        <v>859000000</v>
      </c>
      <c r="AO8" s="51">
        <f>(AL8*AM8)+AN8+AN9+AN10</f>
        <v>75878871000</v>
      </c>
      <c r="AP8" s="30"/>
      <c r="AQ8" s="30"/>
      <c r="AR8" s="30"/>
      <c r="AS8" s="30"/>
      <c r="AT8" s="30"/>
      <c r="AU8" s="30"/>
      <c r="AV8" s="35"/>
      <c r="AW8" s="34"/>
      <c r="AX8" s="35"/>
      <c r="AY8" s="34"/>
      <c r="AZ8" s="34"/>
      <c r="BA8" s="32">
        <f t="shared" si="2"/>
        <v>0</v>
      </c>
      <c r="BB8" s="30"/>
      <c r="BC8" s="30"/>
      <c r="BD8" s="30"/>
      <c r="BE8" s="30"/>
      <c r="BF8" s="30"/>
      <c r="BG8" s="30"/>
      <c r="BH8" s="30"/>
      <c r="BI8" s="30"/>
      <c r="BJ8" s="36"/>
      <c r="BK8" s="34"/>
      <c r="BL8" s="36"/>
      <c r="BM8" s="34"/>
      <c r="BN8" s="34"/>
      <c r="BO8" s="32">
        <f t="shared" si="3"/>
        <v>0</v>
      </c>
      <c r="BP8" s="30"/>
      <c r="BQ8" s="30"/>
      <c r="BR8" s="30"/>
      <c r="BS8" s="30"/>
      <c r="BT8" s="30"/>
      <c r="BU8" s="30"/>
      <c r="BV8" s="30"/>
      <c r="BW8" s="30"/>
      <c r="BX8" s="36"/>
      <c r="BY8" s="34"/>
      <c r="BZ8" s="36"/>
      <c r="CA8" s="34"/>
      <c r="CB8" s="34"/>
      <c r="CC8" s="32">
        <f t="shared" si="4"/>
        <v>0</v>
      </c>
      <c r="CD8" s="30"/>
      <c r="CE8" s="30"/>
      <c r="CF8" s="30"/>
      <c r="CG8" s="30"/>
      <c r="CH8" s="30"/>
      <c r="CI8" s="64"/>
      <c r="CJ8" s="64"/>
      <c r="CK8" s="64"/>
      <c r="CL8" s="64"/>
    </row>
    <row r="9" spans="1:90" ht="105" customHeight="1" x14ac:dyDescent="0.25">
      <c r="A9" s="30">
        <v>5</v>
      </c>
      <c r="B9" s="30" t="s">
        <v>384</v>
      </c>
      <c r="C9" s="30" t="s">
        <v>385</v>
      </c>
      <c r="D9" s="33">
        <v>45295</v>
      </c>
      <c r="E9" s="30" t="s">
        <v>386</v>
      </c>
      <c r="F9" s="30" t="s">
        <v>332</v>
      </c>
      <c r="G9" s="30"/>
      <c r="H9" s="30" t="s">
        <v>221</v>
      </c>
      <c r="I9" s="35"/>
      <c r="J9" s="30"/>
      <c r="K9" s="35"/>
      <c r="L9" s="35"/>
      <c r="M9" s="30" t="s">
        <v>391</v>
      </c>
      <c r="N9" s="30"/>
      <c r="O9" s="30">
        <v>1</v>
      </c>
      <c r="P9" s="30" t="s">
        <v>392</v>
      </c>
      <c r="Q9" s="30"/>
      <c r="R9" s="30"/>
      <c r="S9" s="30"/>
      <c r="T9" s="30"/>
      <c r="U9" s="30"/>
      <c r="V9" s="30"/>
      <c r="W9" s="30"/>
      <c r="X9" s="30"/>
      <c r="Y9" s="30"/>
      <c r="Z9" s="33"/>
      <c r="AA9" s="33"/>
      <c r="AB9" s="30" t="s">
        <v>90</v>
      </c>
      <c r="AC9" s="30"/>
      <c r="AD9" s="30"/>
      <c r="AE9" s="30"/>
      <c r="AF9" s="30"/>
      <c r="AG9" s="30"/>
      <c r="AH9" s="30"/>
      <c r="AI9" s="30"/>
      <c r="AJ9" s="31">
        <f t="shared" si="0"/>
        <v>0</v>
      </c>
      <c r="AK9" s="34"/>
      <c r="AL9" s="31">
        <f t="shared" si="1"/>
        <v>0</v>
      </c>
      <c r="AM9" s="34"/>
      <c r="AN9" s="34">
        <v>33748550000</v>
      </c>
      <c r="AO9" s="52"/>
      <c r="AP9" s="30"/>
      <c r="AQ9" s="30"/>
      <c r="AR9" s="30"/>
      <c r="AS9" s="30"/>
      <c r="AT9" s="30"/>
      <c r="AU9" s="30"/>
      <c r="AV9" s="35"/>
      <c r="AW9" s="34"/>
      <c r="AX9" s="35"/>
      <c r="AY9" s="34"/>
      <c r="AZ9" s="34"/>
      <c r="BA9" s="32">
        <f t="shared" si="2"/>
        <v>0</v>
      </c>
      <c r="BB9" s="30"/>
      <c r="BC9" s="30"/>
      <c r="BD9" s="30"/>
      <c r="BE9" s="30"/>
      <c r="BF9" s="30"/>
      <c r="BG9" s="30"/>
      <c r="BH9" s="30"/>
      <c r="BI9" s="30"/>
      <c r="BJ9" s="36"/>
      <c r="BK9" s="34"/>
      <c r="BL9" s="36"/>
      <c r="BM9" s="34"/>
      <c r="BN9" s="34"/>
      <c r="BO9" s="32">
        <f t="shared" si="3"/>
        <v>0</v>
      </c>
      <c r="BP9" s="30"/>
      <c r="BQ9" s="30"/>
      <c r="BR9" s="30"/>
      <c r="BS9" s="30"/>
      <c r="BT9" s="30"/>
      <c r="BU9" s="30"/>
      <c r="BV9" s="30"/>
      <c r="BW9" s="30"/>
      <c r="BX9" s="36"/>
      <c r="BY9" s="34"/>
      <c r="BZ9" s="36"/>
      <c r="CA9" s="34"/>
      <c r="CB9" s="34"/>
      <c r="CC9" s="32">
        <f t="shared" si="4"/>
        <v>0</v>
      </c>
      <c r="CD9" s="30"/>
      <c r="CE9" s="30"/>
      <c r="CF9" s="30"/>
      <c r="CG9" s="30"/>
      <c r="CH9" s="30"/>
      <c r="CI9" s="64"/>
      <c r="CJ9" s="64"/>
      <c r="CK9" s="64"/>
      <c r="CL9" s="64"/>
    </row>
    <row r="10" spans="1:90" ht="45" x14ac:dyDescent="0.25">
      <c r="A10" s="30">
        <v>6</v>
      </c>
      <c r="B10" s="30" t="s">
        <v>384</v>
      </c>
      <c r="C10" s="30" t="s">
        <v>385</v>
      </c>
      <c r="D10" s="33">
        <v>45295</v>
      </c>
      <c r="E10" s="30" t="s">
        <v>386</v>
      </c>
      <c r="F10" s="30" t="s">
        <v>332</v>
      </c>
      <c r="G10" s="30"/>
      <c r="H10" s="30" t="s">
        <v>333</v>
      </c>
      <c r="I10" s="35"/>
      <c r="J10" s="30"/>
      <c r="K10" s="35"/>
      <c r="L10" s="35"/>
      <c r="M10" s="30" t="s">
        <v>393</v>
      </c>
      <c r="N10" s="30"/>
      <c r="O10" s="30"/>
      <c r="P10" s="30"/>
      <c r="Q10" s="30"/>
      <c r="R10" s="30"/>
      <c r="S10" s="30"/>
      <c r="T10" s="30"/>
      <c r="U10" s="30"/>
      <c r="V10" s="30"/>
      <c r="W10" s="30"/>
      <c r="X10" s="30"/>
      <c r="Y10" s="30"/>
      <c r="Z10" s="33"/>
      <c r="AA10" s="33"/>
      <c r="AB10" s="30" t="s">
        <v>90</v>
      </c>
      <c r="AC10" s="30"/>
      <c r="AD10" s="30"/>
      <c r="AE10" s="30"/>
      <c r="AF10" s="30"/>
      <c r="AG10" s="30"/>
      <c r="AH10" s="30"/>
      <c r="AI10" s="30"/>
      <c r="AJ10" s="31">
        <f t="shared" si="0"/>
        <v>0</v>
      </c>
      <c r="AK10" s="34"/>
      <c r="AL10" s="31">
        <f t="shared" si="1"/>
        <v>0</v>
      </c>
      <c r="AM10" s="34"/>
      <c r="AN10" s="34">
        <v>38133221000</v>
      </c>
      <c r="AO10" s="53"/>
      <c r="AP10" s="30"/>
      <c r="AQ10" s="30"/>
      <c r="AR10" s="30"/>
      <c r="AS10" s="30"/>
      <c r="AT10" s="30"/>
      <c r="AU10" s="30"/>
      <c r="AV10" s="35"/>
      <c r="AW10" s="34"/>
      <c r="AX10" s="35"/>
      <c r="AY10" s="34"/>
      <c r="AZ10" s="34"/>
      <c r="BA10" s="32">
        <f t="shared" si="2"/>
        <v>0</v>
      </c>
      <c r="BB10" s="30"/>
      <c r="BC10" s="30"/>
      <c r="BD10" s="30"/>
      <c r="BE10" s="30"/>
      <c r="BF10" s="30"/>
      <c r="BG10" s="30"/>
      <c r="BH10" s="30"/>
      <c r="BI10" s="30"/>
      <c r="BJ10" s="36"/>
      <c r="BK10" s="34"/>
      <c r="BL10" s="36"/>
      <c r="BM10" s="34"/>
      <c r="BN10" s="34"/>
      <c r="BO10" s="32">
        <f t="shared" si="3"/>
        <v>0</v>
      </c>
      <c r="BP10" s="30"/>
      <c r="BQ10" s="30"/>
      <c r="BR10" s="30"/>
      <c r="BS10" s="30"/>
      <c r="BT10" s="30"/>
      <c r="BU10" s="30"/>
      <c r="BV10" s="30"/>
      <c r="BW10" s="30"/>
      <c r="BX10" s="36"/>
      <c r="BY10" s="34"/>
      <c r="BZ10" s="36"/>
      <c r="CA10" s="34"/>
      <c r="CB10" s="34"/>
      <c r="CC10" s="32">
        <f t="shared" si="4"/>
        <v>0</v>
      </c>
      <c r="CD10" s="30"/>
      <c r="CE10" s="30"/>
      <c r="CF10" s="30"/>
      <c r="CG10" s="30"/>
      <c r="CH10" s="30"/>
      <c r="CI10" s="64"/>
      <c r="CJ10" s="64"/>
      <c r="CK10" s="64"/>
      <c r="CL10" s="64"/>
    </row>
    <row r="11" spans="1:90" ht="90" x14ac:dyDescent="0.25">
      <c r="A11" s="30">
        <v>7</v>
      </c>
      <c r="B11" s="30" t="s">
        <v>394</v>
      </c>
      <c r="C11" s="30" t="s">
        <v>395</v>
      </c>
      <c r="D11" s="33">
        <v>45299</v>
      </c>
      <c r="E11" s="30" t="s">
        <v>396</v>
      </c>
      <c r="F11" s="30" t="s">
        <v>396</v>
      </c>
      <c r="G11" s="30"/>
      <c r="H11" s="30" t="s">
        <v>360</v>
      </c>
      <c r="I11" s="35">
        <v>3787</v>
      </c>
      <c r="J11" s="30" t="s">
        <v>70</v>
      </c>
      <c r="K11" s="35">
        <v>2568</v>
      </c>
      <c r="L11" s="35"/>
      <c r="M11" s="30" t="s">
        <v>397</v>
      </c>
      <c r="N11" s="30"/>
      <c r="O11" s="30"/>
      <c r="P11" s="30"/>
      <c r="Q11" s="30"/>
      <c r="R11" s="30" t="s">
        <v>398</v>
      </c>
      <c r="S11" s="30" t="s">
        <v>399</v>
      </c>
      <c r="T11" s="30" t="s">
        <v>400</v>
      </c>
      <c r="U11" s="30" t="s">
        <v>287</v>
      </c>
      <c r="V11" s="30" t="s">
        <v>288</v>
      </c>
      <c r="W11" s="30" t="s">
        <v>72</v>
      </c>
      <c r="X11" s="30" t="s">
        <v>142</v>
      </c>
      <c r="Y11" s="30" t="s">
        <v>89</v>
      </c>
      <c r="Z11" s="33">
        <v>45295</v>
      </c>
      <c r="AA11" s="33">
        <v>45291</v>
      </c>
      <c r="AB11" s="30" t="s">
        <v>90</v>
      </c>
      <c r="AC11" s="30"/>
      <c r="AD11" s="30"/>
      <c r="AE11" s="30"/>
      <c r="AF11" s="30"/>
      <c r="AG11" s="30"/>
      <c r="AH11" s="30"/>
      <c r="AI11" s="30"/>
      <c r="AJ11" s="31">
        <f t="shared" si="0"/>
        <v>3787</v>
      </c>
      <c r="AK11" s="34">
        <f>2650900000/AJ11</f>
        <v>700000</v>
      </c>
      <c r="AL11" s="31">
        <f t="shared" si="1"/>
        <v>2568</v>
      </c>
      <c r="AM11" s="34">
        <f>4621600000/AL11</f>
        <v>1799688.4735202491</v>
      </c>
      <c r="AN11" s="34">
        <v>136100000</v>
      </c>
      <c r="AO11" s="34">
        <f>(AJ11*AK11)+(AL11*AM11)+AN11</f>
        <v>7408600000</v>
      </c>
      <c r="AP11" s="30" t="s">
        <v>401</v>
      </c>
      <c r="AQ11" s="30" t="s">
        <v>77</v>
      </c>
      <c r="AR11" s="30"/>
      <c r="AS11" s="30"/>
      <c r="AT11" s="30"/>
      <c r="AU11" s="30"/>
      <c r="AV11" s="35">
        <v>10000</v>
      </c>
      <c r="AW11" s="34">
        <v>500000</v>
      </c>
      <c r="AX11" s="35"/>
      <c r="AY11" s="34"/>
      <c r="AZ11" s="34">
        <v>5500000000</v>
      </c>
      <c r="BA11" s="32">
        <f t="shared" si="2"/>
        <v>5000000000</v>
      </c>
      <c r="BB11" s="30" t="s">
        <v>402</v>
      </c>
      <c r="BC11" s="30" t="s">
        <v>81</v>
      </c>
      <c r="BD11" s="30" t="s">
        <v>401</v>
      </c>
      <c r="BE11" s="30" t="s">
        <v>77</v>
      </c>
      <c r="BF11" s="30"/>
      <c r="BG11" s="30"/>
      <c r="BH11" s="30"/>
      <c r="BI11" s="30"/>
      <c r="BJ11" s="36">
        <v>3299</v>
      </c>
      <c r="BK11" s="34">
        <v>740000</v>
      </c>
      <c r="BL11" s="36"/>
      <c r="BM11" s="34"/>
      <c r="BN11" s="34">
        <v>2969100000</v>
      </c>
      <c r="BO11" s="32">
        <f t="shared" si="3"/>
        <v>2441260000</v>
      </c>
      <c r="BP11" s="30" t="s">
        <v>403</v>
      </c>
      <c r="BQ11" s="30" t="s">
        <v>81</v>
      </c>
      <c r="BR11" s="30" t="s">
        <v>404</v>
      </c>
      <c r="BS11" s="30" t="s">
        <v>77</v>
      </c>
      <c r="BT11" s="30"/>
      <c r="BU11" s="30"/>
      <c r="BV11" s="30"/>
      <c r="BW11" s="30"/>
      <c r="BX11" s="36">
        <v>1125</v>
      </c>
      <c r="BY11" s="34">
        <v>900000</v>
      </c>
      <c r="BZ11" s="36"/>
      <c r="CA11" s="34"/>
      <c r="CB11" s="34">
        <v>1293750000</v>
      </c>
      <c r="CC11" s="32">
        <f t="shared" si="4"/>
        <v>1012500000</v>
      </c>
      <c r="CD11" s="30" t="s">
        <v>405</v>
      </c>
      <c r="CE11" s="30" t="s">
        <v>81</v>
      </c>
      <c r="CF11" s="30" t="s">
        <v>196</v>
      </c>
      <c r="CG11" s="30"/>
      <c r="CH11" s="30"/>
      <c r="CI11" s="64"/>
      <c r="CJ11" s="64"/>
      <c r="CK11" s="64"/>
      <c r="CL11" s="64"/>
    </row>
    <row r="12" spans="1:90" ht="105" customHeight="1" x14ac:dyDescent="0.25">
      <c r="A12" s="30">
        <v>8</v>
      </c>
      <c r="B12" s="30" t="s">
        <v>394</v>
      </c>
      <c r="C12" s="30" t="s">
        <v>406</v>
      </c>
      <c r="D12" s="33">
        <v>45299</v>
      </c>
      <c r="E12" s="30" t="s">
        <v>396</v>
      </c>
      <c r="F12" s="30" t="s">
        <v>396</v>
      </c>
      <c r="G12" s="30"/>
      <c r="H12" s="30" t="s">
        <v>407</v>
      </c>
      <c r="I12" s="35">
        <v>2772</v>
      </c>
      <c r="J12" s="30" t="s">
        <v>70</v>
      </c>
      <c r="K12" s="35">
        <v>2722</v>
      </c>
      <c r="L12" s="35"/>
      <c r="M12" s="30"/>
      <c r="N12" s="30"/>
      <c r="O12" s="30"/>
      <c r="P12" s="30"/>
      <c r="Q12" s="30" t="s">
        <v>408</v>
      </c>
      <c r="R12" s="30" t="s">
        <v>409</v>
      </c>
      <c r="S12" s="30" t="s">
        <v>410</v>
      </c>
      <c r="T12" s="30" t="s">
        <v>201</v>
      </c>
      <c r="U12" s="30" t="s">
        <v>103</v>
      </c>
      <c r="V12" s="30" t="s">
        <v>84</v>
      </c>
      <c r="W12" s="30" t="s">
        <v>72</v>
      </c>
      <c r="X12" s="30" t="s">
        <v>142</v>
      </c>
      <c r="Y12" s="30" t="s">
        <v>89</v>
      </c>
      <c r="Z12" s="33">
        <v>45295</v>
      </c>
      <c r="AA12" s="33">
        <v>45291</v>
      </c>
      <c r="AB12" s="30" t="s">
        <v>90</v>
      </c>
      <c r="AC12" s="30"/>
      <c r="AD12" s="30"/>
      <c r="AE12" s="30"/>
      <c r="AF12" s="30"/>
      <c r="AG12" s="30"/>
      <c r="AH12" s="30"/>
      <c r="AI12" s="30"/>
      <c r="AJ12" s="31">
        <f t="shared" si="0"/>
        <v>2772</v>
      </c>
      <c r="AK12" s="34"/>
      <c r="AL12" s="31">
        <f t="shared" si="1"/>
        <v>2722</v>
      </c>
      <c r="AM12" s="34">
        <f>163320000000/AL12</f>
        <v>60000000</v>
      </c>
      <c r="AN12" s="34"/>
      <c r="AO12" s="34">
        <v>163320000000</v>
      </c>
      <c r="AP12" s="30" t="s">
        <v>411</v>
      </c>
      <c r="AQ12" s="30" t="s">
        <v>412</v>
      </c>
      <c r="AR12" s="30"/>
      <c r="AS12" s="30"/>
      <c r="AT12" s="30"/>
      <c r="AU12" s="30"/>
      <c r="AV12" s="35">
        <v>2722</v>
      </c>
      <c r="AW12" s="34">
        <v>60000000</v>
      </c>
      <c r="AX12" s="35"/>
      <c r="AY12" s="34"/>
      <c r="AZ12" s="34">
        <v>176930000000</v>
      </c>
      <c r="BA12" s="32">
        <f t="shared" si="2"/>
        <v>163320000000</v>
      </c>
      <c r="BB12" s="30" t="s">
        <v>413</v>
      </c>
      <c r="BC12" s="30" t="s">
        <v>81</v>
      </c>
      <c r="BD12" s="30" t="s">
        <v>414</v>
      </c>
      <c r="BE12" s="30" t="s">
        <v>123</v>
      </c>
      <c r="BF12" s="30"/>
      <c r="BG12" s="30"/>
      <c r="BH12" s="30"/>
      <c r="BI12" s="30"/>
      <c r="BJ12" s="36">
        <v>1495</v>
      </c>
      <c r="BK12" s="34">
        <v>63500000</v>
      </c>
      <c r="BL12" s="36"/>
      <c r="BM12" s="34"/>
      <c r="BN12" s="34">
        <v>109000000000</v>
      </c>
      <c r="BO12" s="32">
        <f t="shared" si="3"/>
        <v>94932500000</v>
      </c>
      <c r="BP12" s="30" t="s">
        <v>415</v>
      </c>
      <c r="BQ12" s="30" t="s">
        <v>81</v>
      </c>
      <c r="BR12" s="30" t="s">
        <v>416</v>
      </c>
      <c r="BS12" s="30" t="s">
        <v>123</v>
      </c>
      <c r="BT12" s="30"/>
      <c r="BU12" s="30"/>
      <c r="BV12" s="30"/>
      <c r="BW12" s="30"/>
      <c r="BX12" s="36">
        <v>1200</v>
      </c>
      <c r="BY12" s="34">
        <v>64500000</v>
      </c>
      <c r="BZ12" s="36"/>
      <c r="CA12" s="34"/>
      <c r="CB12" s="34">
        <v>96000000000</v>
      </c>
      <c r="CC12" s="32">
        <f t="shared" si="4"/>
        <v>77400000000</v>
      </c>
      <c r="CD12" s="30" t="s">
        <v>417</v>
      </c>
      <c r="CE12" s="30" t="s">
        <v>81</v>
      </c>
      <c r="CF12" s="30" t="s">
        <v>418</v>
      </c>
      <c r="CG12" s="30"/>
      <c r="CH12" s="30"/>
      <c r="CI12" s="64"/>
      <c r="CJ12" s="64"/>
      <c r="CK12" s="64"/>
      <c r="CL12" s="64"/>
    </row>
    <row r="13" spans="1:90" ht="105" customHeight="1" x14ac:dyDescent="0.25">
      <c r="A13" s="30">
        <v>9</v>
      </c>
      <c r="B13" s="30" t="s">
        <v>394</v>
      </c>
      <c r="C13" s="30" t="s">
        <v>419</v>
      </c>
      <c r="D13" s="33">
        <v>45299</v>
      </c>
      <c r="E13" s="30" t="s">
        <v>396</v>
      </c>
      <c r="F13" s="30" t="s">
        <v>396</v>
      </c>
      <c r="G13" s="30"/>
      <c r="H13" s="30" t="s">
        <v>97</v>
      </c>
      <c r="I13" s="35">
        <v>2729</v>
      </c>
      <c r="J13" s="30" t="s">
        <v>70</v>
      </c>
      <c r="K13" s="35">
        <v>181</v>
      </c>
      <c r="L13" s="35"/>
      <c r="M13" s="30" t="s">
        <v>397</v>
      </c>
      <c r="N13" s="30"/>
      <c r="O13" s="30"/>
      <c r="P13" s="30"/>
      <c r="Q13" s="30"/>
      <c r="R13" s="30" t="s">
        <v>420</v>
      </c>
      <c r="S13" s="30" t="s">
        <v>421</v>
      </c>
      <c r="T13" s="30" t="s">
        <v>422</v>
      </c>
      <c r="U13" s="30" t="s">
        <v>108</v>
      </c>
      <c r="V13" s="30" t="s">
        <v>109</v>
      </c>
      <c r="W13" s="30" t="s">
        <v>72</v>
      </c>
      <c r="X13" s="30" t="s">
        <v>142</v>
      </c>
      <c r="Y13" s="30" t="s">
        <v>89</v>
      </c>
      <c r="Z13" s="33">
        <v>45295</v>
      </c>
      <c r="AA13" s="33">
        <v>45291</v>
      </c>
      <c r="AB13" s="30" t="s">
        <v>90</v>
      </c>
      <c r="AC13" s="30"/>
      <c r="AD13" s="30"/>
      <c r="AE13" s="30"/>
      <c r="AF13" s="30"/>
      <c r="AG13" s="30"/>
      <c r="AH13" s="30"/>
      <c r="AI13" s="30"/>
      <c r="AJ13" s="31">
        <f t="shared" si="0"/>
        <v>2729</v>
      </c>
      <c r="AK13" s="34">
        <f>7368300000/AJ13</f>
        <v>2700000</v>
      </c>
      <c r="AL13" s="31">
        <f t="shared" si="1"/>
        <v>181</v>
      </c>
      <c r="AM13" s="34">
        <f>193200000/AL13</f>
        <v>1067403.3149171271</v>
      </c>
      <c r="AN13" s="34">
        <v>49540000</v>
      </c>
      <c r="AO13" s="34">
        <f>(AJ13*AK13)+(AL13*AM13)+AN13</f>
        <v>7611040000</v>
      </c>
      <c r="AP13" s="30" t="s">
        <v>423</v>
      </c>
      <c r="AQ13" s="30" t="s">
        <v>97</v>
      </c>
      <c r="AR13" s="30"/>
      <c r="AS13" s="30"/>
      <c r="AT13" s="30"/>
      <c r="AU13" s="30"/>
      <c r="AV13" s="35">
        <v>380</v>
      </c>
      <c r="AW13" s="34">
        <v>3110000</v>
      </c>
      <c r="AX13" s="35">
        <v>500</v>
      </c>
      <c r="AY13" s="34"/>
      <c r="AZ13" s="34">
        <v>3300000000</v>
      </c>
      <c r="BA13" s="32">
        <f t="shared" si="2"/>
        <v>1181800000</v>
      </c>
      <c r="BB13" s="30" t="s">
        <v>424</v>
      </c>
      <c r="BC13" s="30" t="s">
        <v>81</v>
      </c>
      <c r="BD13" s="30" t="s">
        <v>423</v>
      </c>
      <c r="BE13" s="30" t="s">
        <v>97</v>
      </c>
      <c r="BF13" s="30"/>
      <c r="BG13" s="30"/>
      <c r="BH13" s="30"/>
      <c r="BI13" s="30"/>
      <c r="BJ13" s="36">
        <v>835</v>
      </c>
      <c r="BK13" s="34">
        <v>2950168</v>
      </c>
      <c r="BL13" s="36">
        <v>900</v>
      </c>
      <c r="BM13" s="34"/>
      <c r="BN13" s="34">
        <v>7500000000</v>
      </c>
      <c r="BO13" s="32">
        <f t="shared" si="3"/>
        <v>2463390280</v>
      </c>
      <c r="BP13" s="30" t="s">
        <v>425</v>
      </c>
      <c r="BQ13" s="30" t="s">
        <v>81</v>
      </c>
      <c r="BR13" s="30" t="s">
        <v>423</v>
      </c>
      <c r="BS13" s="30" t="s">
        <v>97</v>
      </c>
      <c r="BT13" s="30"/>
      <c r="BU13" s="30"/>
      <c r="BV13" s="30"/>
      <c r="BW13" s="30"/>
      <c r="BX13" s="36">
        <v>993</v>
      </c>
      <c r="BY13" s="34">
        <v>2934751</v>
      </c>
      <c r="BZ13" s="36">
        <v>211</v>
      </c>
      <c r="CA13" s="34"/>
      <c r="CB13" s="34">
        <v>4500000000</v>
      </c>
      <c r="CC13" s="32">
        <f t="shared" si="4"/>
        <v>2914207743</v>
      </c>
      <c r="CD13" s="30" t="s">
        <v>426</v>
      </c>
      <c r="CE13" s="30" t="s">
        <v>81</v>
      </c>
      <c r="CF13" s="30" t="s">
        <v>341</v>
      </c>
      <c r="CG13" s="30"/>
      <c r="CH13" s="30"/>
      <c r="CI13" s="64"/>
      <c r="CJ13" s="64"/>
      <c r="CK13" s="64"/>
      <c r="CL13" s="64"/>
    </row>
    <row r="14" spans="1:90" ht="150" customHeight="1" x14ac:dyDescent="0.25">
      <c r="A14" s="30">
        <v>10</v>
      </c>
      <c r="B14" s="30" t="s">
        <v>427</v>
      </c>
      <c r="C14" s="30" t="s">
        <v>428</v>
      </c>
      <c r="D14" s="33">
        <v>45300</v>
      </c>
      <c r="E14" s="30" t="s">
        <v>429</v>
      </c>
      <c r="F14" s="30" t="s">
        <v>429</v>
      </c>
      <c r="G14" s="30"/>
      <c r="H14" s="30" t="s">
        <v>130</v>
      </c>
      <c r="I14" s="35"/>
      <c r="J14" s="30"/>
      <c r="K14" s="35"/>
      <c r="L14" s="35"/>
      <c r="M14" s="30"/>
      <c r="N14" s="30"/>
      <c r="O14" s="30"/>
      <c r="P14" s="30"/>
      <c r="Q14" s="30"/>
      <c r="R14" s="30" t="s">
        <v>430</v>
      </c>
      <c r="S14" s="30" t="s">
        <v>334</v>
      </c>
      <c r="T14" s="30" t="s">
        <v>335</v>
      </c>
      <c r="U14" s="30" t="s">
        <v>183</v>
      </c>
      <c r="V14" s="30" t="s">
        <v>80</v>
      </c>
      <c r="W14" s="30" t="s">
        <v>72</v>
      </c>
      <c r="X14" s="30" t="s">
        <v>131</v>
      </c>
      <c r="Y14" s="30" t="s">
        <v>73</v>
      </c>
      <c r="Z14" s="33">
        <v>45201</v>
      </c>
      <c r="AA14" s="33">
        <v>45201</v>
      </c>
      <c r="AB14" s="30" t="s">
        <v>90</v>
      </c>
      <c r="AC14" s="30" t="s">
        <v>431</v>
      </c>
      <c r="AD14" s="30"/>
      <c r="AE14" s="30" t="s">
        <v>432</v>
      </c>
      <c r="AF14" s="30"/>
      <c r="AG14" s="30"/>
      <c r="AH14" s="30"/>
      <c r="AI14" s="30"/>
      <c r="AJ14" s="31">
        <f t="shared" si="0"/>
        <v>0</v>
      </c>
      <c r="AK14" s="34"/>
      <c r="AL14" s="31">
        <f t="shared" si="1"/>
        <v>0</v>
      </c>
      <c r="AM14" s="34"/>
      <c r="AN14" s="34">
        <v>585000000</v>
      </c>
      <c r="AO14" s="51">
        <f>AN14+AN15+AN16</f>
        <v>1468020000</v>
      </c>
      <c r="AP14" s="30" t="s">
        <v>433</v>
      </c>
      <c r="AQ14" s="30" t="s">
        <v>130</v>
      </c>
      <c r="AR14" s="30"/>
      <c r="AS14" s="30"/>
      <c r="AT14" s="30" t="s">
        <v>434</v>
      </c>
      <c r="AU14" s="30">
        <v>2023</v>
      </c>
      <c r="AV14" s="35"/>
      <c r="AW14" s="34"/>
      <c r="AX14" s="35"/>
      <c r="AY14" s="34"/>
      <c r="AZ14" s="34">
        <v>890000000</v>
      </c>
      <c r="BA14" s="32">
        <f t="shared" si="2"/>
        <v>0</v>
      </c>
      <c r="BB14" s="30" t="s">
        <v>435</v>
      </c>
      <c r="BC14" s="30" t="s">
        <v>81</v>
      </c>
      <c r="BD14" s="30" t="s">
        <v>436</v>
      </c>
      <c r="BE14" s="30" t="s">
        <v>130</v>
      </c>
      <c r="BF14" s="30"/>
      <c r="BG14" s="30"/>
      <c r="BH14" s="30" t="s">
        <v>434</v>
      </c>
      <c r="BI14" s="30">
        <v>2023</v>
      </c>
      <c r="BJ14" s="36"/>
      <c r="BK14" s="34"/>
      <c r="BL14" s="36"/>
      <c r="BM14" s="34"/>
      <c r="BN14" s="34">
        <v>881000000</v>
      </c>
      <c r="BO14" s="32">
        <f t="shared" si="3"/>
        <v>0</v>
      </c>
      <c r="BP14" s="30" t="s">
        <v>437</v>
      </c>
      <c r="BQ14" s="30" t="s">
        <v>81</v>
      </c>
      <c r="BR14" s="30"/>
      <c r="BS14" s="30" t="s">
        <v>130</v>
      </c>
      <c r="BT14" s="30"/>
      <c r="BU14" s="30"/>
      <c r="BV14" s="30" t="s">
        <v>434</v>
      </c>
      <c r="BW14" s="30">
        <v>2023</v>
      </c>
      <c r="BX14" s="36"/>
      <c r="BY14" s="34"/>
      <c r="BZ14" s="36"/>
      <c r="CA14" s="34"/>
      <c r="CB14" s="34">
        <v>865000000</v>
      </c>
      <c r="CC14" s="32">
        <f t="shared" si="4"/>
        <v>0</v>
      </c>
      <c r="CD14" s="30" t="s">
        <v>438</v>
      </c>
      <c r="CE14" s="30" t="s">
        <v>81</v>
      </c>
      <c r="CF14" s="30" t="s">
        <v>439</v>
      </c>
      <c r="CG14" s="30"/>
      <c r="CH14" s="30"/>
      <c r="CI14" s="64"/>
      <c r="CJ14" s="64"/>
      <c r="CK14" s="64"/>
      <c r="CL14" s="64"/>
    </row>
    <row r="15" spans="1:90" ht="195" customHeight="1" x14ac:dyDescent="0.25">
      <c r="A15" s="30">
        <v>11</v>
      </c>
      <c r="B15" s="30" t="s">
        <v>427</v>
      </c>
      <c r="C15" s="30" t="s">
        <v>428</v>
      </c>
      <c r="D15" s="33">
        <v>45300</v>
      </c>
      <c r="E15" s="30" t="s">
        <v>429</v>
      </c>
      <c r="F15" s="30" t="s">
        <v>429</v>
      </c>
      <c r="G15" s="30"/>
      <c r="H15" s="30" t="s">
        <v>130</v>
      </c>
      <c r="I15" s="35"/>
      <c r="J15" s="30"/>
      <c r="K15" s="35"/>
      <c r="L15" s="35"/>
      <c r="M15" s="30"/>
      <c r="N15" s="30"/>
      <c r="O15" s="30"/>
      <c r="P15" s="30"/>
      <c r="Q15" s="30"/>
      <c r="R15" s="30" t="s">
        <v>430</v>
      </c>
      <c r="S15" s="30" t="s">
        <v>334</v>
      </c>
      <c r="T15" s="30" t="s">
        <v>335</v>
      </c>
      <c r="U15" s="30" t="s">
        <v>183</v>
      </c>
      <c r="V15" s="30" t="s">
        <v>80</v>
      </c>
      <c r="W15" s="30" t="s">
        <v>72</v>
      </c>
      <c r="X15" s="30" t="s">
        <v>131</v>
      </c>
      <c r="Y15" s="30" t="s">
        <v>73</v>
      </c>
      <c r="Z15" s="33">
        <v>45201</v>
      </c>
      <c r="AA15" s="33">
        <v>45201</v>
      </c>
      <c r="AB15" s="30" t="s">
        <v>90</v>
      </c>
      <c r="AC15" s="30" t="s">
        <v>440</v>
      </c>
      <c r="AD15" s="30"/>
      <c r="AE15" s="30" t="s">
        <v>441</v>
      </c>
      <c r="AF15" s="30"/>
      <c r="AG15" s="30"/>
      <c r="AH15" s="30"/>
      <c r="AI15" s="30"/>
      <c r="AJ15" s="31">
        <f t="shared" si="0"/>
        <v>0</v>
      </c>
      <c r="AK15" s="34"/>
      <c r="AL15" s="31">
        <f t="shared" si="1"/>
        <v>0</v>
      </c>
      <c r="AM15" s="34"/>
      <c r="AN15" s="34">
        <v>441510000</v>
      </c>
      <c r="AO15" s="52"/>
      <c r="AP15" s="30" t="s">
        <v>331</v>
      </c>
      <c r="AQ15" s="30" t="s">
        <v>130</v>
      </c>
      <c r="AR15" s="30"/>
      <c r="AS15" s="30"/>
      <c r="AT15" s="30" t="s">
        <v>442</v>
      </c>
      <c r="AU15" s="30">
        <v>2019</v>
      </c>
      <c r="AV15" s="35"/>
      <c r="AW15" s="34"/>
      <c r="AX15" s="35"/>
      <c r="AY15" s="34"/>
      <c r="AZ15" s="34">
        <v>625000000</v>
      </c>
      <c r="BA15" s="32">
        <f t="shared" si="2"/>
        <v>0</v>
      </c>
      <c r="BB15" s="30" t="s">
        <v>443</v>
      </c>
      <c r="BC15" s="30" t="s">
        <v>81</v>
      </c>
      <c r="BD15" s="30" t="s">
        <v>342</v>
      </c>
      <c r="BE15" s="30" t="s">
        <v>130</v>
      </c>
      <c r="BF15" s="30"/>
      <c r="BG15" s="30"/>
      <c r="BH15" s="30" t="s">
        <v>442</v>
      </c>
      <c r="BI15" s="30">
        <v>2013</v>
      </c>
      <c r="BJ15" s="36"/>
      <c r="BK15" s="34"/>
      <c r="BL15" s="36"/>
      <c r="BM15" s="34"/>
      <c r="BN15" s="34">
        <v>450000000</v>
      </c>
      <c r="BO15" s="32">
        <f t="shared" si="3"/>
        <v>0</v>
      </c>
      <c r="BP15" s="30" t="s">
        <v>444</v>
      </c>
      <c r="BQ15" s="30" t="s">
        <v>81</v>
      </c>
      <c r="BR15" s="30" t="s">
        <v>331</v>
      </c>
      <c r="BS15" s="30" t="s">
        <v>130</v>
      </c>
      <c r="BT15" s="30"/>
      <c r="BU15" s="30"/>
      <c r="BV15" s="30" t="s">
        <v>445</v>
      </c>
      <c r="BW15" s="30">
        <v>2019</v>
      </c>
      <c r="BX15" s="36"/>
      <c r="BY15" s="34"/>
      <c r="BZ15" s="36"/>
      <c r="CA15" s="34"/>
      <c r="CB15" s="34">
        <v>650000000</v>
      </c>
      <c r="CC15" s="32">
        <f t="shared" si="4"/>
        <v>0</v>
      </c>
      <c r="CD15" s="30" t="s">
        <v>446</v>
      </c>
      <c r="CE15" s="30" t="s">
        <v>81</v>
      </c>
      <c r="CF15" s="30" t="s">
        <v>439</v>
      </c>
      <c r="CG15" s="30"/>
      <c r="CH15" s="30"/>
      <c r="CI15" s="64"/>
      <c r="CJ15" s="64"/>
      <c r="CK15" s="64"/>
      <c r="CL15" s="64"/>
    </row>
    <row r="16" spans="1:90" ht="75" x14ac:dyDescent="0.25">
      <c r="A16" s="30">
        <v>12</v>
      </c>
      <c r="B16" s="30" t="s">
        <v>427</v>
      </c>
      <c r="C16" s="30" t="s">
        <v>428</v>
      </c>
      <c r="D16" s="33">
        <v>45300</v>
      </c>
      <c r="E16" s="30" t="s">
        <v>429</v>
      </c>
      <c r="F16" s="30" t="s">
        <v>429</v>
      </c>
      <c r="G16" s="30"/>
      <c r="H16" s="30" t="s">
        <v>130</v>
      </c>
      <c r="I16" s="35"/>
      <c r="J16" s="30"/>
      <c r="K16" s="35"/>
      <c r="L16" s="35"/>
      <c r="M16" s="30"/>
      <c r="N16" s="30"/>
      <c r="O16" s="30"/>
      <c r="P16" s="30"/>
      <c r="Q16" s="30"/>
      <c r="R16" s="30" t="s">
        <v>430</v>
      </c>
      <c r="S16" s="30" t="s">
        <v>334</v>
      </c>
      <c r="T16" s="30" t="s">
        <v>335</v>
      </c>
      <c r="U16" s="30" t="s">
        <v>183</v>
      </c>
      <c r="V16" s="30" t="s">
        <v>80</v>
      </c>
      <c r="W16" s="30" t="s">
        <v>72</v>
      </c>
      <c r="X16" s="30" t="s">
        <v>131</v>
      </c>
      <c r="Y16" s="30" t="s">
        <v>73</v>
      </c>
      <c r="Z16" s="33">
        <v>45201</v>
      </c>
      <c r="AA16" s="33">
        <v>45201</v>
      </c>
      <c r="AB16" s="30" t="s">
        <v>90</v>
      </c>
      <c r="AC16" s="30" t="s">
        <v>447</v>
      </c>
      <c r="AD16" s="30"/>
      <c r="AE16" s="30" t="s">
        <v>448</v>
      </c>
      <c r="AF16" s="30"/>
      <c r="AG16" s="30" t="s">
        <v>449</v>
      </c>
      <c r="AH16" s="30"/>
      <c r="AI16" s="30"/>
      <c r="AJ16" s="31">
        <f t="shared" si="0"/>
        <v>0</v>
      </c>
      <c r="AK16" s="34"/>
      <c r="AL16" s="31">
        <f t="shared" si="1"/>
        <v>0</v>
      </c>
      <c r="AM16" s="34"/>
      <c r="AN16" s="34">
        <v>441510000</v>
      </c>
      <c r="AO16" s="53"/>
      <c r="AP16" s="30" t="s">
        <v>331</v>
      </c>
      <c r="AQ16" s="30" t="s">
        <v>130</v>
      </c>
      <c r="AR16" s="30"/>
      <c r="AS16" s="30"/>
      <c r="AT16" s="30" t="s">
        <v>442</v>
      </c>
      <c r="AU16" s="30">
        <v>2019</v>
      </c>
      <c r="AV16" s="35"/>
      <c r="AW16" s="34"/>
      <c r="AX16" s="35"/>
      <c r="AY16" s="34"/>
      <c r="AZ16" s="34">
        <v>625000000</v>
      </c>
      <c r="BA16" s="32">
        <f t="shared" si="2"/>
        <v>0</v>
      </c>
      <c r="BB16" s="30" t="s">
        <v>443</v>
      </c>
      <c r="BC16" s="30" t="s">
        <v>81</v>
      </c>
      <c r="BD16" s="30" t="s">
        <v>342</v>
      </c>
      <c r="BE16" s="30" t="s">
        <v>130</v>
      </c>
      <c r="BF16" s="30"/>
      <c r="BG16" s="30"/>
      <c r="BH16" s="30" t="s">
        <v>442</v>
      </c>
      <c r="BI16" s="30">
        <v>2013</v>
      </c>
      <c r="BJ16" s="36"/>
      <c r="BK16" s="34"/>
      <c r="BL16" s="36"/>
      <c r="BM16" s="34"/>
      <c r="BN16" s="34">
        <v>450000000</v>
      </c>
      <c r="BO16" s="32">
        <f t="shared" si="3"/>
        <v>0</v>
      </c>
      <c r="BP16" s="30" t="s">
        <v>444</v>
      </c>
      <c r="BQ16" s="30" t="s">
        <v>81</v>
      </c>
      <c r="BR16" s="30" t="s">
        <v>331</v>
      </c>
      <c r="BS16" s="30" t="s">
        <v>130</v>
      </c>
      <c r="BT16" s="30"/>
      <c r="BU16" s="30"/>
      <c r="BV16" s="30" t="s">
        <v>445</v>
      </c>
      <c r="BW16" s="30">
        <v>2019</v>
      </c>
      <c r="BX16" s="36"/>
      <c r="BY16" s="34"/>
      <c r="BZ16" s="36"/>
      <c r="CA16" s="34"/>
      <c r="CB16" s="34">
        <v>650000000</v>
      </c>
      <c r="CC16" s="32">
        <f t="shared" si="4"/>
        <v>0</v>
      </c>
      <c r="CD16" s="30" t="s">
        <v>446</v>
      </c>
      <c r="CE16" s="30" t="s">
        <v>81</v>
      </c>
      <c r="CF16" s="30" t="s">
        <v>439</v>
      </c>
      <c r="CG16" s="30"/>
      <c r="CH16" s="30"/>
      <c r="CI16" s="64"/>
      <c r="CJ16" s="64"/>
      <c r="CK16" s="64"/>
      <c r="CL16" s="64"/>
    </row>
    <row r="17" spans="1:90" ht="165" customHeight="1" x14ac:dyDescent="0.25">
      <c r="A17" s="30">
        <v>13</v>
      </c>
      <c r="B17" s="30" t="s">
        <v>450</v>
      </c>
      <c r="C17" s="30" t="s">
        <v>451</v>
      </c>
      <c r="D17" s="33">
        <v>45300</v>
      </c>
      <c r="E17" s="30" t="s">
        <v>82</v>
      </c>
      <c r="F17" s="30" t="s">
        <v>82</v>
      </c>
      <c r="G17" s="30"/>
      <c r="H17" s="30" t="s">
        <v>86</v>
      </c>
      <c r="I17" s="35">
        <v>3460</v>
      </c>
      <c r="J17" s="30" t="s">
        <v>70</v>
      </c>
      <c r="K17" s="35">
        <v>1023</v>
      </c>
      <c r="L17" s="35"/>
      <c r="M17" s="30" t="s">
        <v>397</v>
      </c>
      <c r="N17" s="30"/>
      <c r="O17" s="30"/>
      <c r="P17" s="30"/>
      <c r="Q17" s="30"/>
      <c r="R17" s="30" t="s">
        <v>452</v>
      </c>
      <c r="S17" s="30" t="s">
        <v>453</v>
      </c>
      <c r="T17" s="30" t="s">
        <v>454</v>
      </c>
      <c r="U17" s="30" t="s">
        <v>264</v>
      </c>
      <c r="V17" s="30" t="s">
        <v>71</v>
      </c>
      <c r="W17" s="30" t="s">
        <v>72</v>
      </c>
      <c r="X17" s="30" t="s">
        <v>85</v>
      </c>
      <c r="Y17" s="30" t="s">
        <v>73</v>
      </c>
      <c r="Z17" s="33">
        <v>45282</v>
      </c>
      <c r="AA17" s="33">
        <v>45282</v>
      </c>
      <c r="AB17" s="30" t="s">
        <v>90</v>
      </c>
      <c r="AC17" s="30"/>
      <c r="AD17" s="30"/>
      <c r="AE17" s="30"/>
      <c r="AF17" s="30"/>
      <c r="AG17" s="30"/>
      <c r="AH17" s="30"/>
      <c r="AI17" s="30"/>
      <c r="AJ17" s="31">
        <f t="shared" si="0"/>
        <v>3460</v>
      </c>
      <c r="AK17" s="34">
        <f>27334000000/AJ17</f>
        <v>7900000</v>
      </c>
      <c r="AL17" s="31">
        <f t="shared" si="1"/>
        <v>1023</v>
      </c>
      <c r="AM17" s="34">
        <f>2352000000/AL17</f>
        <v>2299120.2346041054</v>
      </c>
      <c r="AN17" s="34">
        <v>280411000</v>
      </c>
      <c r="AO17" s="34">
        <f>(AJ17*AK17)+(AL17*AM17)+AN17</f>
        <v>29966411000</v>
      </c>
      <c r="AP17" s="30" t="s">
        <v>455</v>
      </c>
      <c r="AQ17" s="30" t="s">
        <v>250</v>
      </c>
      <c r="AR17" s="30"/>
      <c r="AS17" s="30"/>
      <c r="AT17" s="30"/>
      <c r="AU17" s="30"/>
      <c r="AV17" s="35">
        <v>5627</v>
      </c>
      <c r="AW17" s="34">
        <v>7464013</v>
      </c>
      <c r="AX17" s="35"/>
      <c r="AY17" s="34"/>
      <c r="AZ17" s="34">
        <v>50000000000</v>
      </c>
      <c r="BA17" s="32">
        <f t="shared" si="2"/>
        <v>42000001151</v>
      </c>
      <c r="BB17" s="30" t="s">
        <v>456</v>
      </c>
      <c r="BC17" s="30" t="s">
        <v>81</v>
      </c>
      <c r="BD17" s="30" t="s">
        <v>457</v>
      </c>
      <c r="BE17" s="30" t="s">
        <v>250</v>
      </c>
      <c r="BF17" s="30"/>
      <c r="BG17" s="30"/>
      <c r="BH17" s="30"/>
      <c r="BI17" s="30"/>
      <c r="BJ17" s="36">
        <v>6000</v>
      </c>
      <c r="BK17" s="34">
        <v>7166667</v>
      </c>
      <c r="BL17" s="36"/>
      <c r="BM17" s="34"/>
      <c r="BN17" s="34">
        <v>50000000000</v>
      </c>
      <c r="BO17" s="32">
        <f t="shared" si="3"/>
        <v>43000002000</v>
      </c>
      <c r="BP17" s="30" t="s">
        <v>458</v>
      </c>
      <c r="BQ17" s="30" t="s">
        <v>81</v>
      </c>
      <c r="BR17" s="30" t="s">
        <v>459</v>
      </c>
      <c r="BS17" s="30" t="s">
        <v>97</v>
      </c>
      <c r="BT17" s="30"/>
      <c r="BU17" s="30"/>
      <c r="BV17" s="30"/>
      <c r="BW17" s="30"/>
      <c r="BX17" s="36">
        <v>600</v>
      </c>
      <c r="BY17" s="34">
        <v>8872470</v>
      </c>
      <c r="BZ17" s="36">
        <v>780</v>
      </c>
      <c r="CA17" s="34"/>
      <c r="CB17" s="34">
        <v>9000000000</v>
      </c>
      <c r="CC17" s="32">
        <f t="shared" si="4"/>
        <v>5323482000</v>
      </c>
      <c r="CD17" s="30" t="s">
        <v>460</v>
      </c>
      <c r="CE17" s="30" t="s">
        <v>81</v>
      </c>
      <c r="CF17" s="30" t="s">
        <v>461</v>
      </c>
      <c r="CG17" s="30"/>
      <c r="CH17" s="30"/>
      <c r="CI17" s="64"/>
      <c r="CJ17" s="64"/>
      <c r="CK17" s="64"/>
      <c r="CL17" s="64"/>
    </row>
    <row r="18" spans="1:90" ht="60" customHeight="1" x14ac:dyDescent="0.25">
      <c r="A18" s="30">
        <v>14</v>
      </c>
      <c r="B18" s="30" t="s">
        <v>462</v>
      </c>
      <c r="C18" s="30" t="s">
        <v>463</v>
      </c>
      <c r="D18" s="33">
        <v>45301</v>
      </c>
      <c r="E18" s="30" t="s">
        <v>464</v>
      </c>
      <c r="F18" s="30" t="s">
        <v>93</v>
      </c>
      <c r="G18" s="30"/>
      <c r="H18" s="30" t="s">
        <v>465</v>
      </c>
      <c r="I18" s="35"/>
      <c r="J18" s="30"/>
      <c r="K18" s="35"/>
      <c r="L18" s="35"/>
      <c r="M18" s="30"/>
      <c r="N18" s="30"/>
      <c r="O18" s="30">
        <v>3147</v>
      </c>
      <c r="P18" s="30" t="s">
        <v>466</v>
      </c>
      <c r="Q18" s="30"/>
      <c r="R18" s="30" t="s">
        <v>467</v>
      </c>
      <c r="S18" s="30" t="s">
        <v>468</v>
      </c>
      <c r="T18" s="30" t="s">
        <v>340</v>
      </c>
      <c r="U18" s="30" t="s">
        <v>120</v>
      </c>
      <c r="V18" s="30" t="s">
        <v>121</v>
      </c>
      <c r="W18" s="30" t="s">
        <v>72</v>
      </c>
      <c r="X18" s="30" t="s">
        <v>85</v>
      </c>
      <c r="Y18" s="30" t="s">
        <v>73</v>
      </c>
      <c r="Z18" s="33">
        <v>45633</v>
      </c>
      <c r="AA18" s="33">
        <v>45633</v>
      </c>
      <c r="AB18" s="30" t="s">
        <v>90</v>
      </c>
      <c r="AC18" s="30"/>
      <c r="AD18" s="30"/>
      <c r="AE18" s="30" t="s">
        <v>469</v>
      </c>
      <c r="AF18" s="30"/>
      <c r="AG18" s="30">
        <v>93553305</v>
      </c>
      <c r="AH18" s="30"/>
      <c r="AI18" s="30"/>
      <c r="AJ18" s="31">
        <f t="shared" si="0"/>
        <v>0</v>
      </c>
      <c r="AK18" s="34"/>
      <c r="AL18" s="31">
        <f t="shared" si="1"/>
        <v>0</v>
      </c>
      <c r="AM18" s="34"/>
      <c r="AN18" s="34"/>
      <c r="AO18" s="34">
        <v>121920849900</v>
      </c>
      <c r="AP18" s="30" t="s">
        <v>470</v>
      </c>
      <c r="AQ18" s="30" t="s">
        <v>471</v>
      </c>
      <c r="AR18" s="30"/>
      <c r="AS18" s="30"/>
      <c r="AT18" s="30"/>
      <c r="AU18" s="30">
        <v>2021</v>
      </c>
      <c r="AV18" s="35"/>
      <c r="AW18" s="34"/>
      <c r="AX18" s="35"/>
      <c r="AY18" s="34"/>
      <c r="AZ18" s="34">
        <v>9750000</v>
      </c>
      <c r="BA18" s="32">
        <f t="shared" si="2"/>
        <v>0</v>
      </c>
      <c r="BB18" s="65" t="s">
        <v>472</v>
      </c>
      <c r="BC18" s="30" t="s">
        <v>81</v>
      </c>
      <c r="BD18" s="30" t="s">
        <v>473</v>
      </c>
      <c r="BE18" s="30" t="s">
        <v>474</v>
      </c>
      <c r="BF18" s="30"/>
      <c r="BG18" s="30"/>
      <c r="BH18" s="30"/>
      <c r="BI18" s="30">
        <v>2020</v>
      </c>
      <c r="BJ18" s="36"/>
      <c r="BK18" s="34"/>
      <c r="BL18" s="36"/>
      <c r="BM18" s="34"/>
      <c r="BN18" s="66">
        <v>11900000</v>
      </c>
      <c r="BO18" s="32">
        <f t="shared" si="3"/>
        <v>0</v>
      </c>
      <c r="BP18" s="65" t="s">
        <v>475</v>
      </c>
      <c r="BQ18" s="30" t="s">
        <v>81</v>
      </c>
      <c r="BR18" s="30" t="s">
        <v>476</v>
      </c>
      <c r="BS18" s="30" t="s">
        <v>477</v>
      </c>
      <c r="BT18" s="30"/>
      <c r="BU18" s="30"/>
      <c r="BV18" s="30"/>
      <c r="BW18" s="30">
        <v>2021</v>
      </c>
      <c r="BX18" s="36"/>
      <c r="BY18" s="34"/>
      <c r="BZ18" s="36"/>
      <c r="CA18" s="34"/>
      <c r="CB18" s="66">
        <v>11900000</v>
      </c>
      <c r="CC18" s="32">
        <f t="shared" si="4"/>
        <v>0</v>
      </c>
      <c r="CD18" s="65" t="s">
        <v>478</v>
      </c>
      <c r="CE18" s="30" t="s">
        <v>81</v>
      </c>
      <c r="CF18" s="30" t="s">
        <v>321</v>
      </c>
      <c r="CG18" s="30"/>
      <c r="CH18" s="30"/>
      <c r="CI18" s="64"/>
      <c r="CJ18" s="64"/>
      <c r="CK18" s="64"/>
      <c r="CL18" s="64"/>
    </row>
    <row r="19" spans="1:90" ht="180" x14ac:dyDescent="0.25">
      <c r="A19" s="30">
        <v>15</v>
      </c>
      <c r="B19" s="30" t="s">
        <v>479</v>
      </c>
      <c r="C19" s="30" t="s">
        <v>480</v>
      </c>
      <c r="D19" s="33">
        <v>45301</v>
      </c>
      <c r="E19" s="30" t="s">
        <v>396</v>
      </c>
      <c r="F19" s="30" t="s">
        <v>396</v>
      </c>
      <c r="G19" s="30"/>
      <c r="H19" s="30" t="s">
        <v>481</v>
      </c>
      <c r="I19" s="35">
        <v>246</v>
      </c>
      <c r="J19" s="30" t="s">
        <v>70</v>
      </c>
      <c r="K19" s="35">
        <v>246</v>
      </c>
      <c r="L19" s="35"/>
      <c r="M19" s="30"/>
      <c r="N19" s="30"/>
      <c r="O19" s="30"/>
      <c r="P19" s="30"/>
      <c r="Q19" s="30" t="s">
        <v>482</v>
      </c>
      <c r="R19" s="30" t="s">
        <v>483</v>
      </c>
      <c r="S19" s="30" t="s">
        <v>410</v>
      </c>
      <c r="T19" s="30" t="s">
        <v>201</v>
      </c>
      <c r="U19" s="30" t="s">
        <v>103</v>
      </c>
      <c r="V19" s="30" t="s">
        <v>84</v>
      </c>
      <c r="W19" s="30" t="s">
        <v>72</v>
      </c>
      <c r="X19" s="30" t="s">
        <v>142</v>
      </c>
      <c r="Y19" s="30" t="s">
        <v>89</v>
      </c>
      <c r="Z19" s="33">
        <v>45296</v>
      </c>
      <c r="AA19" s="33">
        <v>45291</v>
      </c>
      <c r="AB19" s="30" t="s">
        <v>90</v>
      </c>
      <c r="AC19" s="30"/>
      <c r="AD19" s="30"/>
      <c r="AE19" s="30"/>
      <c r="AF19" s="30"/>
      <c r="AG19" s="30"/>
      <c r="AH19" s="30"/>
      <c r="AI19" s="30"/>
      <c r="AJ19" s="31">
        <f t="shared" si="0"/>
        <v>246</v>
      </c>
      <c r="AK19" s="34"/>
      <c r="AL19" s="31">
        <f t="shared" si="1"/>
        <v>246</v>
      </c>
      <c r="AM19" s="34">
        <f>13819000000/AL19</f>
        <v>56174796.747967482</v>
      </c>
      <c r="AN19" s="34"/>
      <c r="AO19" s="34">
        <f>AL19*AM19</f>
        <v>13819000000</v>
      </c>
      <c r="AP19" s="30" t="s">
        <v>484</v>
      </c>
      <c r="AQ19" s="30" t="s">
        <v>412</v>
      </c>
      <c r="AR19" s="30"/>
      <c r="AS19" s="30"/>
      <c r="AT19" s="30"/>
      <c r="AU19" s="30"/>
      <c r="AV19" s="35">
        <v>178</v>
      </c>
      <c r="AW19" s="34">
        <v>55898876</v>
      </c>
      <c r="AX19" s="35"/>
      <c r="AY19" s="34"/>
      <c r="AZ19" s="34">
        <v>11500000000</v>
      </c>
      <c r="BA19" s="32">
        <f t="shared" si="2"/>
        <v>9949999928</v>
      </c>
      <c r="BB19" s="30" t="s">
        <v>485</v>
      </c>
      <c r="BC19" s="30" t="s">
        <v>81</v>
      </c>
      <c r="BD19" s="30" t="s">
        <v>486</v>
      </c>
      <c r="BE19" s="30" t="s">
        <v>123</v>
      </c>
      <c r="BF19" s="30"/>
      <c r="BG19" s="30"/>
      <c r="BH19" s="30"/>
      <c r="BI19" s="30"/>
      <c r="BJ19" s="36">
        <v>717</v>
      </c>
      <c r="BK19" s="34">
        <v>55648536</v>
      </c>
      <c r="BL19" s="36"/>
      <c r="BM19" s="34"/>
      <c r="BN19" s="34">
        <v>45000000000</v>
      </c>
      <c r="BO19" s="32">
        <f t="shared" si="3"/>
        <v>39900000312</v>
      </c>
      <c r="BP19" s="30" t="s">
        <v>487</v>
      </c>
      <c r="BQ19" s="30" t="s">
        <v>81</v>
      </c>
      <c r="BR19" s="30" t="s">
        <v>488</v>
      </c>
      <c r="BS19" s="30" t="s">
        <v>123</v>
      </c>
      <c r="BT19" s="30"/>
      <c r="BU19" s="30"/>
      <c r="BV19" s="30"/>
      <c r="BW19" s="30"/>
      <c r="BX19" s="36">
        <v>717</v>
      </c>
      <c r="BY19" s="34">
        <v>55648536</v>
      </c>
      <c r="BZ19" s="36"/>
      <c r="CA19" s="34"/>
      <c r="CB19" s="34">
        <v>55000000000</v>
      </c>
      <c r="CC19" s="32">
        <f t="shared" si="4"/>
        <v>39900000312</v>
      </c>
      <c r="CD19" s="30" t="s">
        <v>489</v>
      </c>
      <c r="CE19" s="30" t="s">
        <v>81</v>
      </c>
      <c r="CF19" s="30" t="s">
        <v>308</v>
      </c>
      <c r="CG19" s="30"/>
      <c r="CH19" s="30"/>
      <c r="CI19" s="64"/>
      <c r="CJ19" s="64"/>
      <c r="CK19" s="64"/>
      <c r="CL19" s="64"/>
    </row>
    <row r="20" spans="1:90" ht="105" customHeight="1" x14ac:dyDescent="0.25">
      <c r="A20" s="30">
        <v>16</v>
      </c>
      <c r="B20" s="30" t="s">
        <v>490</v>
      </c>
      <c r="C20" s="30" t="s">
        <v>491</v>
      </c>
      <c r="D20" s="33">
        <v>45302</v>
      </c>
      <c r="E20" s="30" t="s">
        <v>93</v>
      </c>
      <c r="F20" s="30" t="s">
        <v>93</v>
      </c>
      <c r="G20" s="30"/>
      <c r="H20" s="30" t="s">
        <v>83</v>
      </c>
      <c r="I20" s="35">
        <v>90</v>
      </c>
      <c r="J20" s="30" t="s">
        <v>70</v>
      </c>
      <c r="K20" s="35">
        <v>64</v>
      </c>
      <c r="L20" s="35"/>
      <c r="M20" s="30"/>
      <c r="N20" s="30"/>
      <c r="O20" s="30"/>
      <c r="P20" s="30"/>
      <c r="Q20" s="30" t="s">
        <v>492</v>
      </c>
      <c r="R20" s="30" t="s">
        <v>493</v>
      </c>
      <c r="S20" s="30" t="s">
        <v>494</v>
      </c>
      <c r="T20" s="30" t="s">
        <v>495</v>
      </c>
      <c r="U20" s="30" t="s">
        <v>124</v>
      </c>
      <c r="V20" s="30" t="s">
        <v>92</v>
      </c>
      <c r="W20" s="30" t="s">
        <v>72</v>
      </c>
      <c r="X20" s="30" t="s">
        <v>85</v>
      </c>
      <c r="Y20" s="30" t="s">
        <v>73</v>
      </c>
      <c r="Z20" s="33">
        <v>45282</v>
      </c>
      <c r="AA20" s="33">
        <v>45282</v>
      </c>
      <c r="AB20" s="30" t="s">
        <v>74</v>
      </c>
      <c r="AC20" s="30"/>
      <c r="AD20" s="30"/>
      <c r="AE20" s="30"/>
      <c r="AF20" s="30"/>
      <c r="AG20" s="30"/>
      <c r="AH20" s="30"/>
      <c r="AI20" s="30"/>
      <c r="AJ20" s="31">
        <f t="shared" si="0"/>
        <v>90</v>
      </c>
      <c r="AK20" s="34">
        <v>4500000</v>
      </c>
      <c r="AL20" s="31">
        <f t="shared" si="1"/>
        <v>64</v>
      </c>
      <c r="AM20" s="34">
        <v>1225000</v>
      </c>
      <c r="AN20" s="34"/>
      <c r="AO20" s="34">
        <f>(AJ20*AK20)+(AL20*AM20)</f>
        <v>483400000</v>
      </c>
      <c r="AP20" s="30" t="s">
        <v>496</v>
      </c>
      <c r="AQ20" s="30" t="s">
        <v>83</v>
      </c>
      <c r="AR20" s="30"/>
      <c r="AS20" s="30"/>
      <c r="AT20" s="30"/>
      <c r="AU20" s="30"/>
      <c r="AV20" s="35">
        <v>40</v>
      </c>
      <c r="AW20" s="34">
        <v>4584750</v>
      </c>
      <c r="AX20" s="35">
        <v>30</v>
      </c>
      <c r="AY20" s="34"/>
      <c r="AZ20" s="34">
        <v>300000000</v>
      </c>
      <c r="BA20" s="32">
        <f t="shared" si="2"/>
        <v>183390000</v>
      </c>
      <c r="BB20" s="30" t="s">
        <v>497</v>
      </c>
      <c r="BC20" s="30" t="s">
        <v>81</v>
      </c>
      <c r="BD20" s="30" t="s">
        <v>498</v>
      </c>
      <c r="BE20" s="30" t="s">
        <v>83</v>
      </c>
      <c r="BF20" s="30"/>
      <c r="BG20" s="30"/>
      <c r="BH20" s="30"/>
      <c r="BI20" s="30"/>
      <c r="BJ20" s="36">
        <v>54</v>
      </c>
      <c r="BK20" s="34">
        <v>4529259</v>
      </c>
      <c r="BL20" s="36">
        <v>80</v>
      </c>
      <c r="BM20" s="34"/>
      <c r="BN20" s="34">
        <v>450000000</v>
      </c>
      <c r="BO20" s="32">
        <f t="shared" si="3"/>
        <v>244579986</v>
      </c>
      <c r="BP20" s="30" t="s">
        <v>499</v>
      </c>
      <c r="BQ20" s="30" t="s">
        <v>81</v>
      </c>
      <c r="BR20" s="30" t="s">
        <v>500</v>
      </c>
      <c r="BS20" s="30" t="s">
        <v>83</v>
      </c>
      <c r="BT20" s="30"/>
      <c r="BU20" s="30"/>
      <c r="BV20" s="30"/>
      <c r="BW20" s="30"/>
      <c r="BX20" s="36">
        <v>80</v>
      </c>
      <c r="BY20" s="34">
        <v>4709750</v>
      </c>
      <c r="BZ20" s="36">
        <v>60</v>
      </c>
      <c r="CA20" s="34"/>
      <c r="CB20" s="34">
        <v>620000000</v>
      </c>
      <c r="CC20" s="32">
        <f t="shared" si="4"/>
        <v>376780000</v>
      </c>
      <c r="CD20" s="30" t="s">
        <v>501</v>
      </c>
      <c r="CE20" s="30" t="s">
        <v>81</v>
      </c>
      <c r="CF20" s="30" t="s">
        <v>196</v>
      </c>
      <c r="CG20" s="30"/>
      <c r="CH20" s="30"/>
      <c r="CI20" s="64"/>
      <c r="CJ20" s="64"/>
      <c r="CK20" s="64"/>
      <c r="CL20" s="64"/>
    </row>
    <row r="21" spans="1:90" ht="105" customHeight="1" x14ac:dyDescent="0.25">
      <c r="A21" s="30">
        <v>17</v>
      </c>
      <c r="B21" s="30" t="s">
        <v>502</v>
      </c>
      <c r="C21" s="30" t="s">
        <v>503</v>
      </c>
      <c r="D21" s="33">
        <v>45302</v>
      </c>
      <c r="E21" s="30" t="s">
        <v>504</v>
      </c>
      <c r="F21" s="30" t="s">
        <v>505</v>
      </c>
      <c r="G21" s="30"/>
      <c r="H21" s="30" t="s">
        <v>83</v>
      </c>
      <c r="I21" s="35">
        <v>123</v>
      </c>
      <c r="J21" s="30" t="s">
        <v>70</v>
      </c>
      <c r="K21" s="35">
        <v>96</v>
      </c>
      <c r="L21" s="35"/>
      <c r="M21" s="30"/>
      <c r="N21" s="30"/>
      <c r="O21" s="30"/>
      <c r="P21" s="30"/>
      <c r="Q21" s="30" t="s">
        <v>506</v>
      </c>
      <c r="R21" s="30" t="s">
        <v>507</v>
      </c>
      <c r="S21" s="30" t="s">
        <v>173</v>
      </c>
      <c r="T21" s="30" t="s">
        <v>508</v>
      </c>
      <c r="U21" s="30" t="s">
        <v>509</v>
      </c>
      <c r="V21" s="30" t="s">
        <v>92</v>
      </c>
      <c r="W21" s="30" t="s">
        <v>72</v>
      </c>
      <c r="X21" s="30" t="s">
        <v>131</v>
      </c>
      <c r="Y21" s="30" t="s">
        <v>73</v>
      </c>
      <c r="Z21" s="33">
        <v>45247</v>
      </c>
      <c r="AA21" s="33">
        <v>45247</v>
      </c>
      <c r="AB21" s="30" t="s">
        <v>90</v>
      </c>
      <c r="AC21" s="30"/>
      <c r="AD21" s="30"/>
      <c r="AE21" s="30"/>
      <c r="AF21" s="30"/>
      <c r="AG21" s="30"/>
      <c r="AH21" s="30"/>
      <c r="AI21" s="30"/>
      <c r="AJ21" s="31">
        <f t="shared" si="0"/>
        <v>123</v>
      </c>
      <c r="AK21" s="34">
        <f>774900000/AJ21</f>
        <v>6300000</v>
      </c>
      <c r="AL21" s="31">
        <f t="shared" si="1"/>
        <v>96</v>
      </c>
      <c r="AM21" s="34">
        <f>213800000/AL21</f>
        <v>2227083.3333333335</v>
      </c>
      <c r="AN21" s="34"/>
      <c r="AO21" s="34">
        <f>(AJ21*AK21)+(AL21*AM21)+AN21</f>
        <v>988700000</v>
      </c>
      <c r="AP21" s="30" t="s">
        <v>510</v>
      </c>
      <c r="AQ21" s="30" t="s">
        <v>83</v>
      </c>
      <c r="AR21" s="30"/>
      <c r="AS21" s="30"/>
      <c r="AT21" s="30"/>
      <c r="AU21" s="30"/>
      <c r="AV21" s="35">
        <v>96</v>
      </c>
      <c r="AW21" s="34">
        <v>6651371</v>
      </c>
      <c r="AX21" s="35">
        <v>198</v>
      </c>
      <c r="AY21" s="34"/>
      <c r="AZ21" s="34">
        <v>1600000000</v>
      </c>
      <c r="BA21" s="32">
        <f t="shared" si="2"/>
        <v>638531616</v>
      </c>
      <c r="BB21" s="30" t="s">
        <v>511</v>
      </c>
      <c r="BC21" s="30" t="s">
        <v>81</v>
      </c>
      <c r="BD21" s="30" t="s">
        <v>512</v>
      </c>
      <c r="BE21" s="30" t="s">
        <v>83</v>
      </c>
      <c r="BF21" s="30"/>
      <c r="BG21" s="30"/>
      <c r="BH21" s="30"/>
      <c r="BI21" s="30"/>
      <c r="BJ21" s="36">
        <v>96</v>
      </c>
      <c r="BK21" s="34">
        <v>6571058</v>
      </c>
      <c r="BL21" s="36">
        <v>148</v>
      </c>
      <c r="BM21" s="34"/>
      <c r="BN21" s="34">
        <v>1400000000</v>
      </c>
      <c r="BO21" s="32">
        <f t="shared" si="3"/>
        <v>630821568</v>
      </c>
      <c r="BP21" s="30" t="s">
        <v>513</v>
      </c>
      <c r="BQ21" s="30" t="s">
        <v>81</v>
      </c>
      <c r="BR21" s="30" t="s">
        <v>514</v>
      </c>
      <c r="BS21" s="30" t="s">
        <v>83</v>
      </c>
      <c r="BT21" s="30"/>
      <c r="BU21" s="30"/>
      <c r="BV21" s="30"/>
      <c r="BW21" s="30"/>
      <c r="BX21" s="36">
        <v>144</v>
      </c>
      <c r="BY21" s="34">
        <v>6322222</v>
      </c>
      <c r="BZ21" s="36">
        <v>200</v>
      </c>
      <c r="CA21" s="34"/>
      <c r="CB21" s="34">
        <v>2000000000</v>
      </c>
      <c r="CC21" s="32">
        <f t="shared" si="4"/>
        <v>910399968</v>
      </c>
      <c r="CD21" s="30" t="s">
        <v>515</v>
      </c>
      <c r="CE21" s="30" t="s">
        <v>81</v>
      </c>
      <c r="CF21" s="30" t="s">
        <v>294</v>
      </c>
      <c r="CG21" s="30"/>
      <c r="CH21" s="30"/>
      <c r="CI21" s="64"/>
      <c r="CJ21" s="64"/>
      <c r="CK21" s="64"/>
      <c r="CL21" s="64"/>
    </row>
    <row r="22" spans="1:90" ht="120" customHeight="1" x14ac:dyDescent="0.25">
      <c r="A22" s="30">
        <v>18</v>
      </c>
      <c r="B22" s="30" t="s">
        <v>516</v>
      </c>
      <c r="C22" s="30" t="s">
        <v>517</v>
      </c>
      <c r="D22" s="33">
        <v>45307</v>
      </c>
      <c r="E22" s="30" t="s">
        <v>518</v>
      </c>
      <c r="F22" s="30" t="s">
        <v>93</v>
      </c>
      <c r="G22" s="30"/>
      <c r="H22" s="30" t="s">
        <v>519</v>
      </c>
      <c r="I22" s="35">
        <v>5890</v>
      </c>
      <c r="J22" s="30" t="s">
        <v>70</v>
      </c>
      <c r="K22" s="35">
        <v>7470</v>
      </c>
      <c r="L22" s="35"/>
      <c r="M22" s="30" t="s">
        <v>397</v>
      </c>
      <c r="N22" s="30"/>
      <c r="O22" s="30"/>
      <c r="P22" s="30"/>
      <c r="Q22" s="30"/>
      <c r="R22" s="30" t="s">
        <v>520</v>
      </c>
      <c r="S22" s="30" t="s">
        <v>133</v>
      </c>
      <c r="T22" s="30" t="s">
        <v>521</v>
      </c>
      <c r="U22" s="30" t="s">
        <v>176</v>
      </c>
      <c r="V22" s="30" t="s">
        <v>80</v>
      </c>
      <c r="W22" s="30" t="s">
        <v>72</v>
      </c>
      <c r="X22" s="30" t="s">
        <v>85</v>
      </c>
      <c r="Y22" s="30" t="s">
        <v>73</v>
      </c>
      <c r="Z22" s="33">
        <v>45230</v>
      </c>
      <c r="AA22" s="33">
        <v>45230</v>
      </c>
      <c r="AB22" s="30" t="s">
        <v>90</v>
      </c>
      <c r="AC22" s="30"/>
      <c r="AD22" s="30"/>
      <c r="AE22" s="30"/>
      <c r="AF22" s="30"/>
      <c r="AG22" s="30"/>
      <c r="AH22" s="30"/>
      <c r="AI22" s="30"/>
      <c r="AJ22" s="31">
        <f t="shared" si="0"/>
        <v>5890</v>
      </c>
      <c r="AK22" s="34">
        <f>50065000000/AJ22</f>
        <v>8500000</v>
      </c>
      <c r="AL22" s="31">
        <f t="shared" si="1"/>
        <v>7470</v>
      </c>
      <c r="AM22" s="34">
        <f>41111500000/AL22</f>
        <v>5503547.5234270412</v>
      </c>
      <c r="AN22" s="34">
        <v>3529144000</v>
      </c>
      <c r="AO22" s="51">
        <f>(AJ22*AK22)+(AL22*AM22)+AN22+AN23+AN24</f>
        <v>96531644000</v>
      </c>
      <c r="AP22" s="30" t="s">
        <v>522</v>
      </c>
      <c r="AQ22" s="30" t="s">
        <v>77</v>
      </c>
      <c r="AR22" s="30"/>
      <c r="AS22" s="30"/>
      <c r="AT22" s="30"/>
      <c r="AU22" s="30"/>
      <c r="AV22" s="35">
        <v>1000</v>
      </c>
      <c r="AW22" s="34">
        <v>9196698</v>
      </c>
      <c r="AX22" s="35">
        <v>450</v>
      </c>
      <c r="AY22" s="34"/>
      <c r="AZ22" s="34">
        <v>12000000000</v>
      </c>
      <c r="BA22" s="32">
        <f t="shared" si="2"/>
        <v>9196698000</v>
      </c>
      <c r="BB22" s="30" t="s">
        <v>523</v>
      </c>
      <c r="BC22" s="30" t="s">
        <v>81</v>
      </c>
      <c r="BD22" s="30" t="s">
        <v>524</v>
      </c>
      <c r="BE22" s="30" t="s">
        <v>97</v>
      </c>
      <c r="BF22" s="30"/>
      <c r="BG22" s="30"/>
      <c r="BH22" s="30"/>
      <c r="BI22" s="30"/>
      <c r="BJ22" s="36">
        <v>2540</v>
      </c>
      <c r="BK22" s="34">
        <v>9107283</v>
      </c>
      <c r="BL22" s="36">
        <v>1000</v>
      </c>
      <c r="BM22" s="34"/>
      <c r="BN22" s="34">
        <v>30480000000</v>
      </c>
      <c r="BO22" s="32">
        <f t="shared" si="3"/>
        <v>23132498820</v>
      </c>
      <c r="BP22" s="30" t="s">
        <v>525</v>
      </c>
      <c r="BQ22" s="30" t="s">
        <v>81</v>
      </c>
      <c r="BR22" s="30" t="s">
        <v>526</v>
      </c>
      <c r="BS22" s="30" t="s">
        <v>97</v>
      </c>
      <c r="BT22" s="30"/>
      <c r="BU22" s="30"/>
      <c r="BV22" s="30"/>
      <c r="BW22" s="30"/>
      <c r="BX22" s="36">
        <v>1465</v>
      </c>
      <c r="BY22" s="34">
        <v>9189222</v>
      </c>
      <c r="BZ22" s="36">
        <v>720</v>
      </c>
      <c r="CA22" s="34"/>
      <c r="CB22" s="34">
        <v>17000000000</v>
      </c>
      <c r="CC22" s="32">
        <f t="shared" si="4"/>
        <v>13462210230</v>
      </c>
      <c r="CD22" s="30" t="s">
        <v>527</v>
      </c>
      <c r="CE22" s="30" t="s">
        <v>81</v>
      </c>
      <c r="CF22" s="30" t="s">
        <v>249</v>
      </c>
      <c r="CG22" s="30"/>
      <c r="CH22" s="30"/>
      <c r="CI22" s="64"/>
      <c r="CJ22" s="64"/>
      <c r="CK22" s="64"/>
      <c r="CL22" s="64"/>
    </row>
    <row r="23" spans="1:90" ht="105" x14ac:dyDescent="0.25">
      <c r="A23" s="30">
        <v>19</v>
      </c>
      <c r="B23" s="30" t="s">
        <v>516</v>
      </c>
      <c r="C23" s="30" t="s">
        <v>517</v>
      </c>
      <c r="D23" s="33">
        <v>45307</v>
      </c>
      <c r="E23" s="30" t="s">
        <v>518</v>
      </c>
      <c r="F23" s="30" t="s">
        <v>93</v>
      </c>
      <c r="G23" s="30"/>
      <c r="H23" s="30" t="s">
        <v>77</v>
      </c>
      <c r="I23" s="35">
        <v>156</v>
      </c>
      <c r="J23" s="30" t="s">
        <v>70</v>
      </c>
      <c r="K23" s="35"/>
      <c r="L23" s="35"/>
      <c r="M23" s="30"/>
      <c r="N23" s="30"/>
      <c r="O23" s="30"/>
      <c r="P23" s="30"/>
      <c r="Q23" s="30"/>
      <c r="R23" s="30" t="s">
        <v>528</v>
      </c>
      <c r="S23" s="30" t="s">
        <v>133</v>
      </c>
      <c r="T23" s="30" t="s">
        <v>521</v>
      </c>
      <c r="U23" s="30" t="s">
        <v>176</v>
      </c>
      <c r="V23" s="30" t="s">
        <v>80</v>
      </c>
      <c r="W23" s="30" t="s">
        <v>72</v>
      </c>
      <c r="X23" s="30" t="s">
        <v>85</v>
      </c>
      <c r="Y23" s="30" t="s">
        <v>73</v>
      </c>
      <c r="Z23" s="33">
        <v>45230</v>
      </c>
      <c r="AA23" s="33">
        <v>45230</v>
      </c>
      <c r="AB23" s="30" t="s">
        <v>90</v>
      </c>
      <c r="AC23" s="30"/>
      <c r="AD23" s="30"/>
      <c r="AE23" s="30"/>
      <c r="AF23" s="30"/>
      <c r="AG23" s="30"/>
      <c r="AH23" s="30"/>
      <c r="AI23" s="30"/>
      <c r="AJ23" s="31">
        <f t="shared" si="0"/>
        <v>156</v>
      </c>
      <c r="AK23" s="34">
        <f>1404000000/AJ23</f>
        <v>9000000</v>
      </c>
      <c r="AL23" s="31">
        <f t="shared" si="1"/>
        <v>0</v>
      </c>
      <c r="AM23" s="34"/>
      <c r="AN23" s="34">
        <v>1404000000</v>
      </c>
      <c r="AO23" s="52"/>
      <c r="AP23" s="30" t="s">
        <v>529</v>
      </c>
      <c r="AQ23" s="30" t="s">
        <v>97</v>
      </c>
      <c r="AR23" s="30"/>
      <c r="AS23" s="30"/>
      <c r="AT23" s="30"/>
      <c r="AU23" s="30"/>
      <c r="AV23" s="35">
        <v>700</v>
      </c>
      <c r="AW23" s="34">
        <v>8805736</v>
      </c>
      <c r="AX23" s="35">
        <v>90</v>
      </c>
      <c r="AY23" s="34"/>
      <c r="AZ23" s="34">
        <v>8400000000</v>
      </c>
      <c r="BA23" s="32">
        <f t="shared" si="2"/>
        <v>6164015200</v>
      </c>
      <c r="BB23" s="30" t="s">
        <v>530</v>
      </c>
      <c r="BC23" s="30" t="s">
        <v>81</v>
      </c>
      <c r="BD23" s="30" t="s">
        <v>531</v>
      </c>
      <c r="BE23" s="30" t="s">
        <v>97</v>
      </c>
      <c r="BF23" s="30"/>
      <c r="BG23" s="30"/>
      <c r="BH23" s="30"/>
      <c r="BI23" s="30"/>
      <c r="BJ23" s="36">
        <v>700</v>
      </c>
      <c r="BK23" s="34">
        <v>8816714</v>
      </c>
      <c r="BL23" s="36">
        <v>450</v>
      </c>
      <c r="BM23" s="34"/>
      <c r="BN23" s="34">
        <v>8400000000</v>
      </c>
      <c r="BO23" s="32">
        <f t="shared" si="3"/>
        <v>6171699800</v>
      </c>
      <c r="BP23" s="30" t="s">
        <v>532</v>
      </c>
      <c r="BQ23" s="30" t="s">
        <v>81</v>
      </c>
      <c r="BR23" s="30" t="s">
        <v>533</v>
      </c>
      <c r="BS23" s="30" t="s">
        <v>97</v>
      </c>
      <c r="BT23" s="30"/>
      <c r="BU23" s="30"/>
      <c r="BV23" s="30"/>
      <c r="BW23" s="30"/>
      <c r="BX23" s="36">
        <v>533</v>
      </c>
      <c r="BY23" s="34">
        <v>8916368</v>
      </c>
      <c r="BZ23" s="36">
        <v>180</v>
      </c>
      <c r="CA23" s="34"/>
      <c r="CB23" s="34">
        <v>6396000000</v>
      </c>
      <c r="CC23" s="32">
        <f t="shared" si="4"/>
        <v>4752424144</v>
      </c>
      <c r="CD23" s="30" t="s">
        <v>534</v>
      </c>
      <c r="CE23" s="30" t="s">
        <v>81</v>
      </c>
      <c r="CF23" s="30" t="s">
        <v>249</v>
      </c>
      <c r="CG23" s="30"/>
      <c r="CH23" s="30"/>
      <c r="CI23" s="64"/>
      <c r="CJ23" s="64"/>
      <c r="CK23" s="64"/>
      <c r="CL23" s="64"/>
    </row>
    <row r="24" spans="1:90" ht="105" x14ac:dyDescent="0.25">
      <c r="A24" s="30">
        <v>20</v>
      </c>
      <c r="B24" s="30" t="s">
        <v>516</v>
      </c>
      <c r="C24" s="30" t="s">
        <v>517</v>
      </c>
      <c r="D24" s="33">
        <v>45307</v>
      </c>
      <c r="E24" s="30" t="s">
        <v>518</v>
      </c>
      <c r="F24" s="30" t="s">
        <v>93</v>
      </c>
      <c r="G24" s="30"/>
      <c r="H24" s="30" t="s">
        <v>77</v>
      </c>
      <c r="I24" s="35">
        <v>211</v>
      </c>
      <c r="J24" s="30" t="s">
        <v>70</v>
      </c>
      <c r="K24" s="35"/>
      <c r="L24" s="35"/>
      <c r="M24" s="30"/>
      <c r="N24" s="30"/>
      <c r="O24" s="30"/>
      <c r="P24" s="30"/>
      <c r="Q24" s="30"/>
      <c r="R24" s="30" t="s">
        <v>535</v>
      </c>
      <c r="S24" s="30" t="s">
        <v>133</v>
      </c>
      <c r="T24" s="30" t="s">
        <v>521</v>
      </c>
      <c r="U24" s="30" t="s">
        <v>176</v>
      </c>
      <c r="V24" s="30" t="s">
        <v>80</v>
      </c>
      <c r="W24" s="30" t="s">
        <v>72</v>
      </c>
      <c r="X24" s="30" t="s">
        <v>85</v>
      </c>
      <c r="Y24" s="30" t="s">
        <v>73</v>
      </c>
      <c r="Z24" s="33">
        <v>45230</v>
      </c>
      <c r="AA24" s="33">
        <v>45230</v>
      </c>
      <c r="AB24" s="30" t="s">
        <v>90</v>
      </c>
      <c r="AC24" s="30"/>
      <c r="AD24" s="30"/>
      <c r="AE24" s="30"/>
      <c r="AF24" s="30"/>
      <c r="AG24" s="30"/>
      <c r="AH24" s="30"/>
      <c r="AI24" s="30"/>
      <c r="AJ24" s="31">
        <f t="shared" si="0"/>
        <v>211</v>
      </c>
      <c r="AK24" s="34">
        <f>422000000/AJ24</f>
        <v>2000000</v>
      </c>
      <c r="AL24" s="31">
        <f t="shared" si="1"/>
        <v>0</v>
      </c>
      <c r="AM24" s="34"/>
      <c r="AN24" s="34">
        <v>422000000</v>
      </c>
      <c r="AO24" s="53"/>
      <c r="AP24" s="30" t="s">
        <v>536</v>
      </c>
      <c r="AQ24" s="30" t="s">
        <v>77</v>
      </c>
      <c r="AR24" s="30"/>
      <c r="AS24" s="30"/>
      <c r="AT24" s="30"/>
      <c r="AU24" s="30"/>
      <c r="AV24" s="35">
        <v>500</v>
      </c>
      <c r="AW24" s="34">
        <v>2160000</v>
      </c>
      <c r="AX24" s="35"/>
      <c r="AY24" s="34"/>
      <c r="AZ24" s="34">
        <v>1200000000</v>
      </c>
      <c r="BA24" s="32">
        <f t="shared" si="2"/>
        <v>1080000000</v>
      </c>
      <c r="BB24" s="30" t="s">
        <v>537</v>
      </c>
      <c r="BC24" s="30" t="s">
        <v>81</v>
      </c>
      <c r="BD24" s="30" t="s">
        <v>536</v>
      </c>
      <c r="BE24" s="30" t="s">
        <v>97</v>
      </c>
      <c r="BF24" s="30"/>
      <c r="BG24" s="30"/>
      <c r="BH24" s="30"/>
      <c r="BI24" s="30"/>
      <c r="BJ24" s="36">
        <v>180</v>
      </c>
      <c r="BK24" s="34">
        <v>2400389</v>
      </c>
      <c r="BL24" s="36">
        <v>300</v>
      </c>
      <c r="BM24" s="34"/>
      <c r="BN24" s="34">
        <v>1500000000</v>
      </c>
      <c r="BO24" s="32">
        <f t="shared" si="3"/>
        <v>432070020</v>
      </c>
      <c r="BP24" s="30" t="s">
        <v>538</v>
      </c>
      <c r="BQ24" s="30" t="s">
        <v>81</v>
      </c>
      <c r="BR24" s="30" t="s">
        <v>536</v>
      </c>
      <c r="BS24" s="30" t="s">
        <v>97</v>
      </c>
      <c r="BT24" s="30"/>
      <c r="BU24" s="30"/>
      <c r="BV24" s="30"/>
      <c r="BW24" s="30"/>
      <c r="BX24" s="36">
        <v>280</v>
      </c>
      <c r="BY24" s="34">
        <v>2364536</v>
      </c>
      <c r="BZ24" s="36">
        <v>300</v>
      </c>
      <c r="CA24" s="34"/>
      <c r="CB24" s="34">
        <v>1900000000</v>
      </c>
      <c r="CC24" s="32">
        <f t="shared" si="4"/>
        <v>662070080</v>
      </c>
      <c r="CD24" s="30" t="s">
        <v>539</v>
      </c>
      <c r="CE24" s="30" t="s">
        <v>81</v>
      </c>
      <c r="CF24" s="30" t="s">
        <v>249</v>
      </c>
      <c r="CG24" s="30"/>
      <c r="CH24" s="30"/>
      <c r="CI24" s="64"/>
      <c r="CJ24" s="64"/>
      <c r="CK24" s="64"/>
      <c r="CL24" s="64"/>
    </row>
    <row r="25" spans="1:90" ht="210" customHeight="1" x14ac:dyDescent="0.25">
      <c r="A25" s="30">
        <v>21.1</v>
      </c>
      <c r="B25" s="30" t="s">
        <v>540</v>
      </c>
      <c r="C25" s="30" t="s">
        <v>541</v>
      </c>
      <c r="D25" s="33">
        <v>45314</v>
      </c>
      <c r="E25" s="30" t="s">
        <v>542</v>
      </c>
      <c r="F25" s="30" t="s">
        <v>93</v>
      </c>
      <c r="G25" s="30"/>
      <c r="H25" s="30" t="s">
        <v>83</v>
      </c>
      <c r="I25" s="35">
        <v>72</v>
      </c>
      <c r="J25" s="30" t="s">
        <v>70</v>
      </c>
      <c r="K25" s="35">
        <v>45</v>
      </c>
      <c r="L25" s="35"/>
      <c r="M25" s="30"/>
      <c r="N25" s="30"/>
      <c r="O25" s="30"/>
      <c r="P25" s="30"/>
      <c r="Q25" s="30" t="s">
        <v>543</v>
      </c>
      <c r="R25" s="30" t="s">
        <v>544</v>
      </c>
      <c r="S25" s="30" t="s">
        <v>545</v>
      </c>
      <c r="T25" s="30" t="s">
        <v>190</v>
      </c>
      <c r="U25" s="30" t="s">
        <v>107</v>
      </c>
      <c r="V25" s="30" t="s">
        <v>92</v>
      </c>
      <c r="W25" s="30" t="s">
        <v>72</v>
      </c>
      <c r="X25" s="30" t="s">
        <v>85</v>
      </c>
      <c r="Y25" s="30" t="s">
        <v>73</v>
      </c>
      <c r="Z25" s="33">
        <v>45299</v>
      </c>
      <c r="AA25" s="33">
        <v>45299</v>
      </c>
      <c r="AB25" s="30" t="s">
        <v>90</v>
      </c>
      <c r="AC25" s="30"/>
      <c r="AD25" s="30"/>
      <c r="AE25" s="30"/>
      <c r="AF25" s="30"/>
      <c r="AG25" s="30"/>
      <c r="AH25" s="30"/>
      <c r="AI25" s="30"/>
      <c r="AJ25" s="31">
        <f t="shared" si="0"/>
        <v>72</v>
      </c>
      <c r="AK25" s="34">
        <f>252000000/AJ25</f>
        <v>3500000</v>
      </c>
      <c r="AL25" s="31">
        <f t="shared" si="1"/>
        <v>45</v>
      </c>
      <c r="AM25" s="34">
        <f>178900000/AL25</f>
        <v>3975555.5555555555</v>
      </c>
      <c r="AN25" s="34"/>
      <c r="AO25" s="34">
        <f t="shared" ref="AO25:AO84" si="5">(AJ25*AK25)+(AL25*AM25)+AN25</f>
        <v>430900000</v>
      </c>
      <c r="AP25" s="30" t="s">
        <v>546</v>
      </c>
      <c r="AQ25" s="30" t="s">
        <v>83</v>
      </c>
      <c r="AR25" s="30"/>
      <c r="AS25" s="30"/>
      <c r="AT25" s="30"/>
      <c r="AU25" s="30"/>
      <c r="AV25" s="35">
        <v>120</v>
      </c>
      <c r="AW25" s="34">
        <v>3422917</v>
      </c>
      <c r="AX25" s="35">
        <v>85</v>
      </c>
      <c r="AY25" s="34"/>
      <c r="AZ25" s="34">
        <v>550000000</v>
      </c>
      <c r="BA25" s="32">
        <f t="shared" si="2"/>
        <v>410750040</v>
      </c>
      <c r="BB25" s="30" t="s">
        <v>547</v>
      </c>
      <c r="BC25" s="30" t="s">
        <v>81</v>
      </c>
      <c r="BD25" s="30" t="s">
        <v>548</v>
      </c>
      <c r="BE25" s="30" t="s">
        <v>83</v>
      </c>
      <c r="BF25" s="30"/>
      <c r="BG25" s="30"/>
      <c r="BH25" s="30"/>
      <c r="BI25" s="30"/>
      <c r="BJ25" s="36">
        <v>70</v>
      </c>
      <c r="BK25" s="34">
        <v>3586607</v>
      </c>
      <c r="BL25" s="36">
        <v>125</v>
      </c>
      <c r="BM25" s="34"/>
      <c r="BN25" s="34">
        <v>600000000</v>
      </c>
      <c r="BO25" s="32">
        <f t="shared" si="3"/>
        <v>251062490</v>
      </c>
      <c r="BP25" s="30" t="s">
        <v>549</v>
      </c>
      <c r="BQ25" s="30" t="s">
        <v>81</v>
      </c>
      <c r="BR25" s="30" t="s">
        <v>550</v>
      </c>
      <c r="BS25" s="30" t="s">
        <v>83</v>
      </c>
      <c r="BT25" s="30"/>
      <c r="BU25" s="30"/>
      <c r="BV25" s="30"/>
      <c r="BW25" s="30"/>
      <c r="BX25" s="36">
        <v>68</v>
      </c>
      <c r="BY25" s="34">
        <v>4323529</v>
      </c>
      <c r="BZ25" s="36">
        <v>36</v>
      </c>
      <c r="CA25" s="34"/>
      <c r="CB25" s="34">
        <v>487000000</v>
      </c>
      <c r="CC25" s="32">
        <f t="shared" si="4"/>
        <v>293999972</v>
      </c>
      <c r="CD25" s="30" t="s">
        <v>551</v>
      </c>
      <c r="CE25" s="30" t="s">
        <v>81</v>
      </c>
      <c r="CF25" s="30" t="s">
        <v>196</v>
      </c>
      <c r="CG25" s="30"/>
      <c r="CH25" s="30"/>
      <c r="CI25" s="64" t="s">
        <v>552</v>
      </c>
      <c r="CJ25" s="64"/>
      <c r="CK25" s="64"/>
      <c r="CL25" s="64"/>
    </row>
    <row r="26" spans="1:90" ht="150" customHeight="1" x14ac:dyDescent="0.25">
      <c r="A26" s="30">
        <v>21.2</v>
      </c>
      <c r="B26" s="30" t="s">
        <v>540</v>
      </c>
      <c r="C26" s="30" t="s">
        <v>553</v>
      </c>
      <c r="D26" s="33">
        <v>45314</v>
      </c>
      <c r="E26" s="30" t="s">
        <v>542</v>
      </c>
      <c r="F26" s="30" t="s">
        <v>93</v>
      </c>
      <c r="G26" s="30"/>
      <c r="H26" s="30" t="s">
        <v>83</v>
      </c>
      <c r="I26" s="35">
        <v>72</v>
      </c>
      <c r="J26" s="30" t="s">
        <v>70</v>
      </c>
      <c r="K26" s="35">
        <v>45</v>
      </c>
      <c r="L26" s="35"/>
      <c r="M26" s="30"/>
      <c r="N26" s="30"/>
      <c r="O26" s="30"/>
      <c r="P26" s="30"/>
      <c r="Q26" s="30" t="s">
        <v>543</v>
      </c>
      <c r="R26" s="30" t="s">
        <v>554</v>
      </c>
      <c r="S26" s="30" t="s">
        <v>545</v>
      </c>
      <c r="T26" s="30" t="s">
        <v>190</v>
      </c>
      <c r="U26" s="30" t="s">
        <v>107</v>
      </c>
      <c r="V26" s="30" t="s">
        <v>92</v>
      </c>
      <c r="W26" s="30" t="s">
        <v>72</v>
      </c>
      <c r="X26" s="30" t="s">
        <v>85</v>
      </c>
      <c r="Y26" s="30" t="s">
        <v>73</v>
      </c>
      <c r="Z26" s="33">
        <v>45299</v>
      </c>
      <c r="AA26" s="33">
        <v>45299</v>
      </c>
      <c r="AB26" s="30" t="s">
        <v>90</v>
      </c>
      <c r="AC26" s="30"/>
      <c r="AD26" s="30"/>
      <c r="AE26" s="30"/>
      <c r="AF26" s="30"/>
      <c r="AG26" s="30"/>
      <c r="AH26" s="30"/>
      <c r="AI26" s="30"/>
      <c r="AJ26" s="31">
        <f t="shared" si="0"/>
        <v>72</v>
      </c>
      <c r="AK26" s="34">
        <f>252000000/AJ26</f>
        <v>3500000</v>
      </c>
      <c r="AL26" s="31">
        <f t="shared" si="1"/>
        <v>45</v>
      </c>
      <c r="AM26" s="34">
        <f>178900000/AL26</f>
        <v>3975555.5555555555</v>
      </c>
      <c r="AN26" s="34"/>
      <c r="AO26" s="34">
        <f t="shared" si="5"/>
        <v>430900000</v>
      </c>
      <c r="AP26" s="30" t="s">
        <v>546</v>
      </c>
      <c r="AQ26" s="30" t="s">
        <v>83</v>
      </c>
      <c r="AR26" s="30"/>
      <c r="AS26" s="30"/>
      <c r="AT26" s="30"/>
      <c r="AU26" s="30"/>
      <c r="AV26" s="35">
        <v>120</v>
      </c>
      <c r="AW26" s="34">
        <v>3422917</v>
      </c>
      <c r="AX26" s="35">
        <v>85</v>
      </c>
      <c r="AY26" s="34"/>
      <c r="AZ26" s="34">
        <v>550000000</v>
      </c>
      <c r="BA26" s="32">
        <f t="shared" si="2"/>
        <v>410750040</v>
      </c>
      <c r="BB26" s="30" t="s">
        <v>547</v>
      </c>
      <c r="BC26" s="30" t="s">
        <v>81</v>
      </c>
      <c r="BD26" s="30" t="s">
        <v>548</v>
      </c>
      <c r="BE26" s="30" t="s">
        <v>83</v>
      </c>
      <c r="BF26" s="30"/>
      <c r="BG26" s="30"/>
      <c r="BH26" s="30"/>
      <c r="BI26" s="30"/>
      <c r="BJ26" s="36">
        <v>70</v>
      </c>
      <c r="BK26" s="34">
        <v>3586607</v>
      </c>
      <c r="BL26" s="36">
        <v>125</v>
      </c>
      <c r="BM26" s="34"/>
      <c r="BN26" s="34">
        <v>600000000</v>
      </c>
      <c r="BO26" s="32">
        <f t="shared" si="3"/>
        <v>251062490</v>
      </c>
      <c r="BP26" s="30" t="s">
        <v>549</v>
      </c>
      <c r="BQ26" s="30" t="s">
        <v>81</v>
      </c>
      <c r="BR26" s="30" t="s">
        <v>550</v>
      </c>
      <c r="BS26" s="30" t="s">
        <v>83</v>
      </c>
      <c r="BT26" s="30"/>
      <c r="BU26" s="30"/>
      <c r="BV26" s="30"/>
      <c r="BW26" s="30"/>
      <c r="BX26" s="36">
        <v>68</v>
      </c>
      <c r="BY26" s="34">
        <v>4323529</v>
      </c>
      <c r="BZ26" s="36">
        <v>36</v>
      </c>
      <c r="CA26" s="34"/>
      <c r="CB26" s="34">
        <v>487000000</v>
      </c>
      <c r="CC26" s="32">
        <f t="shared" si="4"/>
        <v>293999972</v>
      </c>
      <c r="CD26" s="30" t="s">
        <v>551</v>
      </c>
      <c r="CE26" s="30" t="s">
        <v>81</v>
      </c>
      <c r="CF26" s="30" t="s">
        <v>196</v>
      </c>
      <c r="CG26" s="30"/>
      <c r="CH26" s="30"/>
      <c r="CI26" s="64"/>
      <c r="CJ26" s="64"/>
      <c r="CK26" s="64"/>
      <c r="CL26" s="64"/>
    </row>
    <row r="27" spans="1:90" ht="300" customHeight="1" x14ac:dyDescent="0.25">
      <c r="A27" s="30">
        <v>21.3</v>
      </c>
      <c r="B27" s="30" t="s">
        <v>555</v>
      </c>
      <c r="C27" s="30" t="s">
        <v>556</v>
      </c>
      <c r="D27" s="33">
        <v>45314</v>
      </c>
      <c r="E27" s="30" t="s">
        <v>185</v>
      </c>
      <c r="F27" s="30" t="s">
        <v>185</v>
      </c>
      <c r="G27" s="30"/>
      <c r="H27" s="30" t="s">
        <v>557</v>
      </c>
      <c r="I27" s="35">
        <v>81450</v>
      </c>
      <c r="J27" s="30" t="s">
        <v>70</v>
      </c>
      <c r="K27" s="35">
        <v>45181</v>
      </c>
      <c r="L27" s="35"/>
      <c r="M27" s="30" t="s">
        <v>397</v>
      </c>
      <c r="N27" s="30"/>
      <c r="O27" s="30"/>
      <c r="P27" s="30"/>
      <c r="Q27" s="30"/>
      <c r="R27" s="30" t="s">
        <v>558</v>
      </c>
      <c r="S27" s="30" t="s">
        <v>559</v>
      </c>
      <c r="T27" s="30" t="s">
        <v>560</v>
      </c>
      <c r="U27" s="30" t="s">
        <v>509</v>
      </c>
      <c r="V27" s="30" t="s">
        <v>167</v>
      </c>
      <c r="W27" s="30" t="s">
        <v>72</v>
      </c>
      <c r="X27" s="30" t="s">
        <v>85</v>
      </c>
      <c r="Y27" s="30" t="s">
        <v>73</v>
      </c>
      <c r="Z27" s="33">
        <v>45303</v>
      </c>
      <c r="AA27" s="33">
        <v>45669</v>
      </c>
      <c r="AB27" s="30" t="s">
        <v>90</v>
      </c>
      <c r="AC27" s="30"/>
      <c r="AD27" s="30"/>
      <c r="AE27" s="30"/>
      <c r="AF27" s="30"/>
      <c r="AG27" s="30"/>
      <c r="AH27" s="30"/>
      <c r="AI27" s="30"/>
      <c r="AJ27" s="31">
        <f t="shared" si="0"/>
        <v>81450</v>
      </c>
      <c r="AK27" s="34">
        <f>81450000000/AJ27</f>
        <v>1000000</v>
      </c>
      <c r="AL27" s="31">
        <f t="shared" si="1"/>
        <v>45181</v>
      </c>
      <c r="AM27" s="34">
        <f>51941800000/AL27</f>
        <v>1149638.1222195171</v>
      </c>
      <c r="AN27" s="34">
        <v>1510700000</v>
      </c>
      <c r="AO27" s="51">
        <f>(AJ27*AK27)+(AL27*AM27)+AN27+AN28</f>
        <v>155929460000</v>
      </c>
      <c r="AP27" s="30" t="s">
        <v>561</v>
      </c>
      <c r="AQ27" s="30" t="s">
        <v>97</v>
      </c>
      <c r="AR27" s="30"/>
      <c r="AS27" s="30"/>
      <c r="AT27" s="30"/>
      <c r="AU27" s="30"/>
      <c r="AV27" s="35">
        <v>27837</v>
      </c>
      <c r="AW27" s="34">
        <v>1385128</v>
      </c>
      <c r="AX27" s="35"/>
      <c r="AY27" s="34"/>
      <c r="AZ27" s="34">
        <v>55674000000</v>
      </c>
      <c r="BA27" s="32">
        <f t="shared" si="2"/>
        <v>38557808136</v>
      </c>
      <c r="BB27" s="30" t="s">
        <v>562</v>
      </c>
      <c r="BC27" s="30" t="s">
        <v>81</v>
      </c>
      <c r="BD27" s="30" t="s">
        <v>563</v>
      </c>
      <c r="BE27" s="30" t="s">
        <v>77</v>
      </c>
      <c r="BF27" s="30"/>
      <c r="BG27" s="30"/>
      <c r="BH27" s="30"/>
      <c r="BI27" s="30"/>
      <c r="BJ27" s="36">
        <v>14580</v>
      </c>
      <c r="BK27" s="34">
        <v>950000</v>
      </c>
      <c r="BL27" s="36"/>
      <c r="BM27" s="34"/>
      <c r="BN27" s="34">
        <v>16041300000</v>
      </c>
      <c r="BO27" s="32">
        <f t="shared" si="3"/>
        <v>13851000000</v>
      </c>
      <c r="BP27" s="30" t="s">
        <v>564</v>
      </c>
      <c r="BQ27" s="30" t="s">
        <v>81</v>
      </c>
      <c r="BR27" s="30" t="s">
        <v>565</v>
      </c>
      <c r="BS27" s="30" t="s">
        <v>77</v>
      </c>
      <c r="BT27" s="30"/>
      <c r="BU27" s="30"/>
      <c r="BV27" s="30"/>
      <c r="BW27" s="30"/>
      <c r="BX27" s="36">
        <v>50000</v>
      </c>
      <c r="BY27" s="34">
        <v>1300000</v>
      </c>
      <c r="BZ27" s="36"/>
      <c r="CA27" s="34"/>
      <c r="CB27" s="34">
        <v>90000000000</v>
      </c>
      <c r="CC27" s="32">
        <f t="shared" si="4"/>
        <v>65000000000</v>
      </c>
      <c r="CD27" s="30" t="s">
        <v>566</v>
      </c>
      <c r="CE27" s="30" t="s">
        <v>81</v>
      </c>
      <c r="CF27" s="54" t="s">
        <v>567</v>
      </c>
      <c r="CG27" s="30"/>
      <c r="CH27" s="30"/>
      <c r="CI27" s="64"/>
      <c r="CJ27" s="64"/>
      <c r="CK27" s="64"/>
      <c r="CL27" s="64"/>
    </row>
    <row r="28" spans="1:90" ht="90" customHeight="1" x14ac:dyDescent="0.25">
      <c r="A28" s="30">
        <v>21.4</v>
      </c>
      <c r="B28" s="30" t="s">
        <v>555</v>
      </c>
      <c r="C28" s="30" t="s">
        <v>556</v>
      </c>
      <c r="D28" s="33">
        <v>45314</v>
      </c>
      <c r="E28" s="30" t="s">
        <v>185</v>
      </c>
      <c r="F28" s="30" t="s">
        <v>185</v>
      </c>
      <c r="G28" s="30"/>
      <c r="H28" s="30" t="s">
        <v>221</v>
      </c>
      <c r="I28" s="35"/>
      <c r="J28" s="30"/>
      <c r="K28" s="35"/>
      <c r="L28" s="35"/>
      <c r="M28" s="30" t="s">
        <v>568</v>
      </c>
      <c r="N28" s="30"/>
      <c r="O28" s="30"/>
      <c r="P28" s="30"/>
      <c r="Q28" s="30"/>
      <c r="R28" s="30" t="s">
        <v>558</v>
      </c>
      <c r="S28" s="30" t="s">
        <v>559</v>
      </c>
      <c r="T28" s="30" t="s">
        <v>560</v>
      </c>
      <c r="U28" s="30" t="s">
        <v>509</v>
      </c>
      <c r="V28" s="30" t="s">
        <v>167</v>
      </c>
      <c r="W28" s="30" t="s">
        <v>72</v>
      </c>
      <c r="X28" s="30" t="s">
        <v>85</v>
      </c>
      <c r="Y28" s="30" t="s">
        <v>73</v>
      </c>
      <c r="Z28" s="33">
        <v>45303</v>
      </c>
      <c r="AA28" s="33">
        <v>45669</v>
      </c>
      <c r="AB28" s="30" t="s">
        <v>90</v>
      </c>
      <c r="AC28" s="30"/>
      <c r="AD28" s="30"/>
      <c r="AE28" s="30"/>
      <c r="AF28" s="30"/>
      <c r="AG28" s="30"/>
      <c r="AH28" s="30"/>
      <c r="AI28" s="30"/>
      <c r="AJ28" s="31">
        <f t="shared" si="0"/>
        <v>0</v>
      </c>
      <c r="AK28" s="34"/>
      <c r="AL28" s="31">
        <f t="shared" si="1"/>
        <v>0</v>
      </c>
      <c r="AM28" s="34"/>
      <c r="AN28" s="34">
        <v>21026960000</v>
      </c>
      <c r="AO28" s="53"/>
      <c r="AP28" s="30"/>
      <c r="AQ28" s="30"/>
      <c r="AR28" s="30"/>
      <c r="AS28" s="30"/>
      <c r="AT28" s="30"/>
      <c r="AU28" s="30"/>
      <c r="AV28" s="35"/>
      <c r="AW28" s="34"/>
      <c r="AX28" s="35"/>
      <c r="AY28" s="34"/>
      <c r="AZ28" s="34"/>
      <c r="BA28" s="32">
        <f t="shared" si="2"/>
        <v>0</v>
      </c>
      <c r="BB28" s="30"/>
      <c r="BC28" s="30"/>
      <c r="BD28" s="30"/>
      <c r="BE28" s="30"/>
      <c r="BF28" s="30"/>
      <c r="BG28" s="30"/>
      <c r="BH28" s="30"/>
      <c r="BI28" s="30"/>
      <c r="BJ28" s="36"/>
      <c r="BK28" s="34"/>
      <c r="BL28" s="36"/>
      <c r="BM28" s="34"/>
      <c r="BN28" s="34"/>
      <c r="BO28" s="32">
        <f t="shared" si="3"/>
        <v>0</v>
      </c>
      <c r="BP28" s="30"/>
      <c r="BQ28" s="30"/>
      <c r="BR28" s="30"/>
      <c r="BS28" s="30"/>
      <c r="BT28" s="30"/>
      <c r="BU28" s="30"/>
      <c r="BV28" s="30"/>
      <c r="BW28" s="30"/>
      <c r="BX28" s="36"/>
      <c r="BY28" s="34"/>
      <c r="BZ28" s="36"/>
      <c r="CA28" s="34"/>
      <c r="CB28" s="34"/>
      <c r="CC28" s="32">
        <f t="shared" si="4"/>
        <v>0</v>
      </c>
      <c r="CD28" s="30"/>
      <c r="CE28" s="30"/>
      <c r="CF28" s="58"/>
      <c r="CG28" s="30"/>
      <c r="CH28" s="30"/>
      <c r="CI28" s="64"/>
      <c r="CJ28" s="64"/>
      <c r="CK28" s="64"/>
      <c r="CL28" s="64"/>
    </row>
    <row r="29" spans="1:90" ht="90" customHeight="1" x14ac:dyDescent="0.25">
      <c r="A29" s="30">
        <v>21.5</v>
      </c>
      <c r="B29" s="30" t="s">
        <v>569</v>
      </c>
      <c r="C29" s="30" t="s">
        <v>570</v>
      </c>
      <c r="D29" s="33">
        <v>45320</v>
      </c>
      <c r="E29" s="30" t="s">
        <v>204</v>
      </c>
      <c r="F29" s="30" t="s">
        <v>204</v>
      </c>
      <c r="G29" s="30"/>
      <c r="H29" s="30" t="s">
        <v>97</v>
      </c>
      <c r="I29" s="35">
        <v>13800</v>
      </c>
      <c r="J29" s="30" t="s">
        <v>70</v>
      </c>
      <c r="K29" s="35">
        <v>181</v>
      </c>
      <c r="L29" s="35"/>
      <c r="M29" s="30" t="s">
        <v>397</v>
      </c>
      <c r="N29" s="30"/>
      <c r="O29" s="30"/>
      <c r="P29" s="30"/>
      <c r="Q29" s="30"/>
      <c r="R29" s="30" t="s">
        <v>571</v>
      </c>
      <c r="S29" s="30" t="s">
        <v>572</v>
      </c>
      <c r="T29" s="30" t="s">
        <v>573</v>
      </c>
      <c r="U29" s="30" t="s">
        <v>574</v>
      </c>
      <c r="V29" s="30" t="s">
        <v>92</v>
      </c>
      <c r="W29" s="30" t="s">
        <v>72</v>
      </c>
      <c r="X29" s="30" t="s">
        <v>85</v>
      </c>
      <c r="Y29" s="30" t="s">
        <v>73</v>
      </c>
      <c r="Z29" s="33">
        <v>45314</v>
      </c>
      <c r="AA29" s="33">
        <v>45314</v>
      </c>
      <c r="AB29" s="30" t="s">
        <v>90</v>
      </c>
      <c r="AC29" s="30"/>
      <c r="AD29" s="30"/>
      <c r="AE29" s="30"/>
      <c r="AF29" s="30"/>
      <c r="AG29" s="30"/>
      <c r="AH29" s="30"/>
      <c r="AI29" s="30"/>
      <c r="AJ29" s="31">
        <f t="shared" si="0"/>
        <v>13800</v>
      </c>
      <c r="AK29" s="34">
        <f>17940000000/AJ29</f>
        <v>1300000</v>
      </c>
      <c r="AL29" s="31">
        <f t="shared" si="1"/>
        <v>181</v>
      </c>
      <c r="AM29" s="34">
        <f>848400000/AL29</f>
        <v>4687292.8176795579</v>
      </c>
      <c r="AN29" s="34">
        <v>470800000</v>
      </c>
      <c r="AO29" s="51">
        <f>(AJ29*AK29)+(AL29*AM29)+AN29+AN30</f>
        <v>46523200000</v>
      </c>
      <c r="AP29" s="30" t="s">
        <v>575</v>
      </c>
      <c r="AQ29" s="30" t="s">
        <v>77</v>
      </c>
      <c r="AR29" s="30"/>
      <c r="AS29" s="30"/>
      <c r="AT29" s="30"/>
      <c r="AU29" s="30"/>
      <c r="AV29" s="35">
        <v>6150</v>
      </c>
      <c r="AW29" s="34">
        <v>1300000</v>
      </c>
      <c r="AX29" s="35"/>
      <c r="AY29" s="34"/>
      <c r="AZ29" s="34">
        <v>9000000000</v>
      </c>
      <c r="BA29" s="32">
        <f t="shared" si="2"/>
        <v>7995000000</v>
      </c>
      <c r="BB29" s="30" t="s">
        <v>576</v>
      </c>
      <c r="BC29" s="30" t="s">
        <v>81</v>
      </c>
      <c r="BD29" s="30" t="s">
        <v>577</v>
      </c>
      <c r="BE29" s="30" t="s">
        <v>77</v>
      </c>
      <c r="BF29" s="30"/>
      <c r="BG29" s="30"/>
      <c r="BH29" s="30"/>
      <c r="BI29" s="30"/>
      <c r="BJ29" s="36">
        <v>3810</v>
      </c>
      <c r="BK29" s="34">
        <v>1500000</v>
      </c>
      <c r="BL29" s="36"/>
      <c r="BM29" s="34"/>
      <c r="BN29" s="34">
        <v>6858000000</v>
      </c>
      <c r="BO29" s="32">
        <f t="shared" si="3"/>
        <v>5715000000</v>
      </c>
      <c r="BP29" s="30" t="s">
        <v>578</v>
      </c>
      <c r="BQ29" s="30" t="s">
        <v>81</v>
      </c>
      <c r="BR29" s="30" t="s">
        <v>579</v>
      </c>
      <c r="BS29" s="30" t="s">
        <v>77</v>
      </c>
      <c r="BT29" s="30"/>
      <c r="BU29" s="30"/>
      <c r="BV29" s="30"/>
      <c r="BW29" s="30"/>
      <c r="BX29" s="36">
        <v>4700</v>
      </c>
      <c r="BY29" s="34">
        <v>1600000</v>
      </c>
      <c r="BZ29" s="36"/>
      <c r="CA29" s="34"/>
      <c r="CB29" s="34">
        <v>9400000000</v>
      </c>
      <c r="CC29" s="32">
        <f t="shared" si="4"/>
        <v>7520000000</v>
      </c>
      <c r="CD29" s="30" t="s">
        <v>580</v>
      </c>
      <c r="CE29" s="30" t="s">
        <v>81</v>
      </c>
      <c r="CF29" s="30" t="s">
        <v>581</v>
      </c>
      <c r="CG29" s="30"/>
      <c r="CH29" s="30"/>
      <c r="CI29" s="64"/>
      <c r="CJ29" s="64"/>
      <c r="CK29" s="64"/>
      <c r="CL29" s="64"/>
    </row>
    <row r="30" spans="1:90" ht="90" customHeight="1" x14ac:dyDescent="0.25">
      <c r="A30" s="30">
        <v>21.6</v>
      </c>
      <c r="B30" s="30" t="s">
        <v>569</v>
      </c>
      <c r="C30" s="30" t="s">
        <v>570</v>
      </c>
      <c r="D30" s="33">
        <v>45320</v>
      </c>
      <c r="E30" s="30" t="s">
        <v>204</v>
      </c>
      <c r="F30" s="30" t="s">
        <v>204</v>
      </c>
      <c r="G30" s="30"/>
      <c r="H30" s="30" t="s">
        <v>582</v>
      </c>
      <c r="I30" s="35"/>
      <c r="J30" s="30"/>
      <c r="K30" s="35"/>
      <c r="L30" s="35"/>
      <c r="M30" s="30"/>
      <c r="N30" s="30"/>
      <c r="O30" s="30"/>
      <c r="P30" s="30"/>
      <c r="Q30" s="30"/>
      <c r="R30" s="30" t="s">
        <v>571</v>
      </c>
      <c r="S30" s="30" t="s">
        <v>572</v>
      </c>
      <c r="T30" s="30" t="s">
        <v>573</v>
      </c>
      <c r="U30" s="30" t="s">
        <v>574</v>
      </c>
      <c r="V30" s="30" t="s">
        <v>92</v>
      </c>
      <c r="W30" s="30" t="s">
        <v>72</v>
      </c>
      <c r="X30" s="30" t="s">
        <v>85</v>
      </c>
      <c r="Y30" s="30" t="s">
        <v>73</v>
      </c>
      <c r="Z30" s="33">
        <v>45314</v>
      </c>
      <c r="AA30" s="33">
        <v>45314</v>
      </c>
      <c r="AB30" s="30" t="s">
        <v>90</v>
      </c>
      <c r="AC30" s="30"/>
      <c r="AD30" s="30"/>
      <c r="AE30" s="30"/>
      <c r="AF30" s="30"/>
      <c r="AG30" s="30"/>
      <c r="AH30" s="30"/>
      <c r="AI30" s="30"/>
      <c r="AJ30" s="31">
        <f t="shared" si="0"/>
        <v>0</v>
      </c>
      <c r="AK30" s="34"/>
      <c r="AL30" s="31">
        <f t="shared" si="1"/>
        <v>0</v>
      </c>
      <c r="AM30" s="34"/>
      <c r="AN30" s="34">
        <v>27264000000</v>
      </c>
      <c r="AO30" s="53"/>
      <c r="AP30" s="30"/>
      <c r="AQ30" s="30"/>
      <c r="AR30" s="30"/>
      <c r="AS30" s="30"/>
      <c r="AT30" s="30"/>
      <c r="AU30" s="30"/>
      <c r="AV30" s="35"/>
      <c r="AW30" s="34"/>
      <c r="AX30" s="35"/>
      <c r="AY30" s="34"/>
      <c r="AZ30" s="34"/>
      <c r="BA30" s="32">
        <f t="shared" si="2"/>
        <v>0</v>
      </c>
      <c r="BB30" s="30"/>
      <c r="BC30" s="30"/>
      <c r="BD30" s="30"/>
      <c r="BE30" s="30"/>
      <c r="BF30" s="30"/>
      <c r="BG30" s="30"/>
      <c r="BH30" s="30"/>
      <c r="BI30" s="30"/>
      <c r="BJ30" s="36"/>
      <c r="BK30" s="34"/>
      <c r="BL30" s="36"/>
      <c r="BM30" s="34"/>
      <c r="BN30" s="34"/>
      <c r="BO30" s="32">
        <f t="shared" si="3"/>
        <v>0</v>
      </c>
      <c r="BP30" s="30"/>
      <c r="BQ30" s="30"/>
      <c r="BR30" s="30"/>
      <c r="BS30" s="30"/>
      <c r="BT30" s="30"/>
      <c r="BU30" s="30"/>
      <c r="BV30" s="30"/>
      <c r="BW30" s="30"/>
      <c r="BX30" s="36"/>
      <c r="BY30" s="34"/>
      <c r="BZ30" s="36"/>
      <c r="CA30" s="34"/>
      <c r="CB30" s="34"/>
      <c r="CC30" s="32">
        <f t="shared" si="4"/>
        <v>0</v>
      </c>
      <c r="CD30" s="30"/>
      <c r="CE30" s="30"/>
      <c r="CF30" s="30" t="s">
        <v>581</v>
      </c>
      <c r="CG30" s="30"/>
      <c r="CH30" s="30"/>
      <c r="CI30" s="64"/>
      <c r="CJ30" s="64"/>
      <c r="CK30" s="64"/>
      <c r="CL30" s="64"/>
    </row>
    <row r="31" spans="1:90" ht="45" x14ac:dyDescent="0.25">
      <c r="A31" s="30">
        <v>21.7</v>
      </c>
      <c r="B31" s="30" t="s">
        <v>583</v>
      </c>
      <c r="C31" s="30" t="s">
        <v>584</v>
      </c>
      <c r="D31" s="33">
        <v>45322</v>
      </c>
      <c r="E31" s="30" t="s">
        <v>585</v>
      </c>
      <c r="F31" s="30" t="s">
        <v>585</v>
      </c>
      <c r="G31" s="30"/>
      <c r="H31" s="30" t="s">
        <v>586</v>
      </c>
      <c r="I31" s="35"/>
      <c r="J31" s="30"/>
      <c r="K31" s="35"/>
      <c r="L31" s="35"/>
      <c r="M31" s="30"/>
      <c r="N31" s="30"/>
      <c r="O31" s="30">
        <v>124.762</v>
      </c>
      <c r="P31" s="30" t="s">
        <v>466</v>
      </c>
      <c r="Q31" s="30" t="s">
        <v>587</v>
      </c>
      <c r="R31" s="30"/>
      <c r="S31" s="30"/>
      <c r="T31" s="30"/>
      <c r="U31" s="30" t="s">
        <v>588</v>
      </c>
      <c r="V31" s="30" t="s">
        <v>84</v>
      </c>
      <c r="W31" s="30" t="s">
        <v>72</v>
      </c>
      <c r="X31" s="30" t="s">
        <v>142</v>
      </c>
      <c r="Y31" s="30" t="s">
        <v>89</v>
      </c>
      <c r="Z31" s="33">
        <v>45282</v>
      </c>
      <c r="AA31" s="33">
        <v>45282</v>
      </c>
      <c r="AB31" s="30" t="s">
        <v>90</v>
      </c>
      <c r="AC31" s="30"/>
      <c r="AD31" s="30"/>
      <c r="AE31" s="30" t="s">
        <v>589</v>
      </c>
      <c r="AF31" s="30"/>
      <c r="AG31" s="30">
        <v>8011811</v>
      </c>
      <c r="AH31" s="30"/>
      <c r="AI31" s="30"/>
      <c r="AJ31" s="31">
        <f t="shared" si="0"/>
        <v>0</v>
      </c>
      <c r="AK31" s="34"/>
      <c r="AL31" s="31">
        <f t="shared" si="1"/>
        <v>0</v>
      </c>
      <c r="AM31" s="34"/>
      <c r="AN31" s="34"/>
      <c r="AO31" s="34">
        <v>805797537323</v>
      </c>
      <c r="AP31" s="30"/>
      <c r="AQ31" s="30"/>
      <c r="AR31" s="30"/>
      <c r="AS31" s="30"/>
      <c r="AT31" s="30"/>
      <c r="AU31" s="30"/>
      <c r="AV31" s="35"/>
      <c r="AW31" s="34"/>
      <c r="AX31" s="35"/>
      <c r="AY31" s="34"/>
      <c r="AZ31" s="34"/>
      <c r="BA31" s="32">
        <f t="shared" si="2"/>
        <v>0</v>
      </c>
      <c r="BB31" s="30"/>
      <c r="BC31" s="30"/>
      <c r="BD31" s="30"/>
      <c r="BE31" s="30"/>
      <c r="BF31" s="30"/>
      <c r="BG31" s="30"/>
      <c r="BH31" s="30"/>
      <c r="BI31" s="30"/>
      <c r="BJ31" s="36"/>
      <c r="BK31" s="34"/>
      <c r="BL31" s="36"/>
      <c r="BM31" s="34"/>
      <c r="BN31" s="34"/>
      <c r="BO31" s="32">
        <f t="shared" si="3"/>
        <v>0</v>
      </c>
      <c r="BP31" s="30"/>
      <c r="BQ31" s="30"/>
      <c r="BR31" s="30"/>
      <c r="BS31" s="30"/>
      <c r="BT31" s="30"/>
      <c r="BU31" s="30"/>
      <c r="BV31" s="30"/>
      <c r="BW31" s="30"/>
      <c r="BX31" s="36"/>
      <c r="BY31" s="34"/>
      <c r="BZ31" s="36"/>
      <c r="CA31" s="34"/>
      <c r="CB31" s="34"/>
      <c r="CC31" s="32">
        <f t="shared" si="4"/>
        <v>0</v>
      </c>
      <c r="CD31" s="30"/>
      <c r="CE31" s="30"/>
      <c r="CF31" s="30"/>
      <c r="CG31" s="30"/>
      <c r="CH31" s="30"/>
      <c r="CI31" s="64"/>
      <c r="CJ31" s="64"/>
      <c r="CK31" s="64"/>
      <c r="CL31" s="64"/>
    </row>
    <row r="32" spans="1:90" ht="135" customHeight="1" x14ac:dyDescent="0.25">
      <c r="A32" s="30" t="s">
        <v>106</v>
      </c>
      <c r="B32" s="30" t="s">
        <v>590</v>
      </c>
      <c r="C32" s="30" t="s">
        <v>591</v>
      </c>
      <c r="D32" s="33">
        <v>45322</v>
      </c>
      <c r="E32" s="30" t="s">
        <v>159</v>
      </c>
      <c r="F32" s="30" t="s">
        <v>200</v>
      </c>
      <c r="G32" s="30"/>
      <c r="H32" s="30" t="s">
        <v>83</v>
      </c>
      <c r="I32" s="35">
        <v>410</v>
      </c>
      <c r="J32" s="30" t="s">
        <v>70</v>
      </c>
      <c r="K32" s="35">
        <v>520</v>
      </c>
      <c r="L32" s="35"/>
      <c r="M32" s="30"/>
      <c r="N32" s="30"/>
      <c r="O32" s="30"/>
      <c r="P32" s="30"/>
      <c r="Q32" s="30"/>
      <c r="R32" s="30" t="s">
        <v>160</v>
      </c>
      <c r="S32" s="30" t="s">
        <v>592</v>
      </c>
      <c r="T32" s="30" t="s">
        <v>117</v>
      </c>
      <c r="U32" s="30" t="s">
        <v>98</v>
      </c>
      <c r="V32" s="30" t="s">
        <v>84</v>
      </c>
      <c r="W32" s="30" t="s">
        <v>72</v>
      </c>
      <c r="X32" s="30" t="s">
        <v>85</v>
      </c>
      <c r="Y32" s="30" t="s">
        <v>73</v>
      </c>
      <c r="Z32" s="33">
        <v>45301</v>
      </c>
      <c r="AA32" s="33">
        <v>45301</v>
      </c>
      <c r="AB32" s="30" t="s">
        <v>90</v>
      </c>
      <c r="AC32" s="30"/>
      <c r="AD32" s="30"/>
      <c r="AE32" s="30"/>
      <c r="AF32" s="30"/>
      <c r="AG32" s="30"/>
      <c r="AH32" s="30"/>
      <c r="AI32" s="30"/>
      <c r="AJ32" s="31">
        <f t="shared" si="0"/>
        <v>410</v>
      </c>
      <c r="AK32" s="34">
        <f>25010000000/AJ32</f>
        <v>61000000</v>
      </c>
      <c r="AL32" s="31">
        <f t="shared" si="1"/>
        <v>520</v>
      </c>
      <c r="AM32" s="34">
        <f>2291400000/AL32</f>
        <v>4406538.461538462</v>
      </c>
      <c r="AN32" s="34"/>
      <c r="AO32" s="51">
        <f>(AJ32*AK32)+(AL32*AM32)+AN32+(AJ33*AK33)+(AL33*AM33)+AN33</f>
        <v>42804700000</v>
      </c>
      <c r="AP32" s="30" t="s">
        <v>593</v>
      </c>
      <c r="AQ32" s="30" t="s">
        <v>83</v>
      </c>
      <c r="AR32" s="30"/>
      <c r="AS32" s="30"/>
      <c r="AT32" s="30"/>
      <c r="AU32" s="30"/>
      <c r="AV32" s="35">
        <v>863</v>
      </c>
      <c r="AW32" s="34">
        <v>59096176</v>
      </c>
      <c r="AX32" s="35"/>
      <c r="AY32" s="34"/>
      <c r="AZ32" s="34">
        <v>56095000000</v>
      </c>
      <c r="BA32" s="32">
        <f t="shared" si="2"/>
        <v>50999999888</v>
      </c>
      <c r="BB32" s="30" t="s">
        <v>594</v>
      </c>
      <c r="BC32" s="30" t="s">
        <v>81</v>
      </c>
      <c r="BD32" s="30" t="s">
        <v>593</v>
      </c>
      <c r="BE32" s="30" t="s">
        <v>77</v>
      </c>
      <c r="BF32" s="30"/>
      <c r="BG32" s="30"/>
      <c r="BH32" s="30"/>
      <c r="BI32" s="30"/>
      <c r="BJ32" s="36">
        <v>640</v>
      </c>
      <c r="BK32" s="34">
        <v>60937500</v>
      </c>
      <c r="BL32" s="36"/>
      <c r="BM32" s="34"/>
      <c r="BN32" s="34">
        <v>48000000000</v>
      </c>
      <c r="BO32" s="32">
        <f t="shared" si="3"/>
        <v>39000000000</v>
      </c>
      <c r="BP32" s="30" t="s">
        <v>595</v>
      </c>
      <c r="BQ32" s="30" t="s">
        <v>81</v>
      </c>
      <c r="BR32" s="30" t="s">
        <v>596</v>
      </c>
      <c r="BS32" s="30" t="s">
        <v>83</v>
      </c>
      <c r="BT32" s="30"/>
      <c r="BU32" s="30"/>
      <c r="BV32" s="30"/>
      <c r="BW32" s="30"/>
      <c r="BX32" s="36">
        <v>518</v>
      </c>
      <c r="BY32" s="34">
        <v>61776062</v>
      </c>
      <c r="BZ32" s="36"/>
      <c r="CA32" s="34"/>
      <c r="CB32" s="34">
        <v>36000000000</v>
      </c>
      <c r="CC32" s="32">
        <f t="shared" si="4"/>
        <v>32000000116</v>
      </c>
      <c r="CD32" s="30" t="s">
        <v>162</v>
      </c>
      <c r="CE32" s="30" t="s">
        <v>81</v>
      </c>
      <c r="CF32" s="30" t="s">
        <v>597</v>
      </c>
      <c r="CG32" s="30"/>
      <c r="CH32" s="30"/>
      <c r="CI32" s="64"/>
      <c r="CJ32" s="64"/>
      <c r="CK32" s="64"/>
      <c r="CL32" s="64"/>
    </row>
    <row r="33" spans="1:90" ht="135" x14ac:dyDescent="0.25">
      <c r="A33" s="30">
        <v>21.9</v>
      </c>
      <c r="B33" s="30" t="s">
        <v>590</v>
      </c>
      <c r="C33" s="30" t="s">
        <v>591</v>
      </c>
      <c r="D33" s="33">
        <v>45322</v>
      </c>
      <c r="E33" s="30" t="s">
        <v>159</v>
      </c>
      <c r="F33" s="30" t="s">
        <v>200</v>
      </c>
      <c r="G33" s="30"/>
      <c r="H33" s="30" t="s">
        <v>113</v>
      </c>
      <c r="I33" s="35">
        <v>1993</v>
      </c>
      <c r="J33" s="30" t="s">
        <v>70</v>
      </c>
      <c r="K33" s="35">
        <v>966</v>
      </c>
      <c r="L33" s="35"/>
      <c r="M33" s="30" t="s">
        <v>397</v>
      </c>
      <c r="N33" s="30"/>
      <c r="O33" s="30"/>
      <c r="P33" s="30"/>
      <c r="Q33" s="30"/>
      <c r="R33" s="30" t="s">
        <v>598</v>
      </c>
      <c r="S33" s="30" t="s">
        <v>163</v>
      </c>
      <c r="T33" s="30" t="s">
        <v>599</v>
      </c>
      <c r="U33" s="30" t="s">
        <v>164</v>
      </c>
      <c r="V33" s="30" t="s">
        <v>84</v>
      </c>
      <c r="W33" s="30" t="s">
        <v>72</v>
      </c>
      <c r="X33" s="30" t="s">
        <v>85</v>
      </c>
      <c r="Y33" s="30" t="s">
        <v>73</v>
      </c>
      <c r="Z33" s="33">
        <v>45301</v>
      </c>
      <c r="AA33" s="33">
        <v>45301</v>
      </c>
      <c r="AB33" s="30" t="s">
        <v>90</v>
      </c>
      <c r="AC33" s="30"/>
      <c r="AD33" s="30"/>
      <c r="AE33" s="30"/>
      <c r="AF33" s="30"/>
      <c r="AG33" s="30"/>
      <c r="AH33" s="30"/>
      <c r="AI33" s="30"/>
      <c r="AJ33" s="31">
        <f t="shared" si="0"/>
        <v>1993</v>
      </c>
      <c r="AK33" s="34">
        <f>13552400000/AJ33</f>
        <v>6800000</v>
      </c>
      <c r="AL33" s="31">
        <f t="shared" si="1"/>
        <v>966</v>
      </c>
      <c r="AM33" s="34">
        <f>1731900000/AL33</f>
        <v>1792857.142857143</v>
      </c>
      <c r="AN33" s="34">
        <v>219000000</v>
      </c>
      <c r="AO33" s="53"/>
      <c r="AP33" s="30" t="s">
        <v>600</v>
      </c>
      <c r="AQ33" s="30" t="s">
        <v>77</v>
      </c>
      <c r="AR33" s="30"/>
      <c r="AS33" s="30"/>
      <c r="AT33" s="30"/>
      <c r="AU33" s="30"/>
      <c r="AV33" s="35">
        <v>2701</v>
      </c>
      <c r="AW33" s="34">
        <v>6700000</v>
      </c>
      <c r="AX33" s="35"/>
      <c r="AY33" s="34"/>
      <c r="AZ33" s="34">
        <v>22958500000</v>
      </c>
      <c r="BA33" s="32">
        <f t="shared" si="2"/>
        <v>18096700000</v>
      </c>
      <c r="BB33" s="30" t="s">
        <v>601</v>
      </c>
      <c r="BC33" s="30" t="s">
        <v>81</v>
      </c>
      <c r="BD33" s="30" t="s">
        <v>602</v>
      </c>
      <c r="BE33" s="30" t="s">
        <v>97</v>
      </c>
      <c r="BF33" s="30"/>
      <c r="BG33" s="30"/>
      <c r="BH33" s="30"/>
      <c r="BI33" s="30"/>
      <c r="BJ33" s="36">
        <v>742</v>
      </c>
      <c r="BK33" s="34">
        <v>6945013</v>
      </c>
      <c r="BL33" s="36">
        <v>500</v>
      </c>
      <c r="BM33" s="34"/>
      <c r="BN33" s="34">
        <v>7000000000</v>
      </c>
      <c r="BO33" s="32">
        <f t="shared" si="3"/>
        <v>5153199646</v>
      </c>
      <c r="BP33" s="30" t="s">
        <v>603</v>
      </c>
      <c r="BQ33" s="30" t="s">
        <v>81</v>
      </c>
      <c r="BR33" s="30" t="s">
        <v>604</v>
      </c>
      <c r="BS33" s="30" t="s">
        <v>86</v>
      </c>
      <c r="BT33" s="30"/>
      <c r="BU33" s="30"/>
      <c r="BV33" s="30"/>
      <c r="BW33" s="30"/>
      <c r="BX33" s="36">
        <v>1080</v>
      </c>
      <c r="BY33" s="34">
        <v>6750370</v>
      </c>
      <c r="BZ33" s="36">
        <v>800</v>
      </c>
      <c r="CA33" s="34"/>
      <c r="CB33" s="34">
        <v>10000000000</v>
      </c>
      <c r="CC33" s="32">
        <f t="shared" si="4"/>
        <v>7290399600</v>
      </c>
      <c r="CD33" s="30" t="s">
        <v>165</v>
      </c>
      <c r="CE33" s="30" t="s">
        <v>81</v>
      </c>
      <c r="CF33" s="30" t="s">
        <v>196</v>
      </c>
      <c r="CG33" s="30"/>
      <c r="CH33" s="30"/>
      <c r="CI33" s="64"/>
      <c r="CJ33" s="64"/>
      <c r="CK33" s="64"/>
      <c r="CL33" s="64"/>
    </row>
    <row r="34" spans="1:90" ht="150" customHeight="1" x14ac:dyDescent="0.25">
      <c r="A34" s="30">
        <v>21.1</v>
      </c>
      <c r="B34" s="30" t="s">
        <v>605</v>
      </c>
      <c r="C34" s="30" t="s">
        <v>606</v>
      </c>
      <c r="D34" s="33">
        <v>45329</v>
      </c>
      <c r="E34" s="30" t="s">
        <v>93</v>
      </c>
      <c r="F34" s="30" t="s">
        <v>93</v>
      </c>
      <c r="G34" s="30"/>
      <c r="H34" s="30" t="s">
        <v>83</v>
      </c>
      <c r="I34" s="35">
        <v>120</v>
      </c>
      <c r="J34" s="30" t="s">
        <v>70</v>
      </c>
      <c r="K34" s="35">
        <v>138</v>
      </c>
      <c r="L34" s="35"/>
      <c r="M34" s="30"/>
      <c r="N34" s="30"/>
      <c r="O34" s="30"/>
      <c r="P34" s="30"/>
      <c r="Q34" s="30" t="s">
        <v>607</v>
      </c>
      <c r="R34" s="30" t="s">
        <v>608</v>
      </c>
      <c r="S34" s="30" t="s">
        <v>609</v>
      </c>
      <c r="T34" s="30" t="s">
        <v>236</v>
      </c>
      <c r="U34" s="30" t="s">
        <v>107</v>
      </c>
      <c r="V34" s="30" t="s">
        <v>92</v>
      </c>
      <c r="W34" s="30" t="s">
        <v>72</v>
      </c>
      <c r="X34" s="30" t="s">
        <v>85</v>
      </c>
      <c r="Y34" s="30" t="s">
        <v>73</v>
      </c>
      <c r="Z34" s="33">
        <v>45324</v>
      </c>
      <c r="AA34" s="33">
        <v>45324</v>
      </c>
      <c r="AB34" s="30" t="s">
        <v>74</v>
      </c>
      <c r="AC34" s="30"/>
      <c r="AD34" s="30"/>
      <c r="AE34" s="30"/>
      <c r="AF34" s="30"/>
      <c r="AG34" s="30"/>
      <c r="AH34" s="30"/>
      <c r="AI34" s="30"/>
      <c r="AJ34" s="31">
        <f t="shared" si="0"/>
        <v>120</v>
      </c>
      <c r="AK34" s="34">
        <f>528000000/AJ34</f>
        <v>4400000</v>
      </c>
      <c r="AL34" s="31">
        <f t="shared" si="1"/>
        <v>138</v>
      </c>
      <c r="AM34" s="34">
        <f>483000000/AL34</f>
        <v>3500000</v>
      </c>
      <c r="AN34" s="34"/>
      <c r="AO34" s="34">
        <f t="shared" si="5"/>
        <v>1011000000</v>
      </c>
      <c r="AP34" s="30" t="s">
        <v>610</v>
      </c>
      <c r="AQ34" s="30" t="s">
        <v>83</v>
      </c>
      <c r="AR34" s="30"/>
      <c r="AS34" s="30"/>
      <c r="AT34" s="30"/>
      <c r="AU34" s="30"/>
      <c r="AV34" s="35">
        <v>120</v>
      </c>
      <c r="AW34" s="34">
        <v>4404100</v>
      </c>
      <c r="AX34" s="35">
        <v>90</v>
      </c>
      <c r="AY34" s="34"/>
      <c r="AZ34" s="34">
        <v>875000000</v>
      </c>
      <c r="BA34" s="32">
        <f t="shared" si="2"/>
        <v>528492000</v>
      </c>
      <c r="BB34" s="30" t="s">
        <v>611</v>
      </c>
      <c r="BC34" s="30" t="s">
        <v>81</v>
      </c>
      <c r="BD34" s="30" t="s">
        <v>612</v>
      </c>
      <c r="BE34" s="30" t="s">
        <v>83</v>
      </c>
      <c r="BF34" s="30"/>
      <c r="BG34" s="30"/>
      <c r="BH34" s="30"/>
      <c r="BI34" s="30"/>
      <c r="BJ34" s="36">
        <v>120</v>
      </c>
      <c r="BK34" s="34">
        <v>4367646</v>
      </c>
      <c r="BL34" s="36">
        <v>50</v>
      </c>
      <c r="BM34" s="34"/>
      <c r="BN34" s="34">
        <v>720000000</v>
      </c>
      <c r="BO34" s="32">
        <f t="shared" si="3"/>
        <v>524117520</v>
      </c>
      <c r="BP34" s="30" t="s">
        <v>613</v>
      </c>
      <c r="BQ34" s="30" t="s">
        <v>81</v>
      </c>
      <c r="BR34" s="30" t="s">
        <v>612</v>
      </c>
      <c r="BS34" s="30" t="s">
        <v>83</v>
      </c>
      <c r="BT34" s="30"/>
      <c r="BU34" s="30"/>
      <c r="BV34" s="30"/>
      <c r="BW34" s="30"/>
      <c r="BX34" s="36">
        <v>120</v>
      </c>
      <c r="BY34" s="34">
        <v>4410417</v>
      </c>
      <c r="BZ34" s="36">
        <v>153</v>
      </c>
      <c r="CA34" s="34"/>
      <c r="CB34" s="34">
        <v>1100000000</v>
      </c>
      <c r="CC34" s="32">
        <f t="shared" si="4"/>
        <v>529250040</v>
      </c>
      <c r="CD34" s="30" t="s">
        <v>614</v>
      </c>
      <c r="CE34" s="30" t="s">
        <v>81</v>
      </c>
      <c r="CF34" s="30" t="s">
        <v>196</v>
      </c>
      <c r="CG34" s="30"/>
      <c r="CH34" s="30"/>
      <c r="CI34" s="64"/>
      <c r="CJ34" s="64"/>
      <c r="CK34" s="64"/>
      <c r="CL34" s="64"/>
    </row>
    <row r="35" spans="1:90" ht="150" x14ac:dyDescent="0.25">
      <c r="A35" s="30">
        <v>21.11</v>
      </c>
      <c r="B35" s="30" t="s">
        <v>605</v>
      </c>
      <c r="C35" s="30" t="s">
        <v>615</v>
      </c>
      <c r="D35" s="33">
        <v>45329</v>
      </c>
      <c r="E35" s="30" t="s">
        <v>93</v>
      </c>
      <c r="F35" s="30" t="s">
        <v>93</v>
      </c>
      <c r="G35" s="30"/>
      <c r="H35" s="30" t="s">
        <v>83</v>
      </c>
      <c r="I35" s="35">
        <v>165</v>
      </c>
      <c r="J35" s="30" t="s">
        <v>70</v>
      </c>
      <c r="K35" s="35">
        <v>113</v>
      </c>
      <c r="L35" s="35"/>
      <c r="M35" s="30"/>
      <c r="N35" s="30"/>
      <c r="O35" s="30"/>
      <c r="P35" s="30"/>
      <c r="Q35" s="30" t="s">
        <v>616</v>
      </c>
      <c r="R35" s="30" t="s">
        <v>617</v>
      </c>
      <c r="S35" s="30" t="s">
        <v>618</v>
      </c>
      <c r="T35" s="30" t="s">
        <v>193</v>
      </c>
      <c r="U35" s="30" t="s">
        <v>124</v>
      </c>
      <c r="V35" s="30" t="s">
        <v>92</v>
      </c>
      <c r="W35" s="30" t="s">
        <v>72</v>
      </c>
      <c r="X35" s="30" t="s">
        <v>85</v>
      </c>
      <c r="Y35" s="30" t="s">
        <v>73</v>
      </c>
      <c r="Z35" s="33">
        <v>45324</v>
      </c>
      <c r="AA35" s="33">
        <v>45324</v>
      </c>
      <c r="AB35" s="30" t="s">
        <v>74</v>
      </c>
      <c r="AC35" s="30"/>
      <c r="AD35" s="30"/>
      <c r="AE35" s="30"/>
      <c r="AF35" s="30"/>
      <c r="AG35" s="30"/>
      <c r="AH35" s="30"/>
      <c r="AI35" s="30"/>
      <c r="AJ35" s="31">
        <f t="shared" si="0"/>
        <v>165</v>
      </c>
      <c r="AK35" s="34">
        <f>990000000/AJ35</f>
        <v>6000000</v>
      </c>
      <c r="AL35" s="31">
        <f t="shared" si="1"/>
        <v>113</v>
      </c>
      <c r="AM35" s="34">
        <f>128300000/AL35</f>
        <v>1135398.2300884956</v>
      </c>
      <c r="AN35" s="34"/>
      <c r="AO35" s="34">
        <f t="shared" si="5"/>
        <v>1118300000</v>
      </c>
      <c r="AP35" s="30" t="s">
        <v>619</v>
      </c>
      <c r="AQ35" s="30" t="s">
        <v>83</v>
      </c>
      <c r="AR35" s="30"/>
      <c r="AS35" s="30"/>
      <c r="AT35" s="30"/>
      <c r="AU35" s="30"/>
      <c r="AV35" s="35">
        <v>165</v>
      </c>
      <c r="AW35" s="34">
        <v>5972558</v>
      </c>
      <c r="AX35" s="35">
        <v>170</v>
      </c>
      <c r="AY35" s="34"/>
      <c r="AZ35" s="34">
        <v>1600000000</v>
      </c>
      <c r="BA35" s="32">
        <f t="shared" si="2"/>
        <v>985472070</v>
      </c>
      <c r="BB35" s="30" t="s">
        <v>620</v>
      </c>
      <c r="BC35" s="30" t="s">
        <v>81</v>
      </c>
      <c r="BD35" s="30" t="s">
        <v>621</v>
      </c>
      <c r="BE35" s="30" t="s">
        <v>83</v>
      </c>
      <c r="BF35" s="30"/>
      <c r="BG35" s="30"/>
      <c r="BH35" s="30"/>
      <c r="BI35" s="30"/>
      <c r="BJ35" s="36">
        <v>200</v>
      </c>
      <c r="BK35" s="34">
        <v>6055440</v>
      </c>
      <c r="BL35" s="36">
        <v>180</v>
      </c>
      <c r="BM35" s="34"/>
      <c r="BN35" s="34">
        <v>2000000000</v>
      </c>
      <c r="BO35" s="32">
        <f t="shared" si="3"/>
        <v>1211088000</v>
      </c>
      <c r="BP35" s="30" t="s">
        <v>622</v>
      </c>
      <c r="BQ35" s="30" t="s">
        <v>81</v>
      </c>
      <c r="BR35" s="30" t="s">
        <v>623</v>
      </c>
      <c r="BS35" s="30" t="s">
        <v>83</v>
      </c>
      <c r="BT35" s="30"/>
      <c r="BU35" s="30"/>
      <c r="BV35" s="30"/>
      <c r="BW35" s="30"/>
      <c r="BX35" s="36">
        <v>240</v>
      </c>
      <c r="BY35" s="34">
        <v>5892188</v>
      </c>
      <c r="BZ35" s="36">
        <v>150</v>
      </c>
      <c r="CA35" s="34"/>
      <c r="CB35" s="34">
        <v>1900000000</v>
      </c>
      <c r="CC35" s="32">
        <f t="shared" si="4"/>
        <v>1414125120</v>
      </c>
      <c r="CD35" s="30" t="s">
        <v>624</v>
      </c>
      <c r="CE35" s="30" t="s">
        <v>81</v>
      </c>
      <c r="CF35" s="30" t="s">
        <v>625</v>
      </c>
      <c r="CG35" s="30"/>
      <c r="CH35" s="30"/>
      <c r="CI35" s="64"/>
      <c r="CJ35" s="64"/>
      <c r="CK35" s="64"/>
      <c r="CL35" s="64"/>
    </row>
    <row r="36" spans="1:90" ht="195" x14ac:dyDescent="0.25">
      <c r="A36" s="30">
        <v>21.12</v>
      </c>
      <c r="B36" s="30" t="s">
        <v>626</v>
      </c>
      <c r="C36" s="30" t="s">
        <v>627</v>
      </c>
      <c r="D36" s="33">
        <v>45329</v>
      </c>
      <c r="E36" s="30" t="s">
        <v>628</v>
      </c>
      <c r="F36" s="30" t="s">
        <v>629</v>
      </c>
      <c r="G36" s="30"/>
      <c r="H36" s="30" t="s">
        <v>77</v>
      </c>
      <c r="I36" s="35">
        <v>24175</v>
      </c>
      <c r="J36" s="30" t="s">
        <v>70</v>
      </c>
      <c r="K36" s="35"/>
      <c r="L36" s="35"/>
      <c r="M36" s="30"/>
      <c r="N36" s="30"/>
      <c r="O36" s="30"/>
      <c r="P36" s="30"/>
      <c r="Q36" s="30" t="s">
        <v>630</v>
      </c>
      <c r="R36" s="30" t="s">
        <v>631</v>
      </c>
      <c r="S36" s="30" t="s">
        <v>632</v>
      </c>
      <c r="T36" s="30" t="s">
        <v>236</v>
      </c>
      <c r="U36" s="30" t="s">
        <v>107</v>
      </c>
      <c r="V36" s="30" t="s">
        <v>92</v>
      </c>
      <c r="W36" s="30" t="s">
        <v>72</v>
      </c>
      <c r="X36" s="30" t="s">
        <v>142</v>
      </c>
      <c r="Y36" s="30" t="s">
        <v>89</v>
      </c>
      <c r="Z36" s="33">
        <v>45321</v>
      </c>
      <c r="AA36" s="33">
        <v>45291</v>
      </c>
      <c r="AB36" s="30" t="s">
        <v>90</v>
      </c>
      <c r="AC36" s="30"/>
      <c r="AD36" s="30"/>
      <c r="AE36" s="30"/>
      <c r="AF36" s="30"/>
      <c r="AG36" s="30"/>
      <c r="AH36" s="30"/>
      <c r="AI36" s="30"/>
      <c r="AJ36" s="31">
        <f t="shared" si="0"/>
        <v>24175</v>
      </c>
      <c r="AK36" s="34">
        <f>72525000000/AJ36</f>
        <v>3000000</v>
      </c>
      <c r="AL36" s="31">
        <f t="shared" si="1"/>
        <v>0</v>
      </c>
      <c r="AM36" s="34"/>
      <c r="AN36" s="34"/>
      <c r="AO36" s="34">
        <f t="shared" si="5"/>
        <v>72525000000</v>
      </c>
      <c r="AP36" s="30" t="s">
        <v>633</v>
      </c>
      <c r="AQ36" s="30" t="s">
        <v>250</v>
      </c>
      <c r="AR36" s="30"/>
      <c r="AS36" s="30"/>
      <c r="AT36" s="30"/>
      <c r="AU36" s="30"/>
      <c r="AV36" s="35">
        <v>20000</v>
      </c>
      <c r="AW36" s="34">
        <v>3090000</v>
      </c>
      <c r="AX36" s="35"/>
      <c r="AY36" s="34"/>
      <c r="AZ36" s="34">
        <v>70000000000</v>
      </c>
      <c r="BA36" s="32">
        <f t="shared" si="2"/>
        <v>61800000000</v>
      </c>
      <c r="BB36" s="30" t="s">
        <v>634</v>
      </c>
      <c r="BC36" s="30" t="s">
        <v>81</v>
      </c>
      <c r="BD36" s="30" t="s">
        <v>635</v>
      </c>
      <c r="BE36" s="30" t="s">
        <v>97</v>
      </c>
      <c r="BF36" s="30"/>
      <c r="BG36" s="30"/>
      <c r="BH36" s="30"/>
      <c r="BI36" s="30"/>
      <c r="BJ36" s="36">
        <v>43239</v>
      </c>
      <c r="BK36" s="34">
        <v>3005633</v>
      </c>
      <c r="BL36" s="36">
        <v>5300</v>
      </c>
      <c r="BM36" s="34"/>
      <c r="BN36" s="34">
        <v>160000000000</v>
      </c>
      <c r="BO36" s="32">
        <f t="shared" si="3"/>
        <v>129960565287</v>
      </c>
      <c r="BP36" s="30" t="s">
        <v>636</v>
      </c>
      <c r="BQ36" s="30" t="s">
        <v>81</v>
      </c>
      <c r="BR36" s="30" t="s">
        <v>637</v>
      </c>
      <c r="BS36" s="30" t="s">
        <v>77</v>
      </c>
      <c r="BT36" s="30"/>
      <c r="BU36" s="30"/>
      <c r="BV36" s="30"/>
      <c r="BW36" s="30"/>
      <c r="BX36" s="36">
        <v>200000</v>
      </c>
      <c r="BY36" s="34">
        <v>2750000</v>
      </c>
      <c r="BZ36" s="36"/>
      <c r="CA36" s="34"/>
      <c r="CB36" s="34">
        <v>660000000000</v>
      </c>
      <c r="CC36" s="32">
        <f t="shared" si="4"/>
        <v>550000000000</v>
      </c>
      <c r="CD36" s="30" t="s">
        <v>638</v>
      </c>
      <c r="CE36" s="30" t="s">
        <v>81</v>
      </c>
      <c r="CF36" s="30" t="s">
        <v>639</v>
      </c>
      <c r="CG36" s="30"/>
      <c r="CH36" s="30"/>
      <c r="CI36" s="64"/>
      <c r="CJ36" s="64"/>
      <c r="CK36" s="64"/>
      <c r="CL36" s="64"/>
    </row>
    <row r="37" spans="1:90" ht="315" customHeight="1" x14ac:dyDescent="0.25">
      <c r="A37" s="30">
        <v>21.13</v>
      </c>
      <c r="B37" s="30" t="s">
        <v>640</v>
      </c>
      <c r="C37" s="30" t="s">
        <v>641</v>
      </c>
      <c r="D37" s="33">
        <v>45329</v>
      </c>
      <c r="E37" s="30" t="s">
        <v>642</v>
      </c>
      <c r="F37" s="30" t="s">
        <v>332</v>
      </c>
      <c r="G37" s="30"/>
      <c r="H37" s="30" t="s">
        <v>557</v>
      </c>
      <c r="I37" s="35">
        <v>51065</v>
      </c>
      <c r="J37" s="30" t="s">
        <v>70</v>
      </c>
      <c r="K37" s="35">
        <v>8806</v>
      </c>
      <c r="L37" s="35"/>
      <c r="M37" s="30" t="s">
        <v>397</v>
      </c>
      <c r="N37" s="30"/>
      <c r="O37" s="30"/>
      <c r="P37" s="30"/>
      <c r="Q37" s="30"/>
      <c r="R37" s="30" t="s">
        <v>643</v>
      </c>
      <c r="S37" s="30" t="s">
        <v>644</v>
      </c>
      <c r="T37" s="30" t="s">
        <v>222</v>
      </c>
      <c r="U37" s="30" t="s">
        <v>124</v>
      </c>
      <c r="V37" s="30" t="s">
        <v>92</v>
      </c>
      <c r="W37" s="30" t="s">
        <v>72</v>
      </c>
      <c r="X37" s="30" t="s">
        <v>85</v>
      </c>
      <c r="Y37" s="30" t="s">
        <v>73</v>
      </c>
      <c r="Z37" s="33">
        <v>45307</v>
      </c>
      <c r="AA37" s="33">
        <v>45307</v>
      </c>
      <c r="AB37" s="30" t="s">
        <v>90</v>
      </c>
      <c r="AC37" s="30"/>
      <c r="AD37" s="30"/>
      <c r="AE37" s="30"/>
      <c r="AF37" s="30"/>
      <c r="AG37" s="30"/>
      <c r="AH37" s="30"/>
      <c r="AI37" s="30"/>
      <c r="AJ37" s="31">
        <f t="shared" si="0"/>
        <v>51065</v>
      </c>
      <c r="AK37" s="34">
        <f>255325000000/AJ37</f>
        <v>5000000</v>
      </c>
      <c r="AL37" s="31">
        <f t="shared" si="1"/>
        <v>8806</v>
      </c>
      <c r="AM37" s="34">
        <f>20647400000/AL37</f>
        <v>2344696.7976379739</v>
      </c>
      <c r="AN37" s="34">
        <v>2827529000</v>
      </c>
      <c r="AO37" s="51">
        <f>(AJ37*AK37)+(AL37*AM37)+AN37+AN38</f>
        <v>366712957000</v>
      </c>
      <c r="AP37" s="30" t="s">
        <v>645</v>
      </c>
      <c r="AQ37" s="30" t="s">
        <v>77</v>
      </c>
      <c r="AR37" s="30"/>
      <c r="AS37" s="30"/>
      <c r="AT37" s="30"/>
      <c r="AU37" s="30"/>
      <c r="AV37" s="35">
        <v>12771</v>
      </c>
      <c r="AW37" s="34">
        <v>4580691</v>
      </c>
      <c r="AX37" s="35"/>
      <c r="AY37" s="34"/>
      <c r="AZ37" s="34">
        <v>63855000000</v>
      </c>
      <c r="BA37" s="32">
        <f t="shared" si="2"/>
        <v>58500004761</v>
      </c>
      <c r="BB37" s="30" t="s">
        <v>646</v>
      </c>
      <c r="BC37" s="30" t="s">
        <v>81</v>
      </c>
      <c r="BD37" s="30" t="s">
        <v>647</v>
      </c>
      <c r="BE37" s="30" t="s">
        <v>97</v>
      </c>
      <c r="BF37" s="30"/>
      <c r="BG37" s="30"/>
      <c r="BH37" s="30"/>
      <c r="BI37" s="30"/>
      <c r="BJ37" s="36">
        <v>30541</v>
      </c>
      <c r="BK37" s="34">
        <v>5000000</v>
      </c>
      <c r="BL37" s="36"/>
      <c r="BM37" s="34"/>
      <c r="BN37" s="34">
        <v>167000000000</v>
      </c>
      <c r="BO37" s="32">
        <f t="shared" si="3"/>
        <v>152705000000</v>
      </c>
      <c r="BP37" s="30" t="s">
        <v>648</v>
      </c>
      <c r="BQ37" s="30" t="s">
        <v>81</v>
      </c>
      <c r="BR37" s="30" t="s">
        <v>647</v>
      </c>
      <c r="BS37" s="30" t="s">
        <v>77</v>
      </c>
      <c r="BT37" s="30"/>
      <c r="BU37" s="30"/>
      <c r="BV37" s="30"/>
      <c r="BW37" s="30"/>
      <c r="BX37" s="36">
        <v>7500</v>
      </c>
      <c r="BY37" s="34">
        <v>7500000</v>
      </c>
      <c r="BZ37" s="36"/>
      <c r="CA37" s="34"/>
      <c r="CB37" s="34">
        <v>75000000000</v>
      </c>
      <c r="CC37" s="32">
        <f t="shared" si="4"/>
        <v>56250000000</v>
      </c>
      <c r="CD37" s="30" t="s">
        <v>649</v>
      </c>
      <c r="CE37" s="30" t="s">
        <v>81</v>
      </c>
      <c r="CF37" s="30" t="s">
        <v>650</v>
      </c>
      <c r="CG37" s="30"/>
      <c r="CH37" s="30"/>
      <c r="CI37" s="64"/>
      <c r="CJ37" s="64"/>
      <c r="CK37" s="64"/>
      <c r="CL37" s="64"/>
    </row>
    <row r="38" spans="1:90" ht="150" customHeight="1" x14ac:dyDescent="0.25">
      <c r="A38" s="30">
        <v>21.14</v>
      </c>
      <c r="B38" s="30" t="s">
        <v>640</v>
      </c>
      <c r="C38" s="30" t="s">
        <v>641</v>
      </c>
      <c r="D38" s="33">
        <v>45329</v>
      </c>
      <c r="E38" s="30" t="s">
        <v>642</v>
      </c>
      <c r="F38" s="30" t="s">
        <v>332</v>
      </c>
      <c r="G38" s="30"/>
      <c r="H38" s="30" t="s">
        <v>651</v>
      </c>
      <c r="I38" s="35"/>
      <c r="J38" s="30"/>
      <c r="K38" s="35"/>
      <c r="L38" s="35"/>
      <c r="M38" s="30" t="s">
        <v>652</v>
      </c>
      <c r="N38" s="30"/>
      <c r="O38" s="30"/>
      <c r="P38" s="30"/>
      <c r="Q38" s="30"/>
      <c r="R38" s="30" t="s">
        <v>643</v>
      </c>
      <c r="S38" s="30" t="s">
        <v>644</v>
      </c>
      <c r="T38" s="30" t="s">
        <v>222</v>
      </c>
      <c r="U38" s="30" t="s">
        <v>124</v>
      </c>
      <c r="V38" s="30" t="s">
        <v>92</v>
      </c>
      <c r="W38" s="30" t="s">
        <v>72</v>
      </c>
      <c r="X38" s="30" t="s">
        <v>85</v>
      </c>
      <c r="Y38" s="30" t="s">
        <v>73</v>
      </c>
      <c r="Z38" s="33">
        <v>45307</v>
      </c>
      <c r="AA38" s="33">
        <v>45307</v>
      </c>
      <c r="AB38" s="30" t="s">
        <v>90</v>
      </c>
      <c r="AC38" s="30"/>
      <c r="AD38" s="30"/>
      <c r="AE38" s="30"/>
      <c r="AF38" s="30"/>
      <c r="AG38" s="30"/>
      <c r="AH38" s="30"/>
      <c r="AI38" s="30"/>
      <c r="AJ38" s="31">
        <f t="shared" si="0"/>
        <v>0</v>
      </c>
      <c r="AK38" s="34"/>
      <c r="AL38" s="31">
        <f t="shared" si="1"/>
        <v>0</v>
      </c>
      <c r="AM38" s="34"/>
      <c r="AN38" s="34">
        <v>87913028000</v>
      </c>
      <c r="AO38" s="53"/>
      <c r="AP38" s="30"/>
      <c r="AQ38" s="30"/>
      <c r="AR38" s="30"/>
      <c r="AS38" s="30"/>
      <c r="AT38" s="30"/>
      <c r="AU38" s="30"/>
      <c r="AV38" s="35"/>
      <c r="AW38" s="34"/>
      <c r="AX38" s="35"/>
      <c r="AY38" s="34"/>
      <c r="AZ38" s="34"/>
      <c r="BA38" s="32">
        <f t="shared" si="2"/>
        <v>0</v>
      </c>
      <c r="BB38" s="30"/>
      <c r="BC38" s="30"/>
      <c r="BD38" s="30"/>
      <c r="BE38" s="30"/>
      <c r="BF38" s="30"/>
      <c r="BG38" s="30"/>
      <c r="BH38" s="30"/>
      <c r="BI38" s="30"/>
      <c r="BJ38" s="36"/>
      <c r="BK38" s="34"/>
      <c r="BL38" s="36"/>
      <c r="BM38" s="34"/>
      <c r="BN38" s="34"/>
      <c r="BO38" s="32">
        <f t="shared" si="3"/>
        <v>0</v>
      </c>
      <c r="BP38" s="30"/>
      <c r="BQ38" s="30"/>
      <c r="BR38" s="30"/>
      <c r="BS38" s="30"/>
      <c r="BT38" s="30"/>
      <c r="BU38" s="30"/>
      <c r="BV38" s="30"/>
      <c r="BW38" s="30"/>
      <c r="BX38" s="36"/>
      <c r="BY38" s="34"/>
      <c r="BZ38" s="36"/>
      <c r="CA38" s="34"/>
      <c r="CB38" s="34"/>
      <c r="CC38" s="32">
        <f t="shared" si="4"/>
        <v>0</v>
      </c>
      <c r="CD38" s="30"/>
      <c r="CE38" s="30"/>
      <c r="CF38" s="30" t="s">
        <v>650</v>
      </c>
      <c r="CG38" s="30"/>
      <c r="CH38" s="30"/>
      <c r="CI38" s="64"/>
      <c r="CJ38" s="64"/>
      <c r="CK38" s="64"/>
      <c r="CL38" s="64"/>
    </row>
    <row r="39" spans="1:90" ht="165" customHeight="1" x14ac:dyDescent="0.25">
      <c r="A39" s="30">
        <v>21.15</v>
      </c>
      <c r="B39" s="30" t="s">
        <v>653</v>
      </c>
      <c r="C39" s="30" t="s">
        <v>654</v>
      </c>
      <c r="D39" s="33">
        <v>45342</v>
      </c>
      <c r="E39" s="30" t="s">
        <v>655</v>
      </c>
      <c r="F39" s="30" t="s">
        <v>655</v>
      </c>
      <c r="G39" s="30"/>
      <c r="H39" s="30" t="s">
        <v>77</v>
      </c>
      <c r="I39" s="35">
        <v>8866</v>
      </c>
      <c r="J39" s="30" t="s">
        <v>70</v>
      </c>
      <c r="K39" s="35"/>
      <c r="L39" s="35"/>
      <c r="M39" s="30"/>
      <c r="N39" s="30"/>
      <c r="O39" s="30"/>
      <c r="P39" s="30"/>
      <c r="Q39" s="30"/>
      <c r="R39" s="30" t="s">
        <v>656</v>
      </c>
      <c r="S39" s="30" t="s">
        <v>657</v>
      </c>
      <c r="T39" s="30" t="s">
        <v>658</v>
      </c>
      <c r="U39" s="30" t="s">
        <v>659</v>
      </c>
      <c r="V39" s="30" t="s">
        <v>660</v>
      </c>
      <c r="W39" s="30" t="s">
        <v>72</v>
      </c>
      <c r="X39" s="30" t="s">
        <v>131</v>
      </c>
      <c r="Y39" s="30" t="s">
        <v>73</v>
      </c>
      <c r="Z39" s="33">
        <v>45321</v>
      </c>
      <c r="AA39" s="33">
        <v>45322</v>
      </c>
      <c r="AB39" s="30" t="s">
        <v>90</v>
      </c>
      <c r="AC39" s="30"/>
      <c r="AD39" s="30"/>
      <c r="AE39" s="30"/>
      <c r="AF39" s="30"/>
      <c r="AG39" s="30"/>
      <c r="AH39" s="30"/>
      <c r="AI39" s="30"/>
      <c r="AJ39" s="31">
        <f t="shared" si="0"/>
        <v>8866</v>
      </c>
      <c r="AK39" s="34">
        <f>3812380000/AJ39</f>
        <v>430000</v>
      </c>
      <c r="AL39" s="31">
        <f t="shared" si="1"/>
        <v>0</v>
      </c>
      <c r="AM39" s="34"/>
      <c r="AN39" s="34"/>
      <c r="AO39" s="34">
        <f t="shared" si="5"/>
        <v>3812380000</v>
      </c>
      <c r="AP39" s="30" t="s">
        <v>661</v>
      </c>
      <c r="AQ39" s="30" t="s">
        <v>77</v>
      </c>
      <c r="AR39" s="30"/>
      <c r="AS39" s="30"/>
      <c r="AT39" s="30"/>
      <c r="AU39" s="30"/>
      <c r="AV39" s="35">
        <v>7000</v>
      </c>
      <c r="AW39" s="34">
        <v>490000</v>
      </c>
      <c r="AX39" s="35"/>
      <c r="AY39" s="34"/>
      <c r="AZ39" s="34">
        <v>4900000000</v>
      </c>
      <c r="BA39" s="32">
        <f t="shared" si="2"/>
        <v>3430000000</v>
      </c>
      <c r="BB39" s="30" t="s">
        <v>662</v>
      </c>
      <c r="BC39" s="30" t="s">
        <v>81</v>
      </c>
      <c r="BD39" s="30" t="s">
        <v>661</v>
      </c>
      <c r="BE39" s="30" t="s">
        <v>77</v>
      </c>
      <c r="BF39" s="30"/>
      <c r="BG39" s="30"/>
      <c r="BH39" s="30"/>
      <c r="BI39" s="30"/>
      <c r="BJ39" s="36">
        <v>5500</v>
      </c>
      <c r="BK39" s="34">
        <v>495000</v>
      </c>
      <c r="BL39" s="36"/>
      <c r="BM39" s="34"/>
      <c r="BN39" s="34">
        <v>3850000000</v>
      </c>
      <c r="BO39" s="32">
        <f t="shared" si="3"/>
        <v>2722500000</v>
      </c>
      <c r="BP39" s="30" t="s">
        <v>663</v>
      </c>
      <c r="BQ39" s="30" t="s">
        <v>81</v>
      </c>
      <c r="BR39" s="30" t="s">
        <v>664</v>
      </c>
      <c r="BS39" s="30" t="s">
        <v>97</v>
      </c>
      <c r="BT39" s="30"/>
      <c r="BU39" s="30"/>
      <c r="BV39" s="30"/>
      <c r="BW39" s="30"/>
      <c r="BX39" s="36">
        <v>2800</v>
      </c>
      <c r="BY39" s="34">
        <v>541406</v>
      </c>
      <c r="BZ39" s="36"/>
      <c r="CA39" s="34"/>
      <c r="CB39" s="34">
        <v>2800000000</v>
      </c>
      <c r="CC39" s="32">
        <f t="shared" si="4"/>
        <v>1515936800</v>
      </c>
      <c r="CD39" s="30" t="s">
        <v>665</v>
      </c>
      <c r="CE39" s="30" t="s">
        <v>81</v>
      </c>
      <c r="CF39" s="30" t="s">
        <v>666</v>
      </c>
      <c r="CG39" s="30"/>
      <c r="CH39" s="30"/>
      <c r="CI39" s="64"/>
      <c r="CJ39" s="64"/>
      <c r="CK39" s="64"/>
      <c r="CL39" s="64"/>
    </row>
    <row r="40" spans="1:90" ht="165" customHeight="1" x14ac:dyDescent="0.25">
      <c r="A40" s="30">
        <v>21.16</v>
      </c>
      <c r="B40" s="30" t="s">
        <v>667</v>
      </c>
      <c r="C40" s="30" t="s">
        <v>668</v>
      </c>
      <c r="D40" s="33">
        <v>45342</v>
      </c>
      <c r="E40" s="30" t="s">
        <v>669</v>
      </c>
      <c r="F40" s="30" t="s">
        <v>204</v>
      </c>
      <c r="G40" s="30"/>
      <c r="H40" s="30" t="s">
        <v>670</v>
      </c>
      <c r="I40" s="35">
        <v>14442</v>
      </c>
      <c r="J40" s="30" t="s">
        <v>70</v>
      </c>
      <c r="K40" s="35">
        <v>13170</v>
      </c>
      <c r="L40" s="35"/>
      <c r="M40" s="30" t="s">
        <v>671</v>
      </c>
      <c r="N40" s="30"/>
      <c r="O40" s="30"/>
      <c r="P40" s="30"/>
      <c r="Q40" s="30"/>
      <c r="R40" s="30" t="s">
        <v>672</v>
      </c>
      <c r="S40" s="30" t="s">
        <v>223</v>
      </c>
      <c r="T40" s="30" t="s">
        <v>224</v>
      </c>
      <c r="U40" s="30" t="s">
        <v>103</v>
      </c>
      <c r="V40" s="30" t="s">
        <v>84</v>
      </c>
      <c r="W40" s="30" t="s">
        <v>72</v>
      </c>
      <c r="X40" s="30" t="s">
        <v>85</v>
      </c>
      <c r="Y40" s="30" t="s">
        <v>73</v>
      </c>
      <c r="Z40" s="33">
        <v>45328</v>
      </c>
      <c r="AA40" s="33">
        <v>45328</v>
      </c>
      <c r="AB40" s="30" t="s">
        <v>90</v>
      </c>
      <c r="AC40" s="30"/>
      <c r="AD40" s="30"/>
      <c r="AE40" s="30"/>
      <c r="AF40" s="30"/>
      <c r="AG40" s="30"/>
      <c r="AH40" s="30"/>
      <c r="AI40" s="30"/>
      <c r="AJ40" s="31">
        <f t="shared" si="0"/>
        <v>14442</v>
      </c>
      <c r="AK40" s="34">
        <f>1184244000000/AJ40</f>
        <v>82000000</v>
      </c>
      <c r="AL40" s="31">
        <f t="shared" si="1"/>
        <v>13170</v>
      </c>
      <c r="AM40" s="34">
        <f>38973700000/AL40</f>
        <v>2959278.6636294611</v>
      </c>
      <c r="AN40" s="34">
        <v>1999225000</v>
      </c>
      <c r="AO40" s="34">
        <f t="shared" si="5"/>
        <v>1225216925000</v>
      </c>
      <c r="AP40" s="30" t="s">
        <v>673</v>
      </c>
      <c r="AQ40" s="30" t="s">
        <v>77</v>
      </c>
      <c r="AR40" s="30"/>
      <c r="AS40" s="30"/>
      <c r="AT40" s="30"/>
      <c r="AU40" s="30"/>
      <c r="AV40" s="35">
        <v>12000</v>
      </c>
      <c r="AW40" s="34">
        <v>80000000</v>
      </c>
      <c r="AX40" s="35"/>
      <c r="AY40" s="34"/>
      <c r="AZ40" s="34">
        <v>1092000000000</v>
      </c>
      <c r="BA40" s="32">
        <f t="shared" si="2"/>
        <v>960000000000</v>
      </c>
      <c r="BB40" s="30" t="s">
        <v>674</v>
      </c>
      <c r="BC40" s="30" t="s">
        <v>81</v>
      </c>
      <c r="BD40" s="30" t="s">
        <v>673</v>
      </c>
      <c r="BE40" s="30" t="s">
        <v>77</v>
      </c>
      <c r="BF40" s="30"/>
      <c r="BG40" s="30"/>
      <c r="BH40" s="30"/>
      <c r="BI40" s="30"/>
      <c r="BJ40" s="36">
        <v>36000</v>
      </c>
      <c r="BK40" s="34">
        <v>78000000</v>
      </c>
      <c r="BL40" s="36"/>
      <c r="BM40" s="34"/>
      <c r="BN40" s="34">
        <v>3240000000000</v>
      </c>
      <c r="BO40" s="32">
        <f t="shared" si="3"/>
        <v>2808000000000</v>
      </c>
      <c r="BP40" s="30" t="s">
        <v>675</v>
      </c>
      <c r="BQ40" s="30" t="s">
        <v>81</v>
      </c>
      <c r="BR40" s="30" t="s">
        <v>676</v>
      </c>
      <c r="BS40" s="30" t="s">
        <v>77</v>
      </c>
      <c r="BT40" s="30"/>
      <c r="BU40" s="30"/>
      <c r="BV40" s="30"/>
      <c r="BW40" s="30"/>
      <c r="BX40" s="36">
        <v>21000</v>
      </c>
      <c r="BY40" s="34">
        <v>70000000</v>
      </c>
      <c r="BZ40" s="36"/>
      <c r="CA40" s="34"/>
      <c r="CB40" s="34">
        <v>1700000000000</v>
      </c>
      <c r="CC40" s="32">
        <f t="shared" si="4"/>
        <v>1470000000000</v>
      </c>
      <c r="CD40" s="30" t="s">
        <v>677</v>
      </c>
      <c r="CE40" s="30" t="s">
        <v>81</v>
      </c>
      <c r="CF40" s="30" t="s">
        <v>678</v>
      </c>
      <c r="CG40" s="30"/>
      <c r="CH40" s="30"/>
      <c r="CI40" s="64"/>
      <c r="CJ40" s="64"/>
      <c r="CK40" s="64"/>
      <c r="CL40" s="64"/>
    </row>
    <row r="41" spans="1:90" ht="120" customHeight="1" x14ac:dyDescent="0.25">
      <c r="A41" s="30">
        <v>21.17</v>
      </c>
      <c r="B41" s="30" t="s">
        <v>679</v>
      </c>
      <c r="C41" s="30" t="s">
        <v>680</v>
      </c>
      <c r="D41" s="33">
        <v>45345</v>
      </c>
      <c r="E41" s="30" t="s">
        <v>681</v>
      </c>
      <c r="F41" s="30" t="s">
        <v>93</v>
      </c>
      <c r="G41" s="30"/>
      <c r="H41" s="30" t="s">
        <v>682</v>
      </c>
      <c r="I41" s="35">
        <v>8409</v>
      </c>
      <c r="J41" s="30" t="s">
        <v>70</v>
      </c>
      <c r="K41" s="35">
        <v>12620</v>
      </c>
      <c r="L41" s="35"/>
      <c r="M41" s="30" t="s">
        <v>397</v>
      </c>
      <c r="N41" s="30"/>
      <c r="O41" s="30"/>
      <c r="P41" s="30"/>
      <c r="Q41" s="30"/>
      <c r="R41" s="30" t="s">
        <v>683</v>
      </c>
      <c r="S41" s="30" t="s">
        <v>684</v>
      </c>
      <c r="T41" s="30" t="s">
        <v>685</v>
      </c>
      <c r="U41" s="30" t="s">
        <v>686</v>
      </c>
      <c r="V41" s="30" t="s">
        <v>92</v>
      </c>
      <c r="W41" s="30" t="s">
        <v>72</v>
      </c>
      <c r="X41" s="30" t="s">
        <v>85</v>
      </c>
      <c r="Y41" s="30" t="s">
        <v>73</v>
      </c>
      <c r="Z41" s="33">
        <v>45296</v>
      </c>
      <c r="AA41" s="33">
        <v>45296</v>
      </c>
      <c r="AB41" s="30" t="s">
        <v>90</v>
      </c>
      <c r="AC41" s="30"/>
      <c r="AD41" s="30"/>
      <c r="AE41" s="30"/>
      <c r="AF41" s="30"/>
      <c r="AG41" s="30"/>
      <c r="AH41" s="30"/>
      <c r="AI41" s="30"/>
      <c r="AJ41" s="31">
        <f t="shared" si="0"/>
        <v>8409</v>
      </c>
      <c r="AK41" s="34">
        <f>20517960000/AJ41</f>
        <v>2440000</v>
      </c>
      <c r="AL41" s="31">
        <f t="shared" si="1"/>
        <v>12620</v>
      </c>
      <c r="AM41" s="34">
        <f>87159200000/AL41</f>
        <v>6906434.2313787639</v>
      </c>
      <c r="AN41" s="34">
        <v>5826426000</v>
      </c>
      <c r="AO41" s="51">
        <f>(AJ41*AK41)+(AL41*AM41)+AN41+AN42+AN43+AN44</f>
        <v>158495397000</v>
      </c>
      <c r="AP41" s="30" t="s">
        <v>687</v>
      </c>
      <c r="AQ41" s="30" t="s">
        <v>77</v>
      </c>
      <c r="AR41" s="30"/>
      <c r="AS41" s="30"/>
      <c r="AT41" s="30"/>
      <c r="AU41" s="30"/>
      <c r="AV41" s="35">
        <v>8970</v>
      </c>
      <c r="AW41" s="34">
        <v>2865106</v>
      </c>
      <c r="AX41" s="35"/>
      <c r="AY41" s="34"/>
      <c r="AZ41" s="34">
        <v>28832142857</v>
      </c>
      <c r="BA41" s="32">
        <f t="shared" si="2"/>
        <v>25700000820</v>
      </c>
      <c r="BB41" s="30" t="s">
        <v>688</v>
      </c>
      <c r="BC41" s="30" t="s">
        <v>81</v>
      </c>
      <c r="BD41" s="30" t="s">
        <v>687</v>
      </c>
      <c r="BE41" s="30" t="s">
        <v>77</v>
      </c>
      <c r="BF41" s="30"/>
      <c r="BG41" s="30"/>
      <c r="BH41" s="30"/>
      <c r="BI41" s="30"/>
      <c r="BJ41" s="36">
        <v>4942</v>
      </c>
      <c r="BK41" s="34">
        <v>1922299</v>
      </c>
      <c r="BL41" s="36"/>
      <c r="BM41" s="34"/>
      <c r="BN41" s="34">
        <v>10590000000</v>
      </c>
      <c r="BO41" s="32">
        <f t="shared" si="3"/>
        <v>9500001658</v>
      </c>
      <c r="BP41" s="30" t="s">
        <v>689</v>
      </c>
      <c r="BQ41" s="30" t="s">
        <v>81</v>
      </c>
      <c r="BR41" s="30" t="s">
        <v>687</v>
      </c>
      <c r="BS41" s="30" t="s">
        <v>77</v>
      </c>
      <c r="BT41" s="30"/>
      <c r="BU41" s="30"/>
      <c r="BV41" s="30"/>
      <c r="BW41" s="30"/>
      <c r="BX41" s="36">
        <v>768</v>
      </c>
      <c r="BY41" s="34">
        <v>2239583</v>
      </c>
      <c r="BZ41" s="36"/>
      <c r="CA41" s="34"/>
      <c r="CB41" s="34">
        <v>1920000000</v>
      </c>
      <c r="CC41" s="32">
        <f t="shared" si="4"/>
        <v>1719999744</v>
      </c>
      <c r="CD41" s="30" t="s">
        <v>690</v>
      </c>
      <c r="CE41" s="30" t="s">
        <v>81</v>
      </c>
      <c r="CF41" s="30" t="s">
        <v>691</v>
      </c>
      <c r="CG41" s="30"/>
      <c r="CH41" s="30"/>
      <c r="CI41" s="64"/>
      <c r="CJ41" s="64"/>
      <c r="CK41" s="64"/>
      <c r="CL41" s="64"/>
    </row>
    <row r="42" spans="1:90" ht="120" customHeight="1" x14ac:dyDescent="0.25">
      <c r="A42" s="30">
        <v>21.18</v>
      </c>
      <c r="B42" s="30" t="s">
        <v>679</v>
      </c>
      <c r="C42" s="30" t="s">
        <v>680</v>
      </c>
      <c r="D42" s="33">
        <v>45345</v>
      </c>
      <c r="E42" s="30" t="s">
        <v>681</v>
      </c>
      <c r="F42" s="30" t="s">
        <v>93</v>
      </c>
      <c r="G42" s="30"/>
      <c r="H42" s="30" t="s">
        <v>130</v>
      </c>
      <c r="I42" s="35"/>
      <c r="J42" s="30"/>
      <c r="K42" s="35"/>
      <c r="L42" s="35"/>
      <c r="M42" s="30"/>
      <c r="N42" s="30"/>
      <c r="O42" s="30"/>
      <c r="P42" s="30"/>
      <c r="Q42" s="30"/>
      <c r="R42" s="30" t="s">
        <v>683</v>
      </c>
      <c r="S42" s="30" t="s">
        <v>684</v>
      </c>
      <c r="T42" s="30" t="s">
        <v>685</v>
      </c>
      <c r="U42" s="30" t="s">
        <v>686</v>
      </c>
      <c r="V42" s="30" t="s">
        <v>92</v>
      </c>
      <c r="W42" s="30" t="s">
        <v>72</v>
      </c>
      <c r="X42" s="30" t="s">
        <v>85</v>
      </c>
      <c r="Y42" s="30" t="s">
        <v>73</v>
      </c>
      <c r="Z42" s="33">
        <v>45296</v>
      </c>
      <c r="AA42" s="33">
        <v>45296</v>
      </c>
      <c r="AB42" s="30" t="s">
        <v>90</v>
      </c>
      <c r="AC42" s="30" t="s">
        <v>692</v>
      </c>
      <c r="AD42" s="30"/>
      <c r="AE42" s="30" t="s">
        <v>693</v>
      </c>
      <c r="AF42" s="30"/>
      <c r="AG42" s="30" t="s">
        <v>694</v>
      </c>
      <c r="AH42" s="30"/>
      <c r="AI42" s="30"/>
      <c r="AJ42" s="31">
        <f t="shared" si="0"/>
        <v>0</v>
      </c>
      <c r="AK42" s="34"/>
      <c r="AL42" s="31">
        <f t="shared" si="1"/>
        <v>0</v>
      </c>
      <c r="AM42" s="34"/>
      <c r="AN42" s="34">
        <v>565500000</v>
      </c>
      <c r="AO42" s="52"/>
      <c r="AP42" s="30" t="s">
        <v>132</v>
      </c>
      <c r="AQ42" s="30" t="s">
        <v>130</v>
      </c>
      <c r="AR42" s="30"/>
      <c r="AS42" s="30"/>
      <c r="AT42" s="30" t="s">
        <v>695</v>
      </c>
      <c r="AU42" s="30">
        <v>2018</v>
      </c>
      <c r="AV42" s="35"/>
      <c r="AW42" s="34"/>
      <c r="AX42" s="35"/>
      <c r="AY42" s="34"/>
      <c r="AZ42" s="34">
        <v>645000000</v>
      </c>
      <c r="BA42" s="32">
        <f t="shared" si="2"/>
        <v>0</v>
      </c>
      <c r="BB42" s="30" t="s">
        <v>696</v>
      </c>
      <c r="BC42" s="30" t="s">
        <v>81</v>
      </c>
      <c r="BD42" s="30" t="s">
        <v>697</v>
      </c>
      <c r="BE42" s="30" t="s">
        <v>130</v>
      </c>
      <c r="BF42" s="30"/>
      <c r="BG42" s="30"/>
      <c r="BH42" s="30" t="s">
        <v>698</v>
      </c>
      <c r="BI42" s="30">
        <v>2022</v>
      </c>
      <c r="BJ42" s="36"/>
      <c r="BK42" s="34"/>
      <c r="BL42" s="36"/>
      <c r="BM42" s="34"/>
      <c r="BN42" s="34">
        <v>530000000</v>
      </c>
      <c r="BO42" s="32">
        <f t="shared" si="3"/>
        <v>0</v>
      </c>
      <c r="BP42" s="30" t="s">
        <v>699</v>
      </c>
      <c r="BQ42" s="30" t="s">
        <v>81</v>
      </c>
      <c r="BR42" s="30"/>
      <c r="BS42" s="30" t="s">
        <v>130</v>
      </c>
      <c r="BT42" s="30"/>
      <c r="BU42" s="30"/>
      <c r="BV42" s="30" t="s">
        <v>695</v>
      </c>
      <c r="BW42" s="30">
        <v>2021</v>
      </c>
      <c r="BX42" s="36"/>
      <c r="BY42" s="34"/>
      <c r="BZ42" s="36"/>
      <c r="CA42" s="34"/>
      <c r="CB42" s="34">
        <v>540000000</v>
      </c>
      <c r="CC42" s="32">
        <f t="shared" si="4"/>
        <v>0</v>
      </c>
      <c r="CD42" s="30" t="s">
        <v>700</v>
      </c>
      <c r="CE42" s="30" t="s">
        <v>81</v>
      </c>
      <c r="CF42" s="30" t="s">
        <v>691</v>
      </c>
      <c r="CG42" s="30"/>
      <c r="CH42" s="30"/>
      <c r="CI42" s="64"/>
      <c r="CJ42" s="64"/>
      <c r="CK42" s="64"/>
      <c r="CL42" s="64"/>
    </row>
    <row r="43" spans="1:90" ht="120" customHeight="1" x14ac:dyDescent="0.25">
      <c r="A43" s="30">
        <v>21.19</v>
      </c>
      <c r="B43" s="30" t="s">
        <v>679</v>
      </c>
      <c r="C43" s="30" t="s">
        <v>680</v>
      </c>
      <c r="D43" s="33">
        <v>45345</v>
      </c>
      <c r="E43" s="30" t="s">
        <v>681</v>
      </c>
      <c r="F43" s="30" t="s">
        <v>93</v>
      </c>
      <c r="G43" s="30"/>
      <c r="H43" s="30" t="s">
        <v>130</v>
      </c>
      <c r="I43" s="35"/>
      <c r="J43" s="30"/>
      <c r="K43" s="35"/>
      <c r="L43" s="35"/>
      <c r="M43" s="30"/>
      <c r="N43" s="30"/>
      <c r="O43" s="30"/>
      <c r="P43" s="30"/>
      <c r="Q43" s="30"/>
      <c r="R43" s="30" t="s">
        <v>683</v>
      </c>
      <c r="S43" s="30" t="s">
        <v>684</v>
      </c>
      <c r="T43" s="30" t="s">
        <v>685</v>
      </c>
      <c r="U43" s="30" t="s">
        <v>686</v>
      </c>
      <c r="V43" s="30" t="s">
        <v>92</v>
      </c>
      <c r="W43" s="30" t="s">
        <v>72</v>
      </c>
      <c r="X43" s="30" t="s">
        <v>85</v>
      </c>
      <c r="Y43" s="30" t="s">
        <v>73</v>
      </c>
      <c r="Z43" s="33">
        <v>45296</v>
      </c>
      <c r="AA43" s="33">
        <v>45296</v>
      </c>
      <c r="AB43" s="30" t="s">
        <v>90</v>
      </c>
      <c r="AC43" s="30" t="s">
        <v>701</v>
      </c>
      <c r="AD43" s="30"/>
      <c r="AE43" s="30" t="s">
        <v>702</v>
      </c>
      <c r="AF43" s="30"/>
      <c r="AG43" s="30" t="s">
        <v>703</v>
      </c>
      <c r="AH43" s="30"/>
      <c r="AI43" s="30"/>
      <c r="AJ43" s="31">
        <f t="shared" si="0"/>
        <v>0</v>
      </c>
      <c r="AK43" s="34"/>
      <c r="AL43" s="31">
        <f t="shared" si="1"/>
        <v>0</v>
      </c>
      <c r="AM43" s="34"/>
      <c r="AN43" s="34">
        <v>180200000</v>
      </c>
      <c r="AO43" s="52"/>
      <c r="AP43" s="30" t="s">
        <v>433</v>
      </c>
      <c r="AQ43" s="30" t="s">
        <v>130</v>
      </c>
      <c r="AR43" s="30"/>
      <c r="AS43" s="30"/>
      <c r="AT43" s="30" t="s">
        <v>174</v>
      </c>
      <c r="AU43" s="30">
        <v>2022</v>
      </c>
      <c r="AV43" s="35"/>
      <c r="AW43" s="34"/>
      <c r="AX43" s="35"/>
      <c r="AY43" s="34"/>
      <c r="AZ43" s="34">
        <v>188000000</v>
      </c>
      <c r="BA43" s="32">
        <f t="shared" si="2"/>
        <v>0</v>
      </c>
      <c r="BB43" s="30" t="s">
        <v>704</v>
      </c>
      <c r="BC43" s="30" t="s">
        <v>81</v>
      </c>
      <c r="BD43" s="30" t="s">
        <v>147</v>
      </c>
      <c r="BE43" s="30" t="s">
        <v>130</v>
      </c>
      <c r="BF43" s="30"/>
      <c r="BG43" s="30"/>
      <c r="BH43" s="30" t="s">
        <v>175</v>
      </c>
      <c r="BI43" s="30">
        <v>2022</v>
      </c>
      <c r="BJ43" s="36"/>
      <c r="BK43" s="34"/>
      <c r="BL43" s="36"/>
      <c r="BM43" s="34"/>
      <c r="BN43" s="34">
        <v>189000000</v>
      </c>
      <c r="BO43" s="32">
        <f t="shared" si="3"/>
        <v>0</v>
      </c>
      <c r="BP43" s="30" t="s">
        <v>705</v>
      </c>
      <c r="BQ43" s="30" t="s">
        <v>81</v>
      </c>
      <c r="BR43" s="30" t="s">
        <v>706</v>
      </c>
      <c r="BS43" s="30" t="s">
        <v>130</v>
      </c>
      <c r="BT43" s="30"/>
      <c r="BU43" s="30"/>
      <c r="BV43" s="30" t="s">
        <v>174</v>
      </c>
      <c r="BW43" s="30">
        <v>2022</v>
      </c>
      <c r="BX43" s="36"/>
      <c r="BY43" s="34"/>
      <c r="BZ43" s="36"/>
      <c r="CA43" s="34"/>
      <c r="CB43" s="34">
        <v>206000000</v>
      </c>
      <c r="CC43" s="32">
        <f t="shared" si="4"/>
        <v>0</v>
      </c>
      <c r="CD43" s="30" t="s">
        <v>707</v>
      </c>
      <c r="CE43" s="30" t="s">
        <v>81</v>
      </c>
      <c r="CF43" s="30" t="s">
        <v>691</v>
      </c>
      <c r="CG43" s="30"/>
      <c r="CH43" s="30"/>
      <c r="CI43" s="64"/>
      <c r="CJ43" s="64"/>
      <c r="CK43" s="64"/>
      <c r="CL43" s="64"/>
    </row>
    <row r="44" spans="1:90" ht="409.5" x14ac:dyDescent="0.25">
      <c r="A44" s="30">
        <v>21.2</v>
      </c>
      <c r="B44" s="30" t="s">
        <v>679</v>
      </c>
      <c r="C44" s="30" t="s">
        <v>680</v>
      </c>
      <c r="D44" s="33">
        <v>45345</v>
      </c>
      <c r="E44" s="30" t="s">
        <v>681</v>
      </c>
      <c r="F44" s="30" t="s">
        <v>93</v>
      </c>
      <c r="G44" s="30"/>
      <c r="H44" s="30" t="s">
        <v>708</v>
      </c>
      <c r="I44" s="35"/>
      <c r="J44" s="30"/>
      <c r="K44" s="35"/>
      <c r="L44" s="35"/>
      <c r="M44" s="30" t="s">
        <v>709</v>
      </c>
      <c r="N44" s="30"/>
      <c r="O44" s="30"/>
      <c r="P44" s="30"/>
      <c r="Q44" s="30"/>
      <c r="R44" s="30" t="s">
        <v>683</v>
      </c>
      <c r="S44" s="30" t="s">
        <v>684</v>
      </c>
      <c r="T44" s="30" t="s">
        <v>685</v>
      </c>
      <c r="U44" s="30" t="s">
        <v>686</v>
      </c>
      <c r="V44" s="30" t="s">
        <v>92</v>
      </c>
      <c r="W44" s="30" t="s">
        <v>72</v>
      </c>
      <c r="X44" s="30" t="s">
        <v>85</v>
      </c>
      <c r="Y44" s="30" t="s">
        <v>73</v>
      </c>
      <c r="Z44" s="33">
        <v>45296</v>
      </c>
      <c r="AA44" s="33">
        <v>45296</v>
      </c>
      <c r="AB44" s="30" t="s">
        <v>90</v>
      </c>
      <c r="AC44" s="30"/>
      <c r="AD44" s="30"/>
      <c r="AE44" s="30"/>
      <c r="AF44" s="30"/>
      <c r="AG44" s="30"/>
      <c r="AH44" s="30"/>
      <c r="AI44" s="30"/>
      <c r="AJ44" s="31">
        <f t="shared" si="0"/>
        <v>0</v>
      </c>
      <c r="AK44" s="34"/>
      <c r="AL44" s="31">
        <f t="shared" si="1"/>
        <v>0</v>
      </c>
      <c r="AM44" s="34"/>
      <c r="AN44" s="34">
        <v>44246111000</v>
      </c>
      <c r="AO44" s="53"/>
      <c r="AP44" s="30"/>
      <c r="AQ44" s="30"/>
      <c r="AR44" s="30"/>
      <c r="AS44" s="30"/>
      <c r="AT44" s="30"/>
      <c r="AU44" s="30"/>
      <c r="AV44" s="35"/>
      <c r="AW44" s="34"/>
      <c r="AX44" s="35"/>
      <c r="AY44" s="34"/>
      <c r="AZ44" s="34"/>
      <c r="BA44" s="32">
        <f t="shared" si="2"/>
        <v>0</v>
      </c>
      <c r="BB44" s="30"/>
      <c r="BC44" s="30"/>
      <c r="BD44" s="30"/>
      <c r="BE44" s="30"/>
      <c r="BF44" s="30"/>
      <c r="BG44" s="30"/>
      <c r="BH44" s="30"/>
      <c r="BI44" s="30"/>
      <c r="BJ44" s="36"/>
      <c r="BK44" s="34"/>
      <c r="BL44" s="36"/>
      <c r="BM44" s="34"/>
      <c r="BN44" s="34"/>
      <c r="BO44" s="32">
        <f t="shared" si="3"/>
        <v>0</v>
      </c>
      <c r="BP44" s="30"/>
      <c r="BQ44" s="30"/>
      <c r="BR44" s="30"/>
      <c r="BS44" s="30"/>
      <c r="BT44" s="30"/>
      <c r="BU44" s="30"/>
      <c r="BV44" s="30"/>
      <c r="BW44" s="30"/>
      <c r="BX44" s="36"/>
      <c r="BY44" s="34"/>
      <c r="BZ44" s="36"/>
      <c r="CA44" s="34"/>
      <c r="CB44" s="34"/>
      <c r="CC44" s="32">
        <f t="shared" si="4"/>
        <v>0</v>
      </c>
      <c r="CD44" s="30"/>
      <c r="CE44" s="30"/>
      <c r="CF44" s="30"/>
      <c r="CG44" s="30"/>
      <c r="CH44" s="30"/>
      <c r="CI44" s="64"/>
      <c r="CJ44" s="64"/>
      <c r="CK44" s="64"/>
      <c r="CL44" s="64"/>
    </row>
    <row r="45" spans="1:90" ht="135" x14ac:dyDescent="0.25">
      <c r="A45" s="30">
        <v>21.21</v>
      </c>
      <c r="B45" s="30" t="s">
        <v>710</v>
      </c>
      <c r="C45" s="30" t="s">
        <v>711</v>
      </c>
      <c r="D45" s="33">
        <v>45348</v>
      </c>
      <c r="E45" s="30" t="s">
        <v>93</v>
      </c>
      <c r="F45" s="30" t="s">
        <v>93</v>
      </c>
      <c r="G45" s="30"/>
      <c r="H45" s="30" t="s">
        <v>83</v>
      </c>
      <c r="I45" s="35">
        <v>270</v>
      </c>
      <c r="J45" s="30" t="s">
        <v>70</v>
      </c>
      <c r="K45" s="35">
        <v>380</v>
      </c>
      <c r="L45" s="35"/>
      <c r="M45" s="30"/>
      <c r="N45" s="30"/>
      <c r="O45" s="30"/>
      <c r="P45" s="30"/>
      <c r="Q45" s="30"/>
      <c r="R45" s="30" t="s">
        <v>712</v>
      </c>
      <c r="S45" s="30" t="s">
        <v>177</v>
      </c>
      <c r="T45" s="30" t="s">
        <v>713</v>
      </c>
      <c r="U45" s="30" t="s">
        <v>103</v>
      </c>
      <c r="V45" s="30" t="s">
        <v>84</v>
      </c>
      <c r="W45" s="30" t="s">
        <v>72</v>
      </c>
      <c r="X45" s="30" t="s">
        <v>85</v>
      </c>
      <c r="Y45" s="30" t="s">
        <v>73</v>
      </c>
      <c r="Z45" s="33">
        <v>45335</v>
      </c>
      <c r="AA45" s="33">
        <v>45335</v>
      </c>
      <c r="AB45" s="30" t="s">
        <v>74</v>
      </c>
      <c r="AC45" s="30"/>
      <c r="AD45" s="30"/>
      <c r="AE45" s="30"/>
      <c r="AF45" s="30"/>
      <c r="AG45" s="30"/>
      <c r="AH45" s="30"/>
      <c r="AI45" s="30"/>
      <c r="AJ45" s="31">
        <f t="shared" si="0"/>
        <v>270</v>
      </c>
      <c r="AK45" s="34">
        <f>5454000000/AJ45</f>
        <v>20200000</v>
      </c>
      <c r="AL45" s="31">
        <f t="shared" si="1"/>
        <v>380</v>
      </c>
      <c r="AM45" s="34">
        <f>961800000/AL45</f>
        <v>2531052.6315789474</v>
      </c>
      <c r="AN45" s="34"/>
      <c r="AO45" s="34">
        <f t="shared" si="5"/>
        <v>6415800000</v>
      </c>
      <c r="AP45" s="30" t="s">
        <v>178</v>
      </c>
      <c r="AQ45" s="30" t="s">
        <v>77</v>
      </c>
      <c r="AR45" s="30"/>
      <c r="AS45" s="30"/>
      <c r="AT45" s="30"/>
      <c r="AU45" s="30"/>
      <c r="AV45" s="35">
        <v>406</v>
      </c>
      <c r="AW45" s="34">
        <v>19700000</v>
      </c>
      <c r="AX45" s="35"/>
      <c r="AY45" s="34"/>
      <c r="AZ45" s="34">
        <v>9800000000</v>
      </c>
      <c r="BA45" s="32">
        <f t="shared" si="2"/>
        <v>7998200000</v>
      </c>
      <c r="BB45" s="30" t="s">
        <v>714</v>
      </c>
      <c r="BC45" s="30" t="s">
        <v>81</v>
      </c>
      <c r="BD45" s="30" t="s">
        <v>715</v>
      </c>
      <c r="BE45" s="30" t="s">
        <v>83</v>
      </c>
      <c r="BF45" s="30"/>
      <c r="BG45" s="30"/>
      <c r="BH45" s="30"/>
      <c r="BI45" s="30"/>
      <c r="BJ45" s="36">
        <v>354</v>
      </c>
      <c r="BK45" s="34">
        <v>19329096</v>
      </c>
      <c r="BL45" s="36">
        <v>200</v>
      </c>
      <c r="BM45" s="34"/>
      <c r="BN45" s="34">
        <v>7800000000</v>
      </c>
      <c r="BO45" s="32">
        <f t="shared" si="3"/>
        <v>6842499984</v>
      </c>
      <c r="BP45" s="30" t="s">
        <v>716</v>
      </c>
      <c r="BQ45" s="30" t="s">
        <v>81</v>
      </c>
      <c r="BR45" s="30" t="s">
        <v>717</v>
      </c>
      <c r="BS45" s="30" t="s">
        <v>83</v>
      </c>
      <c r="BT45" s="30"/>
      <c r="BU45" s="30"/>
      <c r="BV45" s="30"/>
      <c r="BW45" s="30"/>
      <c r="BX45" s="36">
        <v>270</v>
      </c>
      <c r="BY45" s="34">
        <v>19861111</v>
      </c>
      <c r="BZ45" s="36">
        <v>200</v>
      </c>
      <c r="CA45" s="34"/>
      <c r="CB45" s="34">
        <v>6200000000</v>
      </c>
      <c r="CC45" s="32">
        <f t="shared" si="4"/>
        <v>5362499970</v>
      </c>
      <c r="CD45" s="30" t="s">
        <v>718</v>
      </c>
      <c r="CE45" s="30" t="s">
        <v>81</v>
      </c>
      <c r="CF45" s="30" t="s">
        <v>196</v>
      </c>
      <c r="CG45" s="30"/>
      <c r="CH45" s="30"/>
      <c r="CI45" s="64"/>
      <c r="CJ45" s="64"/>
      <c r="CK45" s="64"/>
      <c r="CL45" s="64"/>
    </row>
    <row r="46" spans="1:90" ht="165" x14ac:dyDescent="0.25">
      <c r="A46" s="30">
        <v>21.22</v>
      </c>
      <c r="B46" s="30" t="s">
        <v>710</v>
      </c>
      <c r="C46" s="30" t="s">
        <v>719</v>
      </c>
      <c r="D46" s="33">
        <v>45348</v>
      </c>
      <c r="E46" s="30" t="s">
        <v>93</v>
      </c>
      <c r="F46" s="30" t="s">
        <v>93</v>
      </c>
      <c r="G46" s="30"/>
      <c r="H46" s="30" t="s">
        <v>250</v>
      </c>
      <c r="I46" s="35">
        <v>1137</v>
      </c>
      <c r="J46" s="30" t="s">
        <v>70</v>
      </c>
      <c r="K46" s="35"/>
      <c r="L46" s="35"/>
      <c r="M46" s="30"/>
      <c r="N46" s="30"/>
      <c r="O46" s="30"/>
      <c r="P46" s="30"/>
      <c r="Q46" s="30"/>
      <c r="R46" s="30" t="s">
        <v>720</v>
      </c>
      <c r="S46" s="30" t="s">
        <v>322</v>
      </c>
      <c r="T46" s="30" t="s">
        <v>323</v>
      </c>
      <c r="U46" s="30" t="s">
        <v>164</v>
      </c>
      <c r="V46" s="30" t="s">
        <v>84</v>
      </c>
      <c r="W46" s="30" t="s">
        <v>72</v>
      </c>
      <c r="X46" s="30" t="s">
        <v>85</v>
      </c>
      <c r="Y46" s="30" t="s">
        <v>73</v>
      </c>
      <c r="Z46" s="33">
        <v>45335</v>
      </c>
      <c r="AA46" s="33">
        <v>45335</v>
      </c>
      <c r="AB46" s="30" t="s">
        <v>74</v>
      </c>
      <c r="AC46" s="30"/>
      <c r="AD46" s="30"/>
      <c r="AE46" s="30"/>
      <c r="AF46" s="30"/>
      <c r="AG46" s="30"/>
      <c r="AH46" s="30"/>
      <c r="AI46" s="30"/>
      <c r="AJ46" s="31">
        <f t="shared" si="0"/>
        <v>1137</v>
      </c>
      <c r="AK46" s="34">
        <f>16372800000/AJ46</f>
        <v>14400000</v>
      </c>
      <c r="AL46" s="31">
        <f t="shared" si="1"/>
        <v>0</v>
      </c>
      <c r="AM46" s="34"/>
      <c r="AN46" s="34"/>
      <c r="AO46" s="34">
        <f>(AJ46*AK46)+(AL46*AM46)+AN46</f>
        <v>16372800000</v>
      </c>
      <c r="AP46" s="30" t="s">
        <v>721</v>
      </c>
      <c r="AQ46" s="30" t="s">
        <v>83</v>
      </c>
      <c r="AR46" s="30"/>
      <c r="AS46" s="30"/>
      <c r="AT46" s="30"/>
      <c r="AU46" s="30"/>
      <c r="AV46" s="35">
        <v>584</v>
      </c>
      <c r="AW46" s="34">
        <v>14859956</v>
      </c>
      <c r="AX46" s="35">
        <v>199</v>
      </c>
      <c r="AY46" s="34"/>
      <c r="AZ46" s="34">
        <v>11500000000</v>
      </c>
      <c r="BA46" s="32">
        <f t="shared" si="2"/>
        <v>8678214304</v>
      </c>
      <c r="BB46" s="30" t="s">
        <v>722</v>
      </c>
      <c r="BC46" s="30" t="s">
        <v>81</v>
      </c>
      <c r="BD46" s="30" t="s">
        <v>723</v>
      </c>
      <c r="BE46" s="30" t="s">
        <v>83</v>
      </c>
      <c r="BF46" s="30"/>
      <c r="BG46" s="30"/>
      <c r="BH46" s="30"/>
      <c r="BI46" s="30"/>
      <c r="BJ46" s="36">
        <v>220</v>
      </c>
      <c r="BK46" s="34">
        <v>14894716</v>
      </c>
      <c r="BL46" s="36">
        <v>250</v>
      </c>
      <c r="BM46" s="34"/>
      <c r="BN46" s="34">
        <v>5000000000</v>
      </c>
      <c r="BO46" s="32">
        <f t="shared" si="3"/>
        <v>3276837520</v>
      </c>
      <c r="BP46" s="30" t="s">
        <v>724</v>
      </c>
      <c r="BQ46" s="30" t="s">
        <v>81</v>
      </c>
      <c r="BR46" s="30" t="s">
        <v>725</v>
      </c>
      <c r="BS46" s="30" t="s">
        <v>83</v>
      </c>
      <c r="BT46" s="30"/>
      <c r="BU46" s="30"/>
      <c r="BV46" s="30"/>
      <c r="BW46" s="30"/>
      <c r="BX46" s="36">
        <v>590</v>
      </c>
      <c r="BY46" s="34">
        <v>14873034</v>
      </c>
      <c r="BZ46" s="36">
        <v>200</v>
      </c>
      <c r="CA46" s="34"/>
      <c r="CB46" s="34">
        <v>12300000000</v>
      </c>
      <c r="CC46" s="32">
        <f t="shared" si="4"/>
        <v>8775090060</v>
      </c>
      <c r="CD46" s="30" t="s">
        <v>726</v>
      </c>
      <c r="CE46" s="30" t="s">
        <v>81</v>
      </c>
      <c r="CF46" s="30" t="s">
        <v>196</v>
      </c>
      <c r="CG46" s="30"/>
      <c r="CH46" s="30"/>
      <c r="CI46" s="64"/>
      <c r="CJ46" s="64"/>
      <c r="CK46" s="64"/>
      <c r="CL46" s="64"/>
    </row>
    <row r="47" spans="1:90" ht="150" x14ac:dyDescent="0.25">
      <c r="A47" s="30">
        <v>21.23</v>
      </c>
      <c r="B47" s="30" t="s">
        <v>727</v>
      </c>
      <c r="C47" s="30" t="s">
        <v>728</v>
      </c>
      <c r="D47" s="33">
        <v>45348</v>
      </c>
      <c r="E47" s="30" t="s">
        <v>93</v>
      </c>
      <c r="F47" s="30" t="s">
        <v>93</v>
      </c>
      <c r="G47" s="30"/>
      <c r="H47" s="30" t="s">
        <v>83</v>
      </c>
      <c r="I47" s="35">
        <v>528</v>
      </c>
      <c r="J47" s="30" t="s">
        <v>70</v>
      </c>
      <c r="K47" s="35">
        <v>282</v>
      </c>
      <c r="L47" s="35"/>
      <c r="M47" s="30"/>
      <c r="N47" s="30"/>
      <c r="O47" s="30"/>
      <c r="P47" s="30"/>
      <c r="Q47" s="30" t="s">
        <v>729</v>
      </c>
      <c r="R47" s="30" t="s">
        <v>730</v>
      </c>
      <c r="S47" s="30" t="s">
        <v>179</v>
      </c>
      <c r="T47" s="30" t="s">
        <v>338</v>
      </c>
      <c r="U47" s="30" t="s">
        <v>164</v>
      </c>
      <c r="V47" s="30" t="s">
        <v>84</v>
      </c>
      <c r="W47" s="30" t="s">
        <v>72</v>
      </c>
      <c r="X47" s="30" t="s">
        <v>85</v>
      </c>
      <c r="Y47" s="30" t="s">
        <v>73</v>
      </c>
      <c r="Z47" s="33">
        <v>45335</v>
      </c>
      <c r="AA47" s="33">
        <v>45335</v>
      </c>
      <c r="AB47" s="30" t="s">
        <v>74</v>
      </c>
      <c r="AC47" s="30"/>
      <c r="AD47" s="30"/>
      <c r="AE47" s="30"/>
      <c r="AF47" s="30"/>
      <c r="AG47" s="30"/>
      <c r="AH47" s="30"/>
      <c r="AI47" s="30"/>
      <c r="AJ47" s="31">
        <f t="shared" si="0"/>
        <v>528</v>
      </c>
      <c r="AK47" s="34">
        <f>6336000000/AJ47</f>
        <v>12000000</v>
      </c>
      <c r="AL47" s="31">
        <f t="shared" si="1"/>
        <v>282</v>
      </c>
      <c r="AM47" s="34">
        <f>868600000/AL47</f>
        <v>3080141.843971631</v>
      </c>
      <c r="AN47" s="34"/>
      <c r="AO47" s="34">
        <f t="shared" si="5"/>
        <v>7204600000</v>
      </c>
      <c r="AP47" s="30" t="s">
        <v>731</v>
      </c>
      <c r="AQ47" s="30" t="s">
        <v>83</v>
      </c>
      <c r="AR47" s="30"/>
      <c r="AS47" s="30"/>
      <c r="AT47" s="30"/>
      <c r="AU47" s="30"/>
      <c r="AV47" s="35">
        <v>300</v>
      </c>
      <c r="AW47" s="34">
        <v>12296917</v>
      </c>
      <c r="AX47" s="35">
        <v>375</v>
      </c>
      <c r="AY47" s="34"/>
      <c r="AZ47" s="34">
        <v>5900000000</v>
      </c>
      <c r="BA47" s="32">
        <f t="shared" si="2"/>
        <v>3689075100</v>
      </c>
      <c r="BB47" s="30" t="s">
        <v>732</v>
      </c>
      <c r="BC47" s="30" t="s">
        <v>81</v>
      </c>
      <c r="BD47" s="30" t="s">
        <v>733</v>
      </c>
      <c r="BE47" s="30" t="s">
        <v>83</v>
      </c>
      <c r="BF47" s="30"/>
      <c r="BG47" s="30"/>
      <c r="BH47" s="30"/>
      <c r="BI47" s="30"/>
      <c r="BJ47" s="36">
        <v>620</v>
      </c>
      <c r="BK47" s="34">
        <v>12017845</v>
      </c>
      <c r="BL47" s="36">
        <v>846</v>
      </c>
      <c r="BM47" s="34"/>
      <c r="BN47" s="34">
        <v>13000000000</v>
      </c>
      <c r="BO47" s="32">
        <f t="shared" si="3"/>
        <v>7451063900</v>
      </c>
      <c r="BP47" s="30" t="s">
        <v>734</v>
      </c>
      <c r="BQ47" s="30" t="s">
        <v>81</v>
      </c>
      <c r="BR47" s="30" t="s">
        <v>733</v>
      </c>
      <c r="BS47" s="30" t="s">
        <v>97</v>
      </c>
      <c r="BT47" s="30"/>
      <c r="BU47" s="30"/>
      <c r="BV47" s="30"/>
      <c r="BW47" s="30"/>
      <c r="BX47" s="36">
        <v>312</v>
      </c>
      <c r="BY47" s="34">
        <v>12300000</v>
      </c>
      <c r="BZ47" s="36"/>
      <c r="CA47" s="34"/>
      <c r="CB47" s="34">
        <v>4368000000</v>
      </c>
      <c r="CC47" s="32">
        <f t="shared" si="4"/>
        <v>3837600000</v>
      </c>
      <c r="CD47" s="30" t="s">
        <v>735</v>
      </c>
      <c r="CE47" s="30" t="s">
        <v>81</v>
      </c>
      <c r="CF47" s="30" t="s">
        <v>196</v>
      </c>
      <c r="CG47" s="30"/>
      <c r="CH47" s="30"/>
      <c r="CI47" s="64"/>
      <c r="CJ47" s="64"/>
      <c r="CK47" s="64"/>
      <c r="CL47" s="64"/>
    </row>
    <row r="48" spans="1:90" ht="135" customHeight="1" x14ac:dyDescent="0.25">
      <c r="A48" s="30">
        <v>21.24</v>
      </c>
      <c r="B48" s="30" t="s">
        <v>736</v>
      </c>
      <c r="C48" s="30" t="s">
        <v>737</v>
      </c>
      <c r="D48" s="33">
        <v>45358</v>
      </c>
      <c r="E48" s="30" t="s">
        <v>185</v>
      </c>
      <c r="F48" s="30" t="s">
        <v>185</v>
      </c>
      <c r="G48" s="30"/>
      <c r="H48" s="30" t="s">
        <v>83</v>
      </c>
      <c r="I48" s="35">
        <v>260</v>
      </c>
      <c r="J48" s="30" t="s">
        <v>70</v>
      </c>
      <c r="K48" s="35">
        <v>249</v>
      </c>
      <c r="L48" s="35"/>
      <c r="M48" s="30"/>
      <c r="N48" s="30"/>
      <c r="O48" s="30"/>
      <c r="P48" s="30"/>
      <c r="Q48" s="30"/>
      <c r="R48" s="30" t="s">
        <v>738</v>
      </c>
      <c r="S48" s="30" t="s">
        <v>266</v>
      </c>
      <c r="T48" s="30" t="s">
        <v>267</v>
      </c>
      <c r="U48" s="30" t="s">
        <v>164</v>
      </c>
      <c r="V48" s="30" t="s">
        <v>84</v>
      </c>
      <c r="W48" s="30" t="s">
        <v>72</v>
      </c>
      <c r="X48" s="30" t="s">
        <v>85</v>
      </c>
      <c r="Y48" s="30" t="s">
        <v>73</v>
      </c>
      <c r="Z48" s="33">
        <v>45352</v>
      </c>
      <c r="AA48" s="33">
        <v>45352</v>
      </c>
      <c r="AB48" s="30" t="s">
        <v>74</v>
      </c>
      <c r="AC48" s="30"/>
      <c r="AD48" s="30"/>
      <c r="AE48" s="30"/>
      <c r="AF48" s="30"/>
      <c r="AG48" s="30"/>
      <c r="AH48" s="30"/>
      <c r="AI48" s="30"/>
      <c r="AJ48" s="31">
        <f t="shared" si="0"/>
        <v>260</v>
      </c>
      <c r="AK48" s="34">
        <f>6838000000/AJ48</f>
        <v>26300000</v>
      </c>
      <c r="AL48" s="31">
        <f t="shared" si="1"/>
        <v>249</v>
      </c>
      <c r="AM48" s="34">
        <f>383000000/AL48</f>
        <v>1538152.6104417671</v>
      </c>
      <c r="AN48" s="34"/>
      <c r="AO48" s="34">
        <f t="shared" si="5"/>
        <v>7221000000</v>
      </c>
      <c r="AP48" s="30" t="s">
        <v>739</v>
      </c>
      <c r="AQ48" s="30" t="s">
        <v>740</v>
      </c>
      <c r="AR48" s="30"/>
      <c r="AS48" s="30"/>
      <c r="AT48" s="30"/>
      <c r="AU48" s="30"/>
      <c r="AV48" s="35">
        <v>209</v>
      </c>
      <c r="AW48" s="34">
        <v>26766626</v>
      </c>
      <c r="AX48" s="35">
        <v>187</v>
      </c>
      <c r="AY48" s="34"/>
      <c r="AZ48" s="34">
        <v>6300000000</v>
      </c>
      <c r="BA48" s="32">
        <f t="shared" si="2"/>
        <v>5594224834</v>
      </c>
      <c r="BB48" s="30" t="s">
        <v>741</v>
      </c>
      <c r="BC48" s="30" t="s">
        <v>81</v>
      </c>
      <c r="BD48" s="30" t="s">
        <v>742</v>
      </c>
      <c r="BE48" s="30" t="s">
        <v>740</v>
      </c>
      <c r="BF48" s="30"/>
      <c r="BG48" s="30"/>
      <c r="BH48" s="30"/>
      <c r="BI48" s="30"/>
      <c r="BJ48" s="36">
        <v>510</v>
      </c>
      <c r="BK48" s="34">
        <v>25032000</v>
      </c>
      <c r="BL48" s="36">
        <v>480</v>
      </c>
      <c r="BM48" s="34"/>
      <c r="BN48" s="34">
        <v>15200000000</v>
      </c>
      <c r="BO48" s="32">
        <f t="shared" si="3"/>
        <v>12766320000</v>
      </c>
      <c r="BP48" s="30" t="s">
        <v>743</v>
      </c>
      <c r="BQ48" s="30" t="s">
        <v>81</v>
      </c>
      <c r="BR48" s="30" t="s">
        <v>744</v>
      </c>
      <c r="BS48" s="30" t="s">
        <v>83</v>
      </c>
      <c r="BT48" s="30"/>
      <c r="BU48" s="30"/>
      <c r="BV48" s="30"/>
      <c r="BW48" s="30"/>
      <c r="BX48" s="36">
        <v>150</v>
      </c>
      <c r="BY48" s="34">
        <v>34456837</v>
      </c>
      <c r="BZ48" s="36">
        <v>135</v>
      </c>
      <c r="CA48" s="34"/>
      <c r="CB48" s="34">
        <v>7000000000</v>
      </c>
      <c r="CC48" s="32">
        <f t="shared" si="4"/>
        <v>5168525550</v>
      </c>
      <c r="CD48" s="30" t="s">
        <v>745</v>
      </c>
      <c r="CE48" s="30" t="s">
        <v>81</v>
      </c>
      <c r="CF48" s="30" t="s">
        <v>746</v>
      </c>
      <c r="CG48" s="30"/>
      <c r="CH48" s="30"/>
      <c r="CI48" s="64"/>
      <c r="CJ48" s="64"/>
      <c r="CK48" s="64"/>
      <c r="CL48" s="64"/>
    </row>
    <row r="49" spans="1:90" ht="135" customHeight="1" x14ac:dyDescent="0.25">
      <c r="A49" s="30">
        <v>21.25</v>
      </c>
      <c r="B49" s="30" t="s">
        <v>747</v>
      </c>
      <c r="C49" s="30" t="s">
        <v>748</v>
      </c>
      <c r="D49" s="33">
        <v>45359</v>
      </c>
      <c r="E49" s="30" t="s">
        <v>749</v>
      </c>
      <c r="F49" s="30" t="s">
        <v>749</v>
      </c>
      <c r="G49" s="30"/>
      <c r="H49" s="30" t="s">
        <v>750</v>
      </c>
      <c r="I49" s="35">
        <v>280</v>
      </c>
      <c r="J49" s="30" t="s">
        <v>70</v>
      </c>
      <c r="K49" s="35">
        <v>106</v>
      </c>
      <c r="L49" s="35"/>
      <c r="M49" s="30"/>
      <c r="N49" s="30"/>
      <c r="O49" s="30"/>
      <c r="P49" s="30"/>
      <c r="Q49" s="30"/>
      <c r="R49" s="30" t="s">
        <v>751</v>
      </c>
      <c r="S49" s="30" t="s">
        <v>752</v>
      </c>
      <c r="T49" s="30" t="s">
        <v>753</v>
      </c>
      <c r="U49" s="30" t="s">
        <v>112</v>
      </c>
      <c r="V49" s="30" t="s">
        <v>92</v>
      </c>
      <c r="W49" s="30" t="s">
        <v>72</v>
      </c>
      <c r="X49" s="30" t="s">
        <v>754</v>
      </c>
      <c r="Y49" s="30" t="s">
        <v>169</v>
      </c>
      <c r="Z49" s="33">
        <v>45343</v>
      </c>
      <c r="AA49" s="33">
        <v>45343</v>
      </c>
      <c r="AB49" s="30" t="s">
        <v>90</v>
      </c>
      <c r="AC49" s="30"/>
      <c r="AD49" s="30"/>
      <c r="AE49" s="30"/>
      <c r="AF49" s="30"/>
      <c r="AG49" s="30"/>
      <c r="AH49" s="30"/>
      <c r="AI49" s="30"/>
      <c r="AJ49" s="31">
        <f t="shared" si="0"/>
        <v>280</v>
      </c>
      <c r="AK49" s="34">
        <f>71748000/AJ49</f>
        <v>256242.85714285713</v>
      </c>
      <c r="AL49" s="31">
        <f t="shared" si="1"/>
        <v>106</v>
      </c>
      <c r="AM49" s="34">
        <f>29252000/AL49</f>
        <v>275962.26415094337</v>
      </c>
      <c r="AN49" s="34"/>
      <c r="AO49" s="34">
        <f t="shared" si="5"/>
        <v>101000000</v>
      </c>
      <c r="AP49" s="30" t="s">
        <v>755</v>
      </c>
      <c r="AQ49" s="30" t="s">
        <v>75</v>
      </c>
      <c r="AR49" s="30"/>
      <c r="AS49" s="30"/>
      <c r="AT49" s="30"/>
      <c r="AU49" s="30"/>
      <c r="AV49" s="35">
        <v>280</v>
      </c>
      <c r="AW49" s="34">
        <v>1019286</v>
      </c>
      <c r="AX49" s="35">
        <v>140</v>
      </c>
      <c r="AY49" s="34"/>
      <c r="AZ49" s="34">
        <v>175000000</v>
      </c>
      <c r="BA49" s="32">
        <f t="shared" si="2"/>
        <v>285400080</v>
      </c>
      <c r="BB49" s="30" t="s">
        <v>756</v>
      </c>
      <c r="BC49" s="30" t="s">
        <v>81</v>
      </c>
      <c r="BD49" s="30" t="s">
        <v>757</v>
      </c>
      <c r="BE49" s="30" t="s">
        <v>740</v>
      </c>
      <c r="BF49" s="30"/>
      <c r="BG49" s="30"/>
      <c r="BH49" s="30"/>
      <c r="BI49" s="30"/>
      <c r="BJ49" s="36">
        <v>423</v>
      </c>
      <c r="BK49" s="34">
        <v>898000</v>
      </c>
      <c r="BL49" s="36">
        <v>250</v>
      </c>
      <c r="BM49" s="34"/>
      <c r="BN49" s="34">
        <v>270000000</v>
      </c>
      <c r="BO49" s="32">
        <f t="shared" si="3"/>
        <v>379854000</v>
      </c>
      <c r="BP49" s="30" t="s">
        <v>758</v>
      </c>
      <c r="BQ49" s="30" t="s">
        <v>81</v>
      </c>
      <c r="BR49" s="30" t="s">
        <v>759</v>
      </c>
      <c r="BS49" s="30" t="s">
        <v>740</v>
      </c>
      <c r="BT49" s="30"/>
      <c r="BU49" s="30"/>
      <c r="BV49" s="30"/>
      <c r="BW49" s="30"/>
      <c r="BX49" s="36">
        <v>52</v>
      </c>
      <c r="BY49" s="34">
        <v>1062500</v>
      </c>
      <c r="BZ49" s="36">
        <v>32</v>
      </c>
      <c r="CA49" s="34"/>
      <c r="CB49" s="34">
        <v>40000000</v>
      </c>
      <c r="CC49" s="32">
        <f t="shared" si="4"/>
        <v>55250000</v>
      </c>
      <c r="CD49" s="30" t="s">
        <v>760</v>
      </c>
      <c r="CE49" s="30" t="s">
        <v>81</v>
      </c>
      <c r="CF49" s="30" t="s">
        <v>761</v>
      </c>
      <c r="CG49" s="30"/>
      <c r="CH49" s="30"/>
      <c r="CI49" s="64"/>
      <c r="CJ49" s="64"/>
      <c r="CK49" s="64"/>
      <c r="CL49" s="64"/>
    </row>
    <row r="50" spans="1:90" ht="135" customHeight="1" x14ac:dyDescent="0.25">
      <c r="A50" s="30">
        <v>21.26</v>
      </c>
      <c r="B50" s="30" t="s">
        <v>747</v>
      </c>
      <c r="C50" s="30" t="s">
        <v>762</v>
      </c>
      <c r="D50" s="33">
        <v>45359</v>
      </c>
      <c r="E50" s="30" t="s">
        <v>749</v>
      </c>
      <c r="F50" s="30" t="s">
        <v>749</v>
      </c>
      <c r="G50" s="30"/>
      <c r="H50" s="30" t="s">
        <v>77</v>
      </c>
      <c r="I50" s="35">
        <v>510</v>
      </c>
      <c r="J50" s="30" t="s">
        <v>70</v>
      </c>
      <c r="K50" s="35"/>
      <c r="L50" s="35"/>
      <c r="M50" s="30"/>
      <c r="N50" s="30"/>
      <c r="O50" s="30"/>
      <c r="P50" s="30"/>
      <c r="Q50" s="30"/>
      <c r="R50" s="30" t="s">
        <v>763</v>
      </c>
      <c r="S50" s="30" t="s">
        <v>764</v>
      </c>
      <c r="T50" s="30" t="s">
        <v>765</v>
      </c>
      <c r="U50" s="30" t="s">
        <v>112</v>
      </c>
      <c r="V50" s="30" t="s">
        <v>92</v>
      </c>
      <c r="W50" s="30" t="s">
        <v>72</v>
      </c>
      <c r="X50" s="30" t="s">
        <v>754</v>
      </c>
      <c r="Y50" s="30" t="s">
        <v>169</v>
      </c>
      <c r="Z50" s="33">
        <v>45343</v>
      </c>
      <c r="AA50" s="33">
        <v>45343</v>
      </c>
      <c r="AB50" s="30" t="s">
        <v>90</v>
      </c>
      <c r="AC50" s="30"/>
      <c r="AD50" s="30"/>
      <c r="AE50" s="30"/>
      <c r="AF50" s="30"/>
      <c r="AG50" s="30"/>
      <c r="AH50" s="30"/>
      <c r="AI50" s="30"/>
      <c r="AJ50" s="31">
        <f t="shared" si="0"/>
        <v>510</v>
      </c>
      <c r="AK50" s="34">
        <f>340170000/AJ50</f>
        <v>667000</v>
      </c>
      <c r="AL50" s="31">
        <f t="shared" si="1"/>
        <v>0</v>
      </c>
      <c r="AM50" s="34"/>
      <c r="AN50" s="34"/>
      <c r="AO50" s="34">
        <f t="shared" si="5"/>
        <v>340170000</v>
      </c>
      <c r="AP50" s="30" t="s">
        <v>766</v>
      </c>
      <c r="AQ50" s="30" t="s">
        <v>77</v>
      </c>
      <c r="AR50" s="30"/>
      <c r="AS50" s="30"/>
      <c r="AT50" s="30"/>
      <c r="AU50" s="30"/>
      <c r="AV50" s="35">
        <v>963</v>
      </c>
      <c r="AW50" s="34">
        <v>630722</v>
      </c>
      <c r="AX50" s="35"/>
      <c r="AY50" s="34"/>
      <c r="AZ50" s="34">
        <v>750000000</v>
      </c>
      <c r="BA50" s="32">
        <f t="shared" si="2"/>
        <v>607385286</v>
      </c>
      <c r="BB50" s="30" t="s">
        <v>767</v>
      </c>
      <c r="BC50" s="30" t="s">
        <v>81</v>
      </c>
      <c r="BD50" s="30" t="s">
        <v>768</v>
      </c>
      <c r="BE50" s="30" t="s">
        <v>77</v>
      </c>
      <c r="BF50" s="30"/>
      <c r="BG50" s="30"/>
      <c r="BH50" s="30"/>
      <c r="BI50" s="30"/>
      <c r="BJ50" s="36">
        <v>537</v>
      </c>
      <c r="BK50" s="34">
        <v>558659</v>
      </c>
      <c r="BL50" s="36"/>
      <c r="BM50" s="34"/>
      <c r="BN50" s="34">
        <v>350000000</v>
      </c>
      <c r="BO50" s="32">
        <f t="shared" si="3"/>
        <v>299999883</v>
      </c>
      <c r="BP50" s="30" t="s">
        <v>769</v>
      </c>
      <c r="BQ50" s="30" t="s">
        <v>81</v>
      </c>
      <c r="BR50" s="30" t="s">
        <v>770</v>
      </c>
      <c r="BS50" s="30" t="s">
        <v>77</v>
      </c>
      <c r="BT50" s="30"/>
      <c r="BU50" s="30"/>
      <c r="BV50" s="30"/>
      <c r="BW50" s="30"/>
      <c r="BX50" s="36">
        <v>3624</v>
      </c>
      <c r="BY50" s="34">
        <v>786424</v>
      </c>
      <c r="BZ50" s="36"/>
      <c r="CA50" s="34"/>
      <c r="CB50" s="34">
        <v>3500000000</v>
      </c>
      <c r="CC50" s="32">
        <f t="shared" si="4"/>
        <v>2850000576</v>
      </c>
      <c r="CD50" s="30" t="s">
        <v>771</v>
      </c>
      <c r="CE50" s="30" t="s">
        <v>81</v>
      </c>
      <c r="CF50" s="30" t="s">
        <v>761</v>
      </c>
      <c r="CG50" s="30"/>
      <c r="CH50" s="30"/>
      <c r="CI50" s="64"/>
      <c r="CJ50" s="64"/>
      <c r="CK50" s="64"/>
      <c r="CL50" s="64"/>
    </row>
    <row r="51" spans="1:90" ht="150" customHeight="1" x14ac:dyDescent="0.25">
      <c r="A51" s="37">
        <v>21.27</v>
      </c>
      <c r="B51" s="30" t="s">
        <v>772</v>
      </c>
      <c r="C51" s="30" t="s">
        <v>773</v>
      </c>
      <c r="D51" s="33">
        <v>45369</v>
      </c>
      <c r="E51" s="30" t="s">
        <v>774</v>
      </c>
      <c r="F51" s="30" t="s">
        <v>774</v>
      </c>
      <c r="G51" s="30"/>
      <c r="H51" s="30" t="s">
        <v>97</v>
      </c>
      <c r="I51" s="35">
        <v>1163</v>
      </c>
      <c r="J51" s="30" t="s">
        <v>70</v>
      </c>
      <c r="K51" s="35">
        <v>812</v>
      </c>
      <c r="L51" s="35"/>
      <c r="M51" s="30" t="s">
        <v>397</v>
      </c>
      <c r="N51" s="30"/>
      <c r="O51" s="30"/>
      <c r="P51" s="30"/>
      <c r="Q51" s="30"/>
      <c r="R51" s="30" t="s">
        <v>775</v>
      </c>
      <c r="S51" s="30" t="s">
        <v>776</v>
      </c>
      <c r="T51" s="30" t="s">
        <v>777</v>
      </c>
      <c r="U51" s="30" t="s">
        <v>116</v>
      </c>
      <c r="V51" s="30" t="s">
        <v>84</v>
      </c>
      <c r="W51" s="30" t="s">
        <v>72</v>
      </c>
      <c r="X51" s="30" t="s">
        <v>131</v>
      </c>
      <c r="Y51" s="30" t="s">
        <v>73</v>
      </c>
      <c r="Z51" s="33">
        <v>45358</v>
      </c>
      <c r="AA51" s="33">
        <v>45358</v>
      </c>
      <c r="AB51" s="30" t="s">
        <v>90</v>
      </c>
      <c r="AC51" s="30"/>
      <c r="AD51" s="30"/>
      <c r="AE51" s="30"/>
      <c r="AF51" s="30"/>
      <c r="AG51" s="30"/>
      <c r="AH51" s="30"/>
      <c r="AI51" s="30"/>
      <c r="AJ51" s="31">
        <f t="shared" si="0"/>
        <v>1163</v>
      </c>
      <c r="AK51" s="34">
        <f>22794800000/AJ51</f>
        <v>19600000</v>
      </c>
      <c r="AL51" s="31">
        <f t="shared" si="1"/>
        <v>812</v>
      </c>
      <c r="AM51" s="34">
        <f>653600000/AL51</f>
        <v>804926.10837438423</v>
      </c>
      <c r="AN51" s="34">
        <v>156276000</v>
      </c>
      <c r="AO51" s="34">
        <f t="shared" si="5"/>
        <v>23604676000</v>
      </c>
      <c r="AP51" s="30" t="s">
        <v>778</v>
      </c>
      <c r="AQ51" s="30" t="s">
        <v>97</v>
      </c>
      <c r="AR51" s="30"/>
      <c r="AS51" s="30"/>
      <c r="AT51" s="30"/>
      <c r="AU51" s="30"/>
      <c r="AV51" s="35">
        <v>1032</v>
      </c>
      <c r="AW51" s="34">
        <v>20492481</v>
      </c>
      <c r="AX51" s="35">
        <v>400</v>
      </c>
      <c r="AY51" s="34"/>
      <c r="AZ51" s="34">
        <v>25800000000</v>
      </c>
      <c r="BA51" s="32">
        <f t="shared" si="2"/>
        <v>21148240392</v>
      </c>
      <c r="BB51" s="30" t="s">
        <v>779</v>
      </c>
      <c r="BC51" s="30" t="s">
        <v>81</v>
      </c>
      <c r="BD51" s="30" t="s">
        <v>780</v>
      </c>
      <c r="BE51" s="30" t="s">
        <v>97</v>
      </c>
      <c r="BF51" s="30"/>
      <c r="BG51" s="30"/>
      <c r="BH51" s="30"/>
      <c r="BI51" s="30"/>
      <c r="BJ51" s="36">
        <v>1313</v>
      </c>
      <c r="BK51" s="34">
        <v>19706931</v>
      </c>
      <c r="BL51" s="36">
        <v>1000</v>
      </c>
      <c r="BM51" s="34"/>
      <c r="BN51" s="34">
        <v>30199000000</v>
      </c>
      <c r="BO51" s="32">
        <f t="shared" si="3"/>
        <v>25875200403</v>
      </c>
      <c r="BP51" s="30" t="s">
        <v>781</v>
      </c>
      <c r="BQ51" s="30" t="s">
        <v>81</v>
      </c>
      <c r="BR51" s="30" t="s">
        <v>782</v>
      </c>
      <c r="BS51" s="30" t="s">
        <v>97</v>
      </c>
      <c r="BT51" s="30"/>
      <c r="BU51" s="30"/>
      <c r="BV51" s="30"/>
      <c r="BW51" s="30"/>
      <c r="BX51" s="36">
        <v>2700</v>
      </c>
      <c r="BY51" s="34">
        <v>19140968</v>
      </c>
      <c r="BZ51" s="36">
        <v>936</v>
      </c>
      <c r="CA51" s="34"/>
      <c r="CB51" s="34">
        <v>67500000000</v>
      </c>
      <c r="CC51" s="32">
        <f t="shared" si="4"/>
        <v>51680613600</v>
      </c>
      <c r="CD51" s="30" t="s">
        <v>783</v>
      </c>
      <c r="CE51" s="30" t="s">
        <v>81</v>
      </c>
      <c r="CF51" s="30" t="s">
        <v>761</v>
      </c>
      <c r="CG51" s="30"/>
      <c r="CH51" s="30"/>
      <c r="CI51" s="64"/>
      <c r="CJ51" s="64"/>
      <c r="CK51" s="64"/>
      <c r="CL51" s="64"/>
    </row>
    <row r="52" spans="1:90" ht="90" x14ac:dyDescent="0.25">
      <c r="A52" s="30">
        <v>21.28</v>
      </c>
      <c r="B52" s="30" t="s">
        <v>784</v>
      </c>
      <c r="C52" s="30" t="s">
        <v>785</v>
      </c>
      <c r="D52" s="33">
        <v>45369</v>
      </c>
      <c r="E52" s="30" t="s">
        <v>774</v>
      </c>
      <c r="F52" s="30" t="s">
        <v>774</v>
      </c>
      <c r="G52" s="30"/>
      <c r="H52" s="30" t="s">
        <v>97</v>
      </c>
      <c r="I52" s="35">
        <v>2842</v>
      </c>
      <c r="J52" s="30" t="s">
        <v>70</v>
      </c>
      <c r="K52" s="35">
        <v>2142</v>
      </c>
      <c r="L52" s="35"/>
      <c r="M52" s="30"/>
      <c r="N52" s="30"/>
      <c r="O52" s="30"/>
      <c r="P52" s="30"/>
      <c r="Q52" s="30"/>
      <c r="R52" s="30" t="s">
        <v>786</v>
      </c>
      <c r="S52" s="30" t="s">
        <v>787</v>
      </c>
      <c r="T52" s="30" t="s">
        <v>187</v>
      </c>
      <c r="U52" s="30" t="s">
        <v>188</v>
      </c>
      <c r="V52" s="30" t="s">
        <v>92</v>
      </c>
      <c r="W52" s="30" t="s">
        <v>72</v>
      </c>
      <c r="X52" s="30" t="s">
        <v>131</v>
      </c>
      <c r="Y52" s="30" t="s">
        <v>73</v>
      </c>
      <c r="Z52" s="33">
        <v>45358</v>
      </c>
      <c r="AA52" s="33">
        <v>45358</v>
      </c>
      <c r="AB52" s="30" t="s">
        <v>90</v>
      </c>
      <c r="AC52" s="30"/>
      <c r="AD52" s="30"/>
      <c r="AE52" s="30"/>
      <c r="AF52" s="30"/>
      <c r="AG52" s="30"/>
      <c r="AH52" s="30"/>
      <c r="AI52" s="30"/>
      <c r="AJ52" s="31">
        <f t="shared" si="0"/>
        <v>2842</v>
      </c>
      <c r="AK52" s="34">
        <f>8810200000/AJ52</f>
        <v>3100000</v>
      </c>
      <c r="AL52" s="31">
        <f t="shared" si="1"/>
        <v>2142</v>
      </c>
      <c r="AM52" s="34">
        <f>5168400000/AL52</f>
        <v>2412885.1540616248</v>
      </c>
      <c r="AN52" s="34"/>
      <c r="AO52" s="51">
        <f>(AJ52*AK52)+(AL52*AM52)+(AJ53*AK53)+(AL53*AM53)+AN53+(AJ54*AK54)+(AL54*AM54)+AN54</f>
        <v>29745200000</v>
      </c>
      <c r="AP52" s="30" t="s">
        <v>788</v>
      </c>
      <c r="AQ52" s="30" t="s">
        <v>77</v>
      </c>
      <c r="AR52" s="30"/>
      <c r="AS52" s="30"/>
      <c r="AT52" s="30"/>
      <c r="AU52" s="30"/>
      <c r="AV52" s="35">
        <v>1680</v>
      </c>
      <c r="AW52" s="34">
        <v>5300000</v>
      </c>
      <c r="AX52" s="35"/>
      <c r="AY52" s="34"/>
      <c r="AZ52" s="34">
        <v>10080000000</v>
      </c>
      <c r="BA52" s="32">
        <f t="shared" si="2"/>
        <v>8904000000</v>
      </c>
      <c r="BB52" s="30" t="s">
        <v>789</v>
      </c>
      <c r="BC52" s="30" t="s">
        <v>81</v>
      </c>
      <c r="BD52" s="30" t="s">
        <v>788</v>
      </c>
      <c r="BE52" s="30" t="s">
        <v>86</v>
      </c>
      <c r="BF52" s="30"/>
      <c r="BG52" s="30"/>
      <c r="BH52" s="30"/>
      <c r="BI52" s="30"/>
      <c r="BJ52" s="36">
        <v>2675</v>
      </c>
      <c r="BK52" s="34">
        <v>5503234</v>
      </c>
      <c r="BL52" s="36">
        <v>1000</v>
      </c>
      <c r="BM52" s="34"/>
      <c r="BN52" s="34">
        <v>21400000000</v>
      </c>
      <c r="BO52" s="32">
        <f t="shared" si="3"/>
        <v>14721150950</v>
      </c>
      <c r="BP52" s="30" t="s">
        <v>790</v>
      </c>
      <c r="BQ52" s="30" t="s">
        <v>81</v>
      </c>
      <c r="BR52" s="30" t="s">
        <v>791</v>
      </c>
      <c r="BS52" s="30" t="s">
        <v>83</v>
      </c>
      <c r="BT52" s="30"/>
      <c r="BU52" s="30"/>
      <c r="BV52" s="30"/>
      <c r="BW52" s="30"/>
      <c r="BX52" s="36">
        <v>532</v>
      </c>
      <c r="BY52" s="34">
        <v>3699794</v>
      </c>
      <c r="BZ52" s="36">
        <v>66</v>
      </c>
      <c r="CA52" s="34"/>
      <c r="CB52" s="34">
        <v>2394000000</v>
      </c>
      <c r="CC52" s="32">
        <f t="shared" si="4"/>
        <v>1968290408</v>
      </c>
      <c r="CD52" s="30" t="s">
        <v>792</v>
      </c>
      <c r="CE52" s="30" t="s">
        <v>81</v>
      </c>
      <c r="CF52" s="30" t="s">
        <v>793</v>
      </c>
      <c r="CG52" s="30"/>
      <c r="CH52" s="30"/>
      <c r="CI52" s="64"/>
      <c r="CJ52" s="64"/>
      <c r="CK52" s="64"/>
      <c r="CL52" s="64"/>
    </row>
    <row r="53" spans="1:90" ht="135" x14ac:dyDescent="0.25">
      <c r="A53" s="30">
        <v>21.29</v>
      </c>
      <c r="B53" s="30" t="s">
        <v>784</v>
      </c>
      <c r="C53" s="30" t="s">
        <v>785</v>
      </c>
      <c r="D53" s="33">
        <v>45369</v>
      </c>
      <c r="E53" s="30" t="s">
        <v>774</v>
      </c>
      <c r="F53" s="30" t="s">
        <v>774</v>
      </c>
      <c r="G53" s="30"/>
      <c r="H53" s="30" t="s">
        <v>97</v>
      </c>
      <c r="I53" s="35">
        <v>848</v>
      </c>
      <c r="J53" s="30" t="s">
        <v>70</v>
      </c>
      <c r="K53" s="35">
        <v>682</v>
      </c>
      <c r="L53" s="35"/>
      <c r="M53" s="30" t="s">
        <v>397</v>
      </c>
      <c r="N53" s="30"/>
      <c r="O53" s="30"/>
      <c r="P53" s="30"/>
      <c r="Q53" s="30"/>
      <c r="R53" s="30" t="s">
        <v>794</v>
      </c>
      <c r="S53" s="30" t="s">
        <v>795</v>
      </c>
      <c r="T53" s="30" t="s">
        <v>338</v>
      </c>
      <c r="U53" s="30" t="s">
        <v>164</v>
      </c>
      <c r="V53" s="30" t="s">
        <v>84</v>
      </c>
      <c r="W53" s="30" t="s">
        <v>72</v>
      </c>
      <c r="X53" s="30" t="s">
        <v>131</v>
      </c>
      <c r="Y53" s="30" t="s">
        <v>73</v>
      </c>
      <c r="Z53" s="33">
        <v>45358</v>
      </c>
      <c r="AA53" s="33">
        <v>45358</v>
      </c>
      <c r="AB53" s="30" t="s">
        <v>90</v>
      </c>
      <c r="AC53" s="30"/>
      <c r="AD53" s="30"/>
      <c r="AE53" s="30"/>
      <c r="AF53" s="30"/>
      <c r="AG53" s="30"/>
      <c r="AH53" s="30"/>
      <c r="AI53" s="30"/>
      <c r="AJ53" s="31">
        <f t="shared" si="0"/>
        <v>848</v>
      </c>
      <c r="AK53" s="34">
        <f>8904000000/AJ53</f>
        <v>10500000</v>
      </c>
      <c r="AL53" s="31">
        <f t="shared" si="1"/>
        <v>682</v>
      </c>
      <c r="AM53" s="34">
        <f>1922700000/AL53</f>
        <v>2819208.2111436948</v>
      </c>
      <c r="AN53" s="34">
        <v>109400000</v>
      </c>
      <c r="AO53" s="52"/>
      <c r="AP53" s="30" t="s">
        <v>796</v>
      </c>
      <c r="AQ53" s="30" t="s">
        <v>77</v>
      </c>
      <c r="AR53" s="30"/>
      <c r="AS53" s="30"/>
      <c r="AT53" s="30"/>
      <c r="AU53" s="30"/>
      <c r="AV53" s="35">
        <v>1954</v>
      </c>
      <c r="AW53" s="34">
        <v>12794268</v>
      </c>
      <c r="AX53" s="35"/>
      <c r="AY53" s="34"/>
      <c r="AZ53" s="34">
        <v>30000000000</v>
      </c>
      <c r="BA53" s="32">
        <f t="shared" si="2"/>
        <v>24999999672</v>
      </c>
      <c r="BB53" s="30" t="s">
        <v>797</v>
      </c>
      <c r="BC53" s="30" t="s">
        <v>81</v>
      </c>
      <c r="BD53" s="30" t="s">
        <v>798</v>
      </c>
      <c r="BE53" s="30" t="s">
        <v>77</v>
      </c>
      <c r="BF53" s="30"/>
      <c r="BG53" s="30"/>
      <c r="BH53" s="30"/>
      <c r="BI53" s="30"/>
      <c r="BJ53" s="36">
        <v>1200</v>
      </c>
      <c r="BK53" s="34">
        <v>12500000</v>
      </c>
      <c r="BL53" s="36"/>
      <c r="BM53" s="34"/>
      <c r="BN53" s="34">
        <v>18000000000</v>
      </c>
      <c r="BO53" s="32">
        <f t="shared" si="3"/>
        <v>15000000000</v>
      </c>
      <c r="BP53" s="30" t="s">
        <v>799</v>
      </c>
      <c r="BQ53" s="30" t="s">
        <v>81</v>
      </c>
      <c r="BR53" s="30" t="s">
        <v>800</v>
      </c>
      <c r="BS53" s="30" t="s">
        <v>77</v>
      </c>
      <c r="BT53" s="30"/>
      <c r="BU53" s="30"/>
      <c r="BV53" s="30"/>
      <c r="BW53" s="30"/>
      <c r="BX53" s="36">
        <v>1000</v>
      </c>
      <c r="BY53" s="34">
        <v>10000000</v>
      </c>
      <c r="BZ53" s="36"/>
      <c r="CA53" s="34"/>
      <c r="CB53" s="34">
        <v>11000000000</v>
      </c>
      <c r="CC53" s="32">
        <f t="shared" si="4"/>
        <v>10000000000</v>
      </c>
      <c r="CD53" s="30" t="s">
        <v>801</v>
      </c>
      <c r="CE53" s="30" t="s">
        <v>81</v>
      </c>
      <c r="CF53" s="30" t="s">
        <v>793</v>
      </c>
      <c r="CG53" s="30"/>
      <c r="CH53" s="30"/>
      <c r="CI53" s="64"/>
      <c r="CJ53" s="64"/>
      <c r="CK53" s="64"/>
      <c r="CL53" s="64"/>
    </row>
    <row r="54" spans="1:90" ht="120" x14ac:dyDescent="0.25">
      <c r="A54" s="30">
        <v>21.3</v>
      </c>
      <c r="B54" s="30" t="s">
        <v>784</v>
      </c>
      <c r="C54" s="30" t="s">
        <v>785</v>
      </c>
      <c r="D54" s="33">
        <v>45369</v>
      </c>
      <c r="E54" s="30" t="s">
        <v>774</v>
      </c>
      <c r="F54" s="30" t="s">
        <v>774</v>
      </c>
      <c r="G54" s="30"/>
      <c r="H54" s="30" t="s">
        <v>97</v>
      </c>
      <c r="I54" s="35">
        <v>274</v>
      </c>
      <c r="J54" s="30" t="s">
        <v>70</v>
      </c>
      <c r="K54" s="35">
        <v>352</v>
      </c>
      <c r="L54" s="35"/>
      <c r="M54" s="30"/>
      <c r="N54" s="30"/>
      <c r="O54" s="30"/>
      <c r="P54" s="30"/>
      <c r="Q54" s="30"/>
      <c r="R54" s="30" t="s">
        <v>802</v>
      </c>
      <c r="S54" s="30" t="s">
        <v>179</v>
      </c>
      <c r="T54" s="30" t="s">
        <v>338</v>
      </c>
      <c r="U54" s="30" t="s">
        <v>164</v>
      </c>
      <c r="V54" s="30" t="s">
        <v>84</v>
      </c>
      <c r="W54" s="30" t="s">
        <v>72</v>
      </c>
      <c r="X54" s="30" t="s">
        <v>131</v>
      </c>
      <c r="Y54" s="30" t="s">
        <v>73</v>
      </c>
      <c r="Z54" s="33">
        <v>45358</v>
      </c>
      <c r="AA54" s="33">
        <v>45358</v>
      </c>
      <c r="AB54" s="30" t="s">
        <v>90</v>
      </c>
      <c r="AC54" s="30"/>
      <c r="AD54" s="30"/>
      <c r="AE54" s="30"/>
      <c r="AF54" s="30"/>
      <c r="AG54" s="30"/>
      <c r="AH54" s="30"/>
      <c r="AI54" s="30"/>
      <c r="AJ54" s="31">
        <f t="shared" si="0"/>
        <v>274</v>
      </c>
      <c r="AK54" s="34">
        <f>3562000000/AJ54</f>
        <v>13000000</v>
      </c>
      <c r="AL54" s="31">
        <f t="shared" si="1"/>
        <v>352</v>
      </c>
      <c r="AM54" s="34">
        <f>1268500000/AL54</f>
        <v>3603693.1818181816</v>
      </c>
      <c r="AN54" s="34"/>
      <c r="AO54" s="53"/>
      <c r="AP54" s="30" t="s">
        <v>803</v>
      </c>
      <c r="AQ54" s="30" t="s">
        <v>77</v>
      </c>
      <c r="AR54" s="30"/>
      <c r="AS54" s="30"/>
      <c r="AT54" s="30"/>
      <c r="AU54" s="30"/>
      <c r="AV54" s="35">
        <v>396</v>
      </c>
      <c r="AW54" s="34">
        <v>13000000</v>
      </c>
      <c r="AX54" s="35"/>
      <c r="AY54" s="34"/>
      <c r="AZ54" s="34">
        <v>5940000000</v>
      </c>
      <c r="BA54" s="32">
        <f t="shared" si="2"/>
        <v>5148000000</v>
      </c>
      <c r="BB54" s="30" t="s">
        <v>804</v>
      </c>
      <c r="BC54" s="30" t="s">
        <v>81</v>
      </c>
      <c r="BD54" s="30" t="s">
        <v>803</v>
      </c>
      <c r="BE54" s="30" t="s">
        <v>77</v>
      </c>
      <c r="BF54" s="30"/>
      <c r="BG54" s="30"/>
      <c r="BH54" s="30"/>
      <c r="BI54" s="30"/>
      <c r="BJ54" s="36">
        <v>1215</v>
      </c>
      <c r="BK54" s="34">
        <v>11500000</v>
      </c>
      <c r="BL54" s="36"/>
      <c r="BM54" s="34"/>
      <c r="BN54" s="34">
        <v>15000000000</v>
      </c>
      <c r="BO54" s="32">
        <f t="shared" si="3"/>
        <v>13972500000</v>
      </c>
      <c r="BP54" s="30" t="s">
        <v>805</v>
      </c>
      <c r="BQ54" s="30" t="s">
        <v>81</v>
      </c>
      <c r="BR54" s="30" t="s">
        <v>806</v>
      </c>
      <c r="BS54" s="30" t="s">
        <v>77</v>
      </c>
      <c r="BT54" s="30"/>
      <c r="BU54" s="30"/>
      <c r="BV54" s="30"/>
      <c r="BW54" s="30"/>
      <c r="BX54" s="36">
        <v>1390</v>
      </c>
      <c r="BY54" s="34">
        <v>16000000</v>
      </c>
      <c r="BZ54" s="36"/>
      <c r="CA54" s="34"/>
      <c r="CB54" s="34">
        <v>26410000000</v>
      </c>
      <c r="CC54" s="32">
        <f t="shared" si="4"/>
        <v>22240000000</v>
      </c>
      <c r="CD54" s="30">
        <v>-81380942232</v>
      </c>
      <c r="CE54" s="30" t="s">
        <v>81</v>
      </c>
      <c r="CF54" s="30" t="s">
        <v>793</v>
      </c>
      <c r="CG54" s="30"/>
      <c r="CH54" s="30"/>
      <c r="CI54" s="64"/>
      <c r="CJ54" s="64"/>
      <c r="CK54" s="64"/>
      <c r="CL54" s="64"/>
    </row>
    <row r="55" spans="1:90" ht="225" customHeight="1" x14ac:dyDescent="0.25">
      <c r="A55" s="30">
        <v>21.31</v>
      </c>
      <c r="B55" s="30" t="s">
        <v>807</v>
      </c>
      <c r="C55" s="30" t="s">
        <v>808</v>
      </c>
      <c r="D55" s="33">
        <v>45370</v>
      </c>
      <c r="E55" s="30" t="s">
        <v>93</v>
      </c>
      <c r="F55" s="30" t="s">
        <v>93</v>
      </c>
      <c r="G55" s="30"/>
      <c r="H55" s="30" t="s">
        <v>77</v>
      </c>
      <c r="I55" s="35">
        <v>201</v>
      </c>
      <c r="J55" s="30" t="s">
        <v>70</v>
      </c>
      <c r="K55" s="35"/>
      <c r="L55" s="35"/>
      <c r="M55" s="30"/>
      <c r="N55" s="30"/>
      <c r="O55" s="30"/>
      <c r="P55" s="30"/>
      <c r="Q55" s="30"/>
      <c r="R55" s="30" t="s">
        <v>809</v>
      </c>
      <c r="S55" s="30" t="s">
        <v>810</v>
      </c>
      <c r="T55" s="30" t="s">
        <v>811</v>
      </c>
      <c r="U55" s="30" t="s">
        <v>176</v>
      </c>
      <c r="V55" s="30" t="s">
        <v>80</v>
      </c>
      <c r="W55" s="30" t="s">
        <v>72</v>
      </c>
      <c r="X55" s="30" t="s">
        <v>85</v>
      </c>
      <c r="Y55" s="30" t="s">
        <v>73</v>
      </c>
      <c r="Z55" s="33">
        <v>45358</v>
      </c>
      <c r="AA55" s="33">
        <v>45358</v>
      </c>
      <c r="AB55" s="30" t="s">
        <v>74</v>
      </c>
      <c r="AC55" s="30"/>
      <c r="AD55" s="30"/>
      <c r="AE55" s="30"/>
      <c r="AF55" s="30"/>
      <c r="AG55" s="30"/>
      <c r="AH55" s="30"/>
      <c r="AI55" s="30"/>
      <c r="AJ55" s="31">
        <f t="shared" si="0"/>
        <v>201</v>
      </c>
      <c r="AK55" s="34">
        <f>361800000/AJ55</f>
        <v>1800000</v>
      </c>
      <c r="AL55" s="31">
        <f t="shared" si="1"/>
        <v>0</v>
      </c>
      <c r="AM55" s="34"/>
      <c r="AN55" s="34"/>
      <c r="AO55" s="34">
        <f t="shared" si="5"/>
        <v>361800000</v>
      </c>
      <c r="AP55" s="30" t="s">
        <v>812</v>
      </c>
      <c r="AQ55" s="30" t="s">
        <v>83</v>
      </c>
      <c r="AR55" s="30"/>
      <c r="AS55" s="30"/>
      <c r="AT55" s="30"/>
      <c r="AU55" s="30"/>
      <c r="AV55" s="35">
        <v>290</v>
      </c>
      <c r="AW55" s="34">
        <v>1814093</v>
      </c>
      <c r="AX55" s="35">
        <v>140</v>
      </c>
      <c r="AY55" s="34"/>
      <c r="AZ55" s="34">
        <v>800000000</v>
      </c>
      <c r="BA55" s="32">
        <f t="shared" si="2"/>
        <v>526086970</v>
      </c>
      <c r="BB55" s="30" t="s">
        <v>813</v>
      </c>
      <c r="BC55" s="30" t="s">
        <v>81</v>
      </c>
      <c r="BD55" s="30" t="s">
        <v>812</v>
      </c>
      <c r="BE55" s="30" t="s">
        <v>77</v>
      </c>
      <c r="BF55" s="30"/>
      <c r="BG55" s="30"/>
      <c r="BH55" s="30"/>
      <c r="BI55" s="30"/>
      <c r="BJ55" s="36">
        <v>633</v>
      </c>
      <c r="BK55" s="34">
        <v>1700000</v>
      </c>
      <c r="BL55" s="36"/>
      <c r="BM55" s="34"/>
      <c r="BN55" s="34">
        <v>1392600000</v>
      </c>
      <c r="BO55" s="32">
        <f t="shared" si="3"/>
        <v>1076100000</v>
      </c>
      <c r="BP55" s="30" t="s">
        <v>814</v>
      </c>
      <c r="BQ55" s="30" t="s">
        <v>81</v>
      </c>
      <c r="BR55" s="30" t="s">
        <v>812</v>
      </c>
      <c r="BS55" s="30" t="s">
        <v>77</v>
      </c>
      <c r="BT55" s="30"/>
      <c r="BU55" s="30"/>
      <c r="BV55" s="30"/>
      <c r="BW55" s="30"/>
      <c r="BX55" s="36">
        <v>230</v>
      </c>
      <c r="BY55" s="34">
        <v>1900000</v>
      </c>
      <c r="BZ55" s="36"/>
      <c r="CA55" s="34"/>
      <c r="CB55" s="34">
        <v>575000000</v>
      </c>
      <c r="CC55" s="32">
        <f t="shared" si="4"/>
        <v>437000000</v>
      </c>
      <c r="CD55" s="30" t="s">
        <v>815</v>
      </c>
      <c r="CE55" s="30" t="s">
        <v>81</v>
      </c>
      <c r="CF55" s="30" t="s">
        <v>294</v>
      </c>
      <c r="CG55" s="30"/>
      <c r="CH55" s="30"/>
      <c r="CI55" s="64"/>
      <c r="CJ55" s="64"/>
      <c r="CK55" s="64"/>
      <c r="CL55" s="64"/>
    </row>
    <row r="56" spans="1:90" ht="225" customHeight="1" x14ac:dyDescent="0.25">
      <c r="A56" s="30">
        <v>21.32</v>
      </c>
      <c r="B56" s="30" t="s">
        <v>816</v>
      </c>
      <c r="C56" s="30" t="s">
        <v>817</v>
      </c>
      <c r="D56" s="33">
        <v>45377</v>
      </c>
      <c r="E56" s="30" t="s">
        <v>818</v>
      </c>
      <c r="F56" s="30" t="s">
        <v>93</v>
      </c>
      <c r="G56" s="30"/>
      <c r="H56" s="30" t="s">
        <v>819</v>
      </c>
      <c r="I56" s="35">
        <v>8584</v>
      </c>
      <c r="J56" s="30" t="s">
        <v>70</v>
      </c>
      <c r="K56" s="35">
        <v>13290</v>
      </c>
      <c r="L56" s="35"/>
      <c r="M56" s="30" t="s">
        <v>397</v>
      </c>
      <c r="N56" s="30"/>
      <c r="O56" s="30"/>
      <c r="P56" s="30"/>
      <c r="Q56" s="30"/>
      <c r="R56" s="30" t="s">
        <v>820</v>
      </c>
      <c r="S56" s="30" t="s">
        <v>821</v>
      </c>
      <c r="T56" s="30" t="s">
        <v>822</v>
      </c>
      <c r="U56" s="30" t="s">
        <v>141</v>
      </c>
      <c r="V56" s="30" t="s">
        <v>80</v>
      </c>
      <c r="W56" s="30" t="s">
        <v>72</v>
      </c>
      <c r="X56" s="30" t="s">
        <v>85</v>
      </c>
      <c r="Y56" s="30" t="s">
        <v>73</v>
      </c>
      <c r="Z56" s="33">
        <v>45068</v>
      </c>
      <c r="AA56" s="33">
        <v>45068</v>
      </c>
      <c r="AB56" s="30" t="s">
        <v>90</v>
      </c>
      <c r="AC56" s="30"/>
      <c r="AD56" s="30"/>
      <c r="AE56" s="30"/>
      <c r="AF56" s="30"/>
      <c r="AG56" s="30"/>
      <c r="AH56" s="30"/>
      <c r="AI56" s="30"/>
      <c r="AJ56" s="31">
        <f t="shared" si="0"/>
        <v>8584</v>
      </c>
      <c r="AK56" s="34">
        <f>25322800000/AJ56</f>
        <v>2950000</v>
      </c>
      <c r="AL56" s="31">
        <f t="shared" si="1"/>
        <v>13290</v>
      </c>
      <c r="AM56" s="34">
        <f>68237400000/AL56</f>
        <v>5134492.0993227987</v>
      </c>
      <c r="AN56" s="34">
        <v>2140472000</v>
      </c>
      <c r="AO56" s="34">
        <f t="shared" si="5"/>
        <v>95700672000</v>
      </c>
      <c r="AP56" s="30" t="s">
        <v>823</v>
      </c>
      <c r="AQ56" s="30" t="s">
        <v>97</v>
      </c>
      <c r="AR56" s="30"/>
      <c r="AS56" s="30"/>
      <c r="AT56" s="30"/>
      <c r="AU56" s="30"/>
      <c r="AV56" s="35">
        <v>1142</v>
      </c>
      <c r="AW56" s="34">
        <v>3393870</v>
      </c>
      <c r="AX56" s="35">
        <v>500</v>
      </c>
      <c r="AY56" s="34"/>
      <c r="AZ56" s="34">
        <v>5000000000</v>
      </c>
      <c r="BA56" s="32">
        <f t="shared" si="2"/>
        <v>3875799540</v>
      </c>
      <c r="BB56" s="30" t="s">
        <v>824</v>
      </c>
      <c r="BC56" s="30" t="s">
        <v>81</v>
      </c>
      <c r="BD56" s="30" t="s">
        <v>825</v>
      </c>
      <c r="BE56" s="30" t="s">
        <v>77</v>
      </c>
      <c r="BF56" s="30"/>
      <c r="BG56" s="30"/>
      <c r="BH56" s="30"/>
      <c r="BI56" s="30"/>
      <c r="BJ56" s="36">
        <v>4700</v>
      </c>
      <c r="BK56" s="34">
        <v>3000000</v>
      </c>
      <c r="BL56" s="36"/>
      <c r="BM56" s="34"/>
      <c r="BN56" s="34">
        <v>15510000000</v>
      </c>
      <c r="BO56" s="32">
        <f t="shared" si="3"/>
        <v>14100000000</v>
      </c>
      <c r="BP56" s="30" t="s">
        <v>826</v>
      </c>
      <c r="BQ56" s="30" t="s">
        <v>81</v>
      </c>
      <c r="BR56" s="30" t="s">
        <v>827</v>
      </c>
      <c r="BS56" s="30" t="s">
        <v>77</v>
      </c>
      <c r="BT56" s="30"/>
      <c r="BU56" s="30"/>
      <c r="BV56" s="30"/>
      <c r="BW56" s="30"/>
      <c r="BX56" s="36">
        <v>3829</v>
      </c>
      <c r="BY56" s="34">
        <v>3200000</v>
      </c>
      <c r="BZ56" s="36"/>
      <c r="CA56" s="34"/>
      <c r="CB56" s="34">
        <v>15316000000</v>
      </c>
      <c r="CC56" s="32">
        <f t="shared" si="4"/>
        <v>12252800000</v>
      </c>
      <c r="CD56" s="30" t="s">
        <v>828</v>
      </c>
      <c r="CE56" s="30" t="s">
        <v>81</v>
      </c>
      <c r="CF56" s="30" t="s">
        <v>218</v>
      </c>
      <c r="CG56" s="30"/>
      <c r="CH56" s="30"/>
      <c r="CI56" s="64"/>
      <c r="CJ56" s="64"/>
      <c r="CK56" s="64"/>
      <c r="CL56" s="64"/>
    </row>
    <row r="57" spans="1:90" ht="180" customHeight="1" x14ac:dyDescent="0.25">
      <c r="A57" s="30">
        <v>22</v>
      </c>
      <c r="B57" s="30" t="s">
        <v>829</v>
      </c>
      <c r="C57" s="30" t="s">
        <v>830</v>
      </c>
      <c r="D57" s="33">
        <v>45379</v>
      </c>
      <c r="E57" s="30" t="s">
        <v>831</v>
      </c>
      <c r="F57" s="30" t="s">
        <v>831</v>
      </c>
      <c r="G57" s="30"/>
      <c r="H57" s="30" t="s">
        <v>832</v>
      </c>
      <c r="I57" s="35">
        <v>248</v>
      </c>
      <c r="J57" s="30" t="s">
        <v>70</v>
      </c>
      <c r="K57" s="35">
        <v>465</v>
      </c>
      <c r="L57" s="35"/>
      <c r="M57" s="30"/>
      <c r="N57" s="30"/>
      <c r="O57" s="30"/>
      <c r="P57" s="30"/>
      <c r="Q57" s="30" t="s">
        <v>833</v>
      </c>
      <c r="R57" s="30" t="s">
        <v>834</v>
      </c>
      <c r="S57" s="30" t="s">
        <v>835</v>
      </c>
      <c r="T57" s="30" t="s">
        <v>78</v>
      </c>
      <c r="U57" s="30" t="s">
        <v>176</v>
      </c>
      <c r="V57" s="30" t="s">
        <v>80</v>
      </c>
      <c r="W57" s="30" t="s">
        <v>72</v>
      </c>
      <c r="X57" s="30" t="s">
        <v>142</v>
      </c>
      <c r="Y57" s="30" t="s">
        <v>169</v>
      </c>
      <c r="Z57" s="33">
        <v>45371</v>
      </c>
      <c r="AA57" s="33">
        <v>45230</v>
      </c>
      <c r="AB57" s="30" t="s">
        <v>90</v>
      </c>
      <c r="AC57" s="30"/>
      <c r="AD57" s="30"/>
      <c r="AE57" s="30"/>
      <c r="AF57" s="30"/>
      <c r="AG57" s="30"/>
      <c r="AH57" s="30"/>
      <c r="AI57" s="30"/>
      <c r="AJ57" s="31">
        <f t="shared" si="0"/>
        <v>248</v>
      </c>
      <c r="AK57" s="34"/>
      <c r="AL57" s="31">
        <f t="shared" si="1"/>
        <v>465</v>
      </c>
      <c r="AM57" s="34">
        <v>548026</v>
      </c>
      <c r="AN57" s="34"/>
      <c r="AO57" s="34">
        <v>255000000</v>
      </c>
      <c r="AP57" s="30" t="s">
        <v>836</v>
      </c>
      <c r="AQ57" s="30" t="s">
        <v>101</v>
      </c>
      <c r="AR57" s="30"/>
      <c r="AS57" s="30"/>
      <c r="AT57" s="30"/>
      <c r="AU57" s="30"/>
      <c r="AV57" s="35">
        <v>72</v>
      </c>
      <c r="AW57" s="34">
        <v>583878</v>
      </c>
      <c r="AX57" s="35">
        <v>115</v>
      </c>
      <c r="AY57" s="34"/>
      <c r="AZ57" s="34">
        <v>72000000</v>
      </c>
      <c r="BA57" s="32">
        <f t="shared" si="2"/>
        <v>42039216</v>
      </c>
      <c r="BB57" s="30" t="s">
        <v>837</v>
      </c>
      <c r="BC57" s="30" t="s">
        <v>81</v>
      </c>
      <c r="BD57" s="30" t="s">
        <v>838</v>
      </c>
      <c r="BE57" s="30" t="s">
        <v>101</v>
      </c>
      <c r="BF57" s="30"/>
      <c r="BG57" s="30"/>
      <c r="BH57" s="30"/>
      <c r="BI57" s="30"/>
      <c r="BJ57" s="36">
        <v>72</v>
      </c>
      <c r="BK57" s="34">
        <v>512821</v>
      </c>
      <c r="BL57" s="36">
        <v>205</v>
      </c>
      <c r="BM57" s="34"/>
      <c r="BN57" s="34">
        <v>116000000</v>
      </c>
      <c r="BO57" s="32">
        <f t="shared" si="3"/>
        <v>36923112</v>
      </c>
      <c r="BP57" s="30" t="s">
        <v>839</v>
      </c>
      <c r="BQ57" s="30" t="s">
        <v>81</v>
      </c>
      <c r="BR57" s="30" t="s">
        <v>840</v>
      </c>
      <c r="BS57" s="30" t="s">
        <v>101</v>
      </c>
      <c r="BT57" s="30"/>
      <c r="BU57" s="30"/>
      <c r="BV57" s="30"/>
      <c r="BW57" s="30"/>
      <c r="BX57" s="36">
        <v>71</v>
      </c>
      <c r="BY57" s="34">
        <v>531590</v>
      </c>
      <c r="BZ57" s="36">
        <v>115</v>
      </c>
      <c r="CA57" s="34"/>
      <c r="CB57" s="34">
        <v>65000000</v>
      </c>
      <c r="CC57" s="32">
        <f t="shared" si="4"/>
        <v>37742890</v>
      </c>
      <c r="CD57" s="30" t="s">
        <v>841</v>
      </c>
      <c r="CE57" s="30" t="s">
        <v>81</v>
      </c>
      <c r="CF57" s="30" t="s">
        <v>196</v>
      </c>
      <c r="CG57" s="30"/>
      <c r="CH57" s="30"/>
      <c r="CI57" s="64"/>
      <c r="CJ57" s="64"/>
      <c r="CK57" s="64"/>
      <c r="CL57" s="64"/>
    </row>
    <row r="58" spans="1:90" ht="120" x14ac:dyDescent="0.25">
      <c r="A58" s="30">
        <v>23</v>
      </c>
      <c r="B58" s="30" t="s">
        <v>842</v>
      </c>
      <c r="C58" s="30" t="s">
        <v>843</v>
      </c>
      <c r="D58" s="33">
        <v>45379</v>
      </c>
      <c r="E58" s="30" t="s">
        <v>844</v>
      </c>
      <c r="F58" s="30" t="s">
        <v>845</v>
      </c>
      <c r="G58" s="30"/>
      <c r="H58" s="30" t="s">
        <v>86</v>
      </c>
      <c r="I58" s="35">
        <v>2525</v>
      </c>
      <c r="J58" s="30" t="s">
        <v>70</v>
      </c>
      <c r="K58" s="35">
        <v>1305</v>
      </c>
      <c r="L58" s="35"/>
      <c r="M58" s="30" t="s">
        <v>397</v>
      </c>
      <c r="N58" s="30"/>
      <c r="O58" s="30"/>
      <c r="P58" s="30"/>
      <c r="Q58" s="30"/>
      <c r="R58" s="30" t="s">
        <v>846</v>
      </c>
      <c r="S58" s="30" t="s">
        <v>847</v>
      </c>
      <c r="T58" s="30" t="s">
        <v>241</v>
      </c>
      <c r="U58" s="30" t="s">
        <v>848</v>
      </c>
      <c r="V58" s="30" t="s">
        <v>92</v>
      </c>
      <c r="W58" s="47" t="s">
        <v>72</v>
      </c>
      <c r="X58" s="30" t="s">
        <v>85</v>
      </c>
      <c r="Y58" s="30" t="s">
        <v>73</v>
      </c>
      <c r="Z58" s="33">
        <v>45372</v>
      </c>
      <c r="AA58" s="33">
        <v>45373</v>
      </c>
      <c r="AB58" s="30" t="s">
        <v>90</v>
      </c>
      <c r="AC58" s="30"/>
      <c r="AD58" s="30"/>
      <c r="AE58" s="30"/>
      <c r="AF58" s="30"/>
      <c r="AG58" s="30"/>
      <c r="AH58" s="30"/>
      <c r="AI58" s="30"/>
      <c r="AJ58" s="31">
        <f t="shared" si="0"/>
        <v>2525</v>
      </c>
      <c r="AK58" s="34">
        <f>4797500000/AJ58</f>
        <v>1900000</v>
      </c>
      <c r="AL58" s="31">
        <f t="shared" si="1"/>
        <v>1305</v>
      </c>
      <c r="AM58" s="34">
        <f>2612300000/AL58</f>
        <v>2001762.4521072798</v>
      </c>
      <c r="AN58" s="34">
        <v>321989000</v>
      </c>
      <c r="AO58" s="51">
        <f>(AJ58*AK58)+(AL58*AM58)+AN58+(AJ59*AK59)+(AL59*AM59)+AN59+(AJ60*AK60)+(AL60*AM60)+AN60+(AJ61*AK61)+(AL61*AM61)+AN61</f>
        <v>64353433000</v>
      </c>
      <c r="AP58" s="30" t="s">
        <v>849</v>
      </c>
      <c r="AQ58" s="30" t="s">
        <v>86</v>
      </c>
      <c r="AR58" s="30"/>
      <c r="AS58" s="30"/>
      <c r="AT58" s="30"/>
      <c r="AU58" s="30"/>
      <c r="AV58" s="35">
        <v>1580</v>
      </c>
      <c r="AW58" s="34">
        <v>1917937</v>
      </c>
      <c r="AX58" s="35">
        <v>840</v>
      </c>
      <c r="AY58" s="34"/>
      <c r="AZ58" s="34">
        <v>5100000000</v>
      </c>
      <c r="BA58" s="32">
        <f t="shared" si="2"/>
        <v>3030340460</v>
      </c>
      <c r="BB58" s="30" t="s">
        <v>850</v>
      </c>
      <c r="BC58" s="30" t="s">
        <v>81</v>
      </c>
      <c r="BD58" s="30" t="s">
        <v>851</v>
      </c>
      <c r="BE58" s="30" t="s">
        <v>77</v>
      </c>
      <c r="BF58" s="30"/>
      <c r="BG58" s="30"/>
      <c r="BH58" s="30"/>
      <c r="BI58" s="30"/>
      <c r="BJ58" s="36">
        <v>1310</v>
      </c>
      <c r="BK58" s="34">
        <v>2442748</v>
      </c>
      <c r="BL58" s="36"/>
      <c r="BM58" s="34"/>
      <c r="BN58" s="34">
        <v>4200000000</v>
      </c>
      <c r="BO58" s="32">
        <f t="shared" si="3"/>
        <v>3199999880</v>
      </c>
      <c r="BP58" s="30" t="s">
        <v>852</v>
      </c>
      <c r="BQ58" s="30" t="s">
        <v>81</v>
      </c>
      <c r="BR58" s="30" t="s">
        <v>853</v>
      </c>
      <c r="BS58" s="30" t="s">
        <v>77</v>
      </c>
      <c r="BT58" s="30"/>
      <c r="BU58" s="30"/>
      <c r="BV58" s="30"/>
      <c r="BW58" s="30"/>
      <c r="BX58" s="36">
        <v>2500</v>
      </c>
      <c r="BY58" s="34">
        <v>2700000</v>
      </c>
      <c r="BZ58" s="36"/>
      <c r="CA58" s="34"/>
      <c r="CB58" s="34">
        <v>8750000000</v>
      </c>
      <c r="CC58" s="32">
        <f t="shared" si="4"/>
        <v>6750000000</v>
      </c>
      <c r="CD58" s="30" t="s">
        <v>854</v>
      </c>
      <c r="CE58" s="30" t="s">
        <v>81</v>
      </c>
      <c r="CF58" s="30" t="s">
        <v>855</v>
      </c>
      <c r="CG58" s="30"/>
      <c r="CH58" s="30"/>
      <c r="CI58" s="64"/>
      <c r="CJ58" s="64"/>
      <c r="CK58" s="64"/>
      <c r="CL58" s="64"/>
    </row>
    <row r="59" spans="1:90" ht="180" customHeight="1" x14ac:dyDescent="0.25">
      <c r="A59" s="30">
        <v>24</v>
      </c>
      <c r="B59" s="30" t="s">
        <v>842</v>
      </c>
      <c r="C59" s="30" t="s">
        <v>843</v>
      </c>
      <c r="D59" s="33">
        <v>45379</v>
      </c>
      <c r="E59" s="30" t="s">
        <v>844</v>
      </c>
      <c r="F59" s="30" t="s">
        <v>845</v>
      </c>
      <c r="G59" s="30"/>
      <c r="H59" s="30" t="s">
        <v>86</v>
      </c>
      <c r="I59" s="35">
        <v>2914</v>
      </c>
      <c r="J59" s="30" t="s">
        <v>70</v>
      </c>
      <c r="K59" s="35">
        <v>360</v>
      </c>
      <c r="L59" s="35"/>
      <c r="M59" s="30"/>
      <c r="N59" s="30"/>
      <c r="O59" s="30"/>
      <c r="P59" s="30"/>
      <c r="Q59" s="30"/>
      <c r="R59" s="30" t="s">
        <v>856</v>
      </c>
      <c r="S59" s="30" t="s">
        <v>857</v>
      </c>
      <c r="T59" s="30" t="s">
        <v>858</v>
      </c>
      <c r="U59" s="30" t="s">
        <v>848</v>
      </c>
      <c r="V59" s="30" t="s">
        <v>92</v>
      </c>
      <c r="W59" s="47" t="s">
        <v>72</v>
      </c>
      <c r="X59" s="30" t="s">
        <v>85</v>
      </c>
      <c r="Y59" s="30" t="s">
        <v>73</v>
      </c>
      <c r="Z59" s="33">
        <v>45372</v>
      </c>
      <c r="AA59" s="33">
        <v>45373</v>
      </c>
      <c r="AB59" s="30" t="s">
        <v>90</v>
      </c>
      <c r="AC59" s="30"/>
      <c r="AD59" s="30"/>
      <c r="AE59" s="30"/>
      <c r="AF59" s="30"/>
      <c r="AG59" s="30"/>
      <c r="AH59" s="30"/>
      <c r="AI59" s="30"/>
      <c r="AJ59" s="31">
        <f t="shared" si="0"/>
        <v>2914</v>
      </c>
      <c r="AK59" s="34">
        <f>9907600000/AJ59</f>
        <v>3400000</v>
      </c>
      <c r="AL59" s="31">
        <f t="shared" si="1"/>
        <v>360</v>
      </c>
      <c r="AM59" s="34"/>
      <c r="AN59" s="34"/>
      <c r="AO59" s="52"/>
      <c r="AP59" s="30" t="s">
        <v>859</v>
      </c>
      <c r="AQ59" s="30" t="s">
        <v>77</v>
      </c>
      <c r="AR59" s="30"/>
      <c r="AS59" s="30"/>
      <c r="AT59" s="30"/>
      <c r="AU59" s="30"/>
      <c r="AV59" s="35">
        <v>4241</v>
      </c>
      <c r="AW59" s="34">
        <v>3300000</v>
      </c>
      <c r="AX59" s="35"/>
      <c r="AY59" s="34"/>
      <c r="AZ59" s="34">
        <v>16964000000</v>
      </c>
      <c r="BA59" s="32">
        <f t="shared" si="2"/>
        <v>13995300000</v>
      </c>
      <c r="BB59" s="30" t="s">
        <v>860</v>
      </c>
      <c r="BC59" s="30" t="s">
        <v>81</v>
      </c>
      <c r="BD59" s="30" t="s">
        <v>861</v>
      </c>
      <c r="BE59" s="30" t="s">
        <v>77</v>
      </c>
      <c r="BF59" s="30"/>
      <c r="BG59" s="30"/>
      <c r="BH59" s="30"/>
      <c r="BI59" s="30"/>
      <c r="BJ59" s="36">
        <v>1710</v>
      </c>
      <c r="BK59" s="34">
        <v>4200000</v>
      </c>
      <c r="BL59" s="36"/>
      <c r="BM59" s="34"/>
      <c r="BN59" s="34">
        <v>8550000000</v>
      </c>
      <c r="BO59" s="32">
        <f t="shared" si="3"/>
        <v>7182000000</v>
      </c>
      <c r="BP59" s="30" t="s">
        <v>862</v>
      </c>
      <c r="BQ59" s="30" t="s">
        <v>81</v>
      </c>
      <c r="BR59" s="30" t="s">
        <v>863</v>
      </c>
      <c r="BS59" s="30" t="s">
        <v>77</v>
      </c>
      <c r="BT59" s="30"/>
      <c r="BU59" s="30"/>
      <c r="BV59" s="30"/>
      <c r="BW59" s="30"/>
      <c r="BX59" s="36">
        <v>960</v>
      </c>
      <c r="BY59" s="34">
        <v>4166667</v>
      </c>
      <c r="BZ59" s="36"/>
      <c r="CA59" s="34"/>
      <c r="CB59" s="34">
        <v>5000000000</v>
      </c>
      <c r="CC59" s="32">
        <f t="shared" si="4"/>
        <v>4000000320</v>
      </c>
      <c r="CD59" s="30" t="s">
        <v>864</v>
      </c>
      <c r="CE59" s="30" t="s">
        <v>81</v>
      </c>
      <c r="CF59" s="30" t="s">
        <v>855</v>
      </c>
      <c r="CG59" s="30"/>
      <c r="CH59" s="30"/>
      <c r="CI59" s="64"/>
      <c r="CJ59" s="64"/>
      <c r="CK59" s="64"/>
      <c r="CL59" s="64"/>
    </row>
    <row r="60" spans="1:90" ht="120" x14ac:dyDescent="0.25">
      <c r="A60" s="30">
        <v>25</v>
      </c>
      <c r="B60" s="30" t="s">
        <v>842</v>
      </c>
      <c r="C60" s="30" t="s">
        <v>843</v>
      </c>
      <c r="D60" s="33">
        <v>45379</v>
      </c>
      <c r="E60" s="30" t="s">
        <v>844</v>
      </c>
      <c r="F60" s="30" t="s">
        <v>845</v>
      </c>
      <c r="G60" s="30"/>
      <c r="H60" s="30" t="s">
        <v>86</v>
      </c>
      <c r="I60" s="35">
        <v>6575</v>
      </c>
      <c r="J60" s="30" t="s">
        <v>70</v>
      </c>
      <c r="K60" s="35">
        <v>2592</v>
      </c>
      <c r="L60" s="35"/>
      <c r="M60" s="30" t="s">
        <v>397</v>
      </c>
      <c r="N60" s="30"/>
      <c r="O60" s="30"/>
      <c r="P60" s="30"/>
      <c r="Q60" s="30"/>
      <c r="R60" s="30" t="s">
        <v>865</v>
      </c>
      <c r="S60" s="30" t="s">
        <v>866</v>
      </c>
      <c r="T60" s="30" t="s">
        <v>867</v>
      </c>
      <c r="U60" s="30" t="s">
        <v>848</v>
      </c>
      <c r="V60" s="30" t="s">
        <v>92</v>
      </c>
      <c r="W60" s="47" t="s">
        <v>72</v>
      </c>
      <c r="X60" s="30" t="s">
        <v>85</v>
      </c>
      <c r="Y60" s="30" t="s">
        <v>73</v>
      </c>
      <c r="Z60" s="33">
        <v>45372</v>
      </c>
      <c r="AA60" s="33">
        <v>45373</v>
      </c>
      <c r="AB60" s="30" t="s">
        <v>90</v>
      </c>
      <c r="AC60" s="30"/>
      <c r="AD60" s="30"/>
      <c r="AE60" s="30"/>
      <c r="AF60" s="30"/>
      <c r="AG60" s="30"/>
      <c r="AH60" s="30"/>
      <c r="AI60" s="30"/>
      <c r="AJ60" s="31">
        <f t="shared" si="0"/>
        <v>6575</v>
      </c>
      <c r="AK60" s="34">
        <f>7890000000/AJ60</f>
        <v>1200000</v>
      </c>
      <c r="AL60" s="31">
        <f t="shared" si="1"/>
        <v>2592</v>
      </c>
      <c r="AM60" s="34">
        <f>5342200000/AL60</f>
        <v>2061033.950617284</v>
      </c>
      <c r="AN60" s="34">
        <v>451844000</v>
      </c>
      <c r="AO60" s="52"/>
      <c r="AP60" s="30" t="s">
        <v>868</v>
      </c>
      <c r="AQ60" s="30" t="s">
        <v>77</v>
      </c>
      <c r="AR60" s="30"/>
      <c r="AS60" s="30"/>
      <c r="AT60" s="30"/>
      <c r="AU60" s="30"/>
      <c r="AV60" s="35">
        <v>19920</v>
      </c>
      <c r="AW60" s="34">
        <v>712851</v>
      </c>
      <c r="AX60" s="35"/>
      <c r="AY60" s="34"/>
      <c r="AZ60" s="34">
        <v>15936000000</v>
      </c>
      <c r="BA60" s="32">
        <f t="shared" si="2"/>
        <v>14199991920</v>
      </c>
      <c r="BB60" s="30" t="s">
        <v>869</v>
      </c>
      <c r="BC60" s="30" t="s">
        <v>81</v>
      </c>
      <c r="BD60" s="30" t="s">
        <v>870</v>
      </c>
      <c r="BE60" s="30" t="s">
        <v>77</v>
      </c>
      <c r="BF60" s="30"/>
      <c r="BG60" s="30"/>
      <c r="BH60" s="30"/>
      <c r="BI60" s="30"/>
      <c r="BJ60" s="36">
        <v>9714</v>
      </c>
      <c r="BK60" s="34">
        <v>741198</v>
      </c>
      <c r="BL60" s="36"/>
      <c r="BM60" s="34"/>
      <c r="BN60" s="34">
        <v>771200000</v>
      </c>
      <c r="BO60" s="32">
        <f t="shared" si="3"/>
        <v>7199997372</v>
      </c>
      <c r="BP60" s="30" t="s">
        <v>871</v>
      </c>
      <c r="BQ60" s="30" t="s">
        <v>81</v>
      </c>
      <c r="BR60" s="30" t="s">
        <v>872</v>
      </c>
      <c r="BS60" s="30" t="s">
        <v>77</v>
      </c>
      <c r="BT60" s="30"/>
      <c r="BU60" s="30"/>
      <c r="BV60" s="30"/>
      <c r="BW60" s="30"/>
      <c r="BX60" s="36">
        <v>1598</v>
      </c>
      <c r="BY60" s="34">
        <v>1251564</v>
      </c>
      <c r="BZ60" s="36"/>
      <c r="CA60" s="34"/>
      <c r="CB60" s="34">
        <v>2237200000</v>
      </c>
      <c r="CC60" s="32">
        <f t="shared" si="4"/>
        <v>1999999272</v>
      </c>
      <c r="CD60" s="30" t="s">
        <v>873</v>
      </c>
      <c r="CE60" s="30" t="s">
        <v>81</v>
      </c>
      <c r="CF60" s="30" t="s">
        <v>855</v>
      </c>
      <c r="CG60" s="30"/>
      <c r="CH60" s="30"/>
      <c r="CI60" s="64"/>
      <c r="CJ60" s="64"/>
      <c r="CK60" s="64"/>
      <c r="CL60" s="64"/>
    </row>
    <row r="61" spans="1:90" ht="180" customHeight="1" x14ac:dyDescent="0.25">
      <c r="A61" s="30">
        <v>26</v>
      </c>
      <c r="B61" s="30" t="s">
        <v>842</v>
      </c>
      <c r="C61" s="30" t="s">
        <v>843</v>
      </c>
      <c r="D61" s="33">
        <v>45379</v>
      </c>
      <c r="E61" s="30" t="s">
        <v>844</v>
      </c>
      <c r="F61" s="30" t="s">
        <v>845</v>
      </c>
      <c r="G61" s="30"/>
      <c r="H61" s="30" t="s">
        <v>77</v>
      </c>
      <c r="I61" s="35">
        <v>14680</v>
      </c>
      <c r="J61" s="30" t="s">
        <v>70</v>
      </c>
      <c r="K61" s="35"/>
      <c r="L61" s="35"/>
      <c r="M61" s="30"/>
      <c r="N61" s="30"/>
      <c r="O61" s="30"/>
      <c r="P61" s="30"/>
      <c r="Q61" s="30"/>
      <c r="R61" s="30" t="s">
        <v>874</v>
      </c>
      <c r="S61" s="30" t="s">
        <v>875</v>
      </c>
      <c r="T61" s="30" t="s">
        <v>251</v>
      </c>
      <c r="U61" s="30" t="s">
        <v>848</v>
      </c>
      <c r="V61" s="30" t="s">
        <v>92</v>
      </c>
      <c r="W61" s="47" t="s">
        <v>72</v>
      </c>
      <c r="X61" s="30" t="s">
        <v>85</v>
      </c>
      <c r="Y61" s="30" t="s">
        <v>73</v>
      </c>
      <c r="Z61" s="33">
        <v>45372</v>
      </c>
      <c r="AA61" s="33">
        <v>45373</v>
      </c>
      <c r="AB61" s="30" t="s">
        <v>90</v>
      </c>
      <c r="AC61" s="30"/>
      <c r="AD61" s="30"/>
      <c r="AE61" s="30"/>
      <c r="AF61" s="30"/>
      <c r="AG61" s="30"/>
      <c r="AH61" s="30"/>
      <c r="AI61" s="30"/>
      <c r="AJ61" s="31">
        <f t="shared" si="0"/>
        <v>14680</v>
      </c>
      <c r="AK61" s="34">
        <f>33030000000/AJ61</f>
        <v>2250000</v>
      </c>
      <c r="AL61" s="31">
        <f t="shared" si="1"/>
        <v>0</v>
      </c>
      <c r="AM61" s="34"/>
      <c r="AN61" s="34"/>
      <c r="AO61" s="53"/>
      <c r="AP61" s="30" t="s">
        <v>876</v>
      </c>
      <c r="AQ61" s="30" t="s">
        <v>86</v>
      </c>
      <c r="AR61" s="30"/>
      <c r="AS61" s="30"/>
      <c r="AT61" s="30"/>
      <c r="AU61" s="30"/>
      <c r="AV61" s="35">
        <v>1495</v>
      </c>
      <c r="AW61" s="34">
        <v>2428321</v>
      </c>
      <c r="AX61" s="35">
        <v>1200</v>
      </c>
      <c r="AY61" s="34"/>
      <c r="AZ61" s="34">
        <v>5681000000</v>
      </c>
      <c r="BA61" s="32">
        <f t="shared" si="2"/>
        <v>3630339895</v>
      </c>
      <c r="BB61" s="30" t="s">
        <v>877</v>
      </c>
      <c r="BC61" s="30" t="s">
        <v>81</v>
      </c>
      <c r="BD61" s="30" t="s">
        <v>876</v>
      </c>
      <c r="BE61" s="30" t="s">
        <v>77</v>
      </c>
      <c r="BF61" s="30"/>
      <c r="BG61" s="30"/>
      <c r="BH61" s="30"/>
      <c r="BI61" s="30"/>
      <c r="BJ61" s="36">
        <v>3672</v>
      </c>
      <c r="BK61" s="34">
        <v>1770153</v>
      </c>
      <c r="BL61" s="36"/>
      <c r="BM61" s="34"/>
      <c r="BN61" s="34">
        <v>7160400000</v>
      </c>
      <c r="BO61" s="32">
        <f t="shared" si="3"/>
        <v>6500001816</v>
      </c>
      <c r="BP61" s="30" t="s">
        <v>878</v>
      </c>
      <c r="BQ61" s="30" t="s">
        <v>81</v>
      </c>
      <c r="BR61" s="30" t="s">
        <v>879</v>
      </c>
      <c r="BS61" s="30" t="s">
        <v>86</v>
      </c>
      <c r="BT61" s="30"/>
      <c r="BU61" s="30"/>
      <c r="BV61" s="30"/>
      <c r="BW61" s="30"/>
      <c r="BX61" s="36">
        <v>1495</v>
      </c>
      <c r="BY61" s="34">
        <v>2143370</v>
      </c>
      <c r="BZ61" s="36">
        <v>1080</v>
      </c>
      <c r="CA61" s="34"/>
      <c r="CB61" s="34">
        <v>5980000000</v>
      </c>
      <c r="CC61" s="32">
        <f t="shared" si="4"/>
        <v>3204338150</v>
      </c>
      <c r="CD61" s="30" t="s">
        <v>880</v>
      </c>
      <c r="CE61" s="30" t="s">
        <v>81</v>
      </c>
      <c r="CF61" s="30" t="s">
        <v>855</v>
      </c>
      <c r="CG61" s="30"/>
      <c r="CH61" s="30"/>
      <c r="CI61" s="64"/>
      <c r="CJ61" s="64"/>
      <c r="CK61" s="64"/>
      <c r="CL61" s="64"/>
    </row>
    <row r="62" spans="1:90" ht="120" customHeight="1" x14ac:dyDescent="0.25">
      <c r="A62" s="30">
        <v>27</v>
      </c>
      <c r="B62" s="30" t="s">
        <v>881</v>
      </c>
      <c r="C62" s="30" t="s">
        <v>882</v>
      </c>
      <c r="D62" s="33">
        <v>45384</v>
      </c>
      <c r="E62" s="30" t="s">
        <v>139</v>
      </c>
      <c r="F62" s="30" t="s">
        <v>93</v>
      </c>
      <c r="G62" s="30"/>
      <c r="H62" s="30" t="s">
        <v>97</v>
      </c>
      <c r="I62" s="35">
        <v>9995</v>
      </c>
      <c r="J62" s="30" t="s">
        <v>70</v>
      </c>
      <c r="K62" s="35">
        <v>2749</v>
      </c>
      <c r="L62" s="35"/>
      <c r="M62" s="30" t="s">
        <v>397</v>
      </c>
      <c r="N62" s="30"/>
      <c r="O62" s="30"/>
      <c r="P62" s="30"/>
      <c r="Q62" s="30"/>
      <c r="R62" s="30" t="s">
        <v>883</v>
      </c>
      <c r="S62" s="30" t="s">
        <v>884</v>
      </c>
      <c r="T62" s="30" t="s">
        <v>885</v>
      </c>
      <c r="U62" s="30" t="s">
        <v>886</v>
      </c>
      <c r="V62" s="30" t="s">
        <v>126</v>
      </c>
      <c r="W62" s="30" t="s">
        <v>72</v>
      </c>
      <c r="X62" s="30" t="s">
        <v>85</v>
      </c>
      <c r="Y62" s="30" t="s">
        <v>73</v>
      </c>
      <c r="Z62" s="33">
        <v>45373</v>
      </c>
      <c r="AA62" s="33">
        <v>45373</v>
      </c>
      <c r="AB62" s="30" t="s">
        <v>90</v>
      </c>
      <c r="AC62" s="30"/>
      <c r="AD62" s="30"/>
      <c r="AE62" s="30"/>
      <c r="AF62" s="30"/>
      <c r="AG62" s="30"/>
      <c r="AH62" s="30"/>
      <c r="AI62" s="30"/>
      <c r="AJ62" s="31">
        <f t="shared" si="0"/>
        <v>9995</v>
      </c>
      <c r="AK62" s="34">
        <f>12593700000/AJ62</f>
        <v>1260000</v>
      </c>
      <c r="AL62" s="31">
        <f t="shared" si="1"/>
        <v>2749</v>
      </c>
      <c r="AM62" s="34">
        <f>5208700000/AL62</f>
        <v>1894761.7315387414</v>
      </c>
      <c r="AN62" s="34">
        <v>472724000</v>
      </c>
      <c r="AO62" s="34">
        <f t="shared" si="5"/>
        <v>18275124000</v>
      </c>
      <c r="AP62" s="30" t="s">
        <v>887</v>
      </c>
      <c r="AQ62" s="30" t="s">
        <v>77</v>
      </c>
      <c r="AR62" s="30"/>
      <c r="AS62" s="30"/>
      <c r="AT62" s="30"/>
      <c r="AU62" s="30"/>
      <c r="AV62" s="35">
        <v>20000</v>
      </c>
      <c r="AW62" s="34">
        <v>1070000</v>
      </c>
      <c r="AX62" s="35"/>
      <c r="AY62" s="34"/>
      <c r="AZ62" s="34">
        <v>24000000000</v>
      </c>
      <c r="BA62" s="32">
        <f t="shared" si="2"/>
        <v>21400000000</v>
      </c>
      <c r="BB62" s="30" t="s">
        <v>888</v>
      </c>
      <c r="BC62" s="30" t="s">
        <v>81</v>
      </c>
      <c r="BD62" s="30" t="s">
        <v>889</v>
      </c>
      <c r="BE62" s="30" t="s">
        <v>77</v>
      </c>
      <c r="BF62" s="30"/>
      <c r="BG62" s="30"/>
      <c r="BH62" s="30"/>
      <c r="BI62" s="30"/>
      <c r="BJ62" s="36">
        <v>10476</v>
      </c>
      <c r="BK62" s="34">
        <v>1100000</v>
      </c>
      <c r="BL62" s="36"/>
      <c r="BM62" s="34"/>
      <c r="BN62" s="34">
        <v>13095000000</v>
      </c>
      <c r="BO62" s="32">
        <f t="shared" si="3"/>
        <v>11523600000</v>
      </c>
      <c r="BP62" s="30" t="s">
        <v>890</v>
      </c>
      <c r="BQ62" s="30" t="s">
        <v>81</v>
      </c>
      <c r="BR62" s="30" t="s">
        <v>889</v>
      </c>
      <c r="BS62" s="30" t="s">
        <v>77</v>
      </c>
      <c r="BT62" s="30"/>
      <c r="BU62" s="30"/>
      <c r="BV62" s="30"/>
      <c r="BW62" s="30"/>
      <c r="BX62" s="36">
        <v>50000</v>
      </c>
      <c r="BY62" s="34">
        <v>900000</v>
      </c>
      <c r="BZ62" s="36"/>
      <c r="CA62" s="34"/>
      <c r="CB62" s="34">
        <v>49000000000</v>
      </c>
      <c r="CC62" s="32">
        <f t="shared" si="4"/>
        <v>45000000000</v>
      </c>
      <c r="CD62" s="30" t="s">
        <v>891</v>
      </c>
      <c r="CE62" s="30" t="s">
        <v>81</v>
      </c>
      <c r="CF62" s="30" t="s">
        <v>379</v>
      </c>
      <c r="CG62" s="30"/>
      <c r="CH62" s="30"/>
      <c r="CI62" s="64"/>
      <c r="CJ62" s="64"/>
      <c r="CK62" s="64"/>
      <c r="CL62" s="64"/>
    </row>
    <row r="63" spans="1:90" ht="120" customHeight="1" x14ac:dyDescent="0.25">
      <c r="A63" s="42"/>
      <c r="B63" s="30" t="s">
        <v>892</v>
      </c>
      <c r="C63" s="30" t="s">
        <v>893</v>
      </c>
      <c r="D63" s="33">
        <v>45387</v>
      </c>
      <c r="E63" s="30" t="s">
        <v>139</v>
      </c>
      <c r="F63" s="30" t="s">
        <v>139</v>
      </c>
      <c r="G63" s="30"/>
      <c r="H63" s="30" t="s">
        <v>97</v>
      </c>
      <c r="I63" s="35">
        <v>718</v>
      </c>
      <c r="J63" s="30" t="s">
        <v>70</v>
      </c>
      <c r="K63" s="35">
        <v>643</v>
      </c>
      <c r="L63" s="35"/>
      <c r="M63" s="30"/>
      <c r="N63" s="30"/>
      <c r="O63" s="30"/>
      <c r="P63" s="30"/>
      <c r="Q63" s="30"/>
      <c r="R63" s="30" t="s">
        <v>894</v>
      </c>
      <c r="S63" s="30" t="s">
        <v>149</v>
      </c>
      <c r="T63" s="30" t="s">
        <v>895</v>
      </c>
      <c r="U63" s="30" t="s">
        <v>150</v>
      </c>
      <c r="V63" s="30" t="s">
        <v>126</v>
      </c>
      <c r="W63" s="30" t="s">
        <v>72</v>
      </c>
      <c r="X63" s="30" t="s">
        <v>131</v>
      </c>
      <c r="Y63" s="30" t="s">
        <v>73</v>
      </c>
      <c r="Z63" s="33">
        <v>45372</v>
      </c>
      <c r="AA63" s="33">
        <v>45373</v>
      </c>
      <c r="AB63" s="30" t="s">
        <v>90</v>
      </c>
      <c r="AC63" s="30"/>
      <c r="AD63" s="30"/>
      <c r="AE63" s="30"/>
      <c r="AF63" s="30"/>
      <c r="AG63" s="30"/>
      <c r="AH63" s="30"/>
      <c r="AI63" s="30"/>
      <c r="AJ63" s="31">
        <f t="shared" si="0"/>
        <v>718</v>
      </c>
      <c r="AK63" s="34">
        <f>3302800000/AJ63</f>
        <v>4600000</v>
      </c>
      <c r="AL63" s="31">
        <f t="shared" si="1"/>
        <v>643</v>
      </c>
      <c r="AM63" s="34">
        <f>820700000/AL63</f>
        <v>1276360.8087091758</v>
      </c>
      <c r="AN63" s="34"/>
      <c r="AO63" s="51">
        <f>(AJ63*AK63)+(AL63*AM63)+AN63+(AJ64*AK64)+(AL64*AM64)+AN64+(AJ65*AK65)+(AL65*AM65)+AN65+(AJ66*AK66)+(AL66*AM66)+AN66+(AJ67*AK67)+(AL67*AM67)+AN67+(AJ68*AK68)+(AL68*AM68)+AN68+(AJ69*AK69)+(AL69*AM69)+AN69+(AJ70*AK70)+(AL70*AM70)+AN70+(AJ71*AK71)+(AL71*AM71)+AN71</f>
        <v>30826447000</v>
      </c>
      <c r="AP63" s="30" t="s">
        <v>896</v>
      </c>
      <c r="AQ63" s="30" t="s">
        <v>83</v>
      </c>
      <c r="AR63" s="30"/>
      <c r="AS63" s="30"/>
      <c r="AT63" s="30"/>
      <c r="AU63" s="30"/>
      <c r="AV63" s="35">
        <v>852</v>
      </c>
      <c r="AW63" s="34">
        <v>4534771</v>
      </c>
      <c r="AX63" s="35">
        <v>500</v>
      </c>
      <c r="AY63" s="34"/>
      <c r="AZ63" s="34">
        <v>5112000000</v>
      </c>
      <c r="BA63" s="32">
        <f t="shared" si="2"/>
        <v>3863624892</v>
      </c>
      <c r="BB63" s="30" t="s">
        <v>897</v>
      </c>
      <c r="BC63" s="30" t="s">
        <v>81</v>
      </c>
      <c r="BD63" s="30" t="s">
        <v>896</v>
      </c>
      <c r="BE63" s="30" t="s">
        <v>97</v>
      </c>
      <c r="BF63" s="30"/>
      <c r="BG63" s="30"/>
      <c r="BH63" s="30"/>
      <c r="BI63" s="30"/>
      <c r="BJ63" s="36">
        <v>685</v>
      </c>
      <c r="BK63" s="34">
        <v>4710329</v>
      </c>
      <c r="BL63" s="36">
        <v>800</v>
      </c>
      <c r="BM63" s="34"/>
      <c r="BN63" s="34">
        <v>5800000000</v>
      </c>
      <c r="BO63" s="32">
        <f t="shared" si="3"/>
        <v>3226575365</v>
      </c>
      <c r="BP63" s="30" t="s">
        <v>898</v>
      </c>
      <c r="BQ63" s="30" t="s">
        <v>81</v>
      </c>
      <c r="BR63" s="30" t="s">
        <v>896</v>
      </c>
      <c r="BS63" s="30" t="s">
        <v>97</v>
      </c>
      <c r="BT63" s="30"/>
      <c r="BU63" s="30"/>
      <c r="BV63" s="30"/>
      <c r="BW63" s="30"/>
      <c r="BX63" s="36">
        <v>1566</v>
      </c>
      <c r="BY63" s="34">
        <v>4340332</v>
      </c>
      <c r="BZ63" s="36">
        <v>1200</v>
      </c>
      <c r="CA63" s="34"/>
      <c r="CB63" s="34">
        <v>9500000000</v>
      </c>
      <c r="CC63" s="32">
        <f t="shared" si="4"/>
        <v>6796959912</v>
      </c>
      <c r="CD63" s="30" t="s">
        <v>899</v>
      </c>
      <c r="CE63" s="30" t="s">
        <v>81</v>
      </c>
      <c r="CF63" s="30" t="s">
        <v>379</v>
      </c>
      <c r="CG63" s="30"/>
      <c r="CH63" s="30"/>
      <c r="CI63" s="64"/>
      <c r="CJ63" s="64"/>
      <c r="CK63" s="64"/>
      <c r="CL63" s="64"/>
    </row>
    <row r="64" spans="1:90" ht="195" customHeight="1" x14ac:dyDescent="0.25">
      <c r="A64" s="42"/>
      <c r="B64" s="30" t="s">
        <v>892</v>
      </c>
      <c r="C64" s="30" t="s">
        <v>893</v>
      </c>
      <c r="D64" s="33">
        <v>45387</v>
      </c>
      <c r="E64" s="30" t="s">
        <v>139</v>
      </c>
      <c r="F64" s="30" t="s">
        <v>139</v>
      </c>
      <c r="G64" s="30"/>
      <c r="H64" s="30" t="s">
        <v>97</v>
      </c>
      <c r="I64" s="35">
        <v>990</v>
      </c>
      <c r="J64" s="30" t="s">
        <v>70</v>
      </c>
      <c r="K64" s="35">
        <v>606</v>
      </c>
      <c r="L64" s="35"/>
      <c r="M64" s="30" t="s">
        <v>397</v>
      </c>
      <c r="N64" s="30"/>
      <c r="O64" s="30"/>
      <c r="P64" s="30"/>
      <c r="Q64" s="30"/>
      <c r="R64" s="30" t="s">
        <v>900</v>
      </c>
      <c r="S64" s="30" t="s">
        <v>901</v>
      </c>
      <c r="T64" s="30" t="s">
        <v>902</v>
      </c>
      <c r="U64" s="30" t="s">
        <v>903</v>
      </c>
      <c r="V64" s="30" t="s">
        <v>126</v>
      </c>
      <c r="W64" s="30" t="s">
        <v>72</v>
      </c>
      <c r="X64" s="30" t="s">
        <v>131</v>
      </c>
      <c r="Y64" s="30" t="s">
        <v>73</v>
      </c>
      <c r="Z64" s="33">
        <v>45372</v>
      </c>
      <c r="AA64" s="33">
        <v>45373</v>
      </c>
      <c r="AB64" s="30" t="s">
        <v>90</v>
      </c>
      <c r="AC64" s="30"/>
      <c r="AD64" s="30"/>
      <c r="AE64" s="30"/>
      <c r="AF64" s="30"/>
      <c r="AG64" s="30"/>
      <c r="AH64" s="30"/>
      <c r="AI64" s="30"/>
      <c r="AJ64" s="31">
        <f t="shared" si="0"/>
        <v>990</v>
      </c>
      <c r="AK64" s="34">
        <f>3069000000/AJ64</f>
        <v>3100000</v>
      </c>
      <c r="AL64" s="31">
        <f t="shared" si="1"/>
        <v>606</v>
      </c>
      <c r="AM64" s="34">
        <f>406000000/AL64</f>
        <v>669966.99669966998</v>
      </c>
      <c r="AN64" s="34">
        <v>20427000</v>
      </c>
      <c r="AO64" s="52"/>
      <c r="AP64" s="30" t="s">
        <v>904</v>
      </c>
      <c r="AQ64" s="30" t="s">
        <v>97</v>
      </c>
      <c r="AR64" s="30"/>
      <c r="AS64" s="30"/>
      <c r="AT64" s="30"/>
      <c r="AU64" s="30"/>
      <c r="AV64" s="35">
        <v>1418</v>
      </c>
      <c r="AW64" s="34">
        <v>2809408</v>
      </c>
      <c r="AX64" s="35">
        <v>680</v>
      </c>
      <c r="AY64" s="34"/>
      <c r="AZ64" s="34">
        <v>6000000000</v>
      </c>
      <c r="BA64" s="32">
        <f t="shared" si="2"/>
        <v>3983740544</v>
      </c>
      <c r="BB64" s="30" t="s">
        <v>905</v>
      </c>
      <c r="BC64" s="30" t="s">
        <v>81</v>
      </c>
      <c r="BD64" s="30" t="s">
        <v>906</v>
      </c>
      <c r="BE64" s="30" t="s">
        <v>77</v>
      </c>
      <c r="BF64" s="30"/>
      <c r="BG64" s="30"/>
      <c r="BH64" s="30"/>
      <c r="BI64" s="30"/>
      <c r="BJ64" s="36">
        <v>953</v>
      </c>
      <c r="BK64" s="34">
        <v>3147954</v>
      </c>
      <c r="BL64" s="36"/>
      <c r="BM64" s="34"/>
      <c r="BN64" s="34">
        <v>3335500000</v>
      </c>
      <c r="BO64" s="32">
        <f t="shared" si="3"/>
        <v>3000000162</v>
      </c>
      <c r="BP64" s="30" t="s">
        <v>907</v>
      </c>
      <c r="BQ64" s="30" t="s">
        <v>81</v>
      </c>
      <c r="BR64" s="30" t="s">
        <v>904</v>
      </c>
      <c r="BS64" s="30" t="s">
        <v>97</v>
      </c>
      <c r="BT64" s="30"/>
      <c r="BU64" s="30"/>
      <c r="BV64" s="30"/>
      <c r="BW64" s="30"/>
      <c r="BX64" s="36">
        <v>136</v>
      </c>
      <c r="BY64" s="34">
        <v>3876699</v>
      </c>
      <c r="BZ64" s="36">
        <v>30</v>
      </c>
      <c r="CA64" s="34"/>
      <c r="CB64" s="34">
        <v>700000000</v>
      </c>
      <c r="CC64" s="32">
        <f t="shared" si="4"/>
        <v>527231064</v>
      </c>
      <c r="CD64" s="30" t="s">
        <v>908</v>
      </c>
      <c r="CE64" s="30" t="s">
        <v>81</v>
      </c>
      <c r="CF64" s="30" t="s">
        <v>379</v>
      </c>
      <c r="CG64" s="30"/>
      <c r="CH64" s="30"/>
      <c r="CI64" s="64"/>
      <c r="CJ64" s="64"/>
      <c r="CK64" s="64"/>
      <c r="CL64" s="64"/>
    </row>
    <row r="65" spans="1:90" ht="195" customHeight="1" x14ac:dyDescent="0.25">
      <c r="A65" s="42"/>
      <c r="B65" s="30" t="s">
        <v>892</v>
      </c>
      <c r="C65" s="30" t="s">
        <v>893</v>
      </c>
      <c r="D65" s="33">
        <v>45387</v>
      </c>
      <c r="E65" s="30" t="s">
        <v>139</v>
      </c>
      <c r="F65" s="30" t="s">
        <v>139</v>
      </c>
      <c r="G65" s="30"/>
      <c r="H65" s="30" t="s">
        <v>77</v>
      </c>
      <c r="I65" s="35">
        <v>446</v>
      </c>
      <c r="J65" s="30" t="s">
        <v>70</v>
      </c>
      <c r="K65" s="35"/>
      <c r="L65" s="35"/>
      <c r="M65" s="30"/>
      <c r="N65" s="30"/>
      <c r="O65" s="30"/>
      <c r="P65" s="30"/>
      <c r="Q65" s="30"/>
      <c r="R65" s="30" t="s">
        <v>900</v>
      </c>
      <c r="S65" s="30" t="s">
        <v>901</v>
      </c>
      <c r="T65" s="30" t="s">
        <v>902</v>
      </c>
      <c r="U65" s="30" t="s">
        <v>909</v>
      </c>
      <c r="V65" s="30" t="s">
        <v>126</v>
      </c>
      <c r="W65" s="30" t="s">
        <v>72</v>
      </c>
      <c r="X65" s="30" t="s">
        <v>131</v>
      </c>
      <c r="Y65" s="30" t="s">
        <v>73</v>
      </c>
      <c r="Z65" s="33">
        <v>45372</v>
      </c>
      <c r="AA65" s="33">
        <v>45373</v>
      </c>
      <c r="AB65" s="30" t="s">
        <v>90</v>
      </c>
      <c r="AC65" s="30"/>
      <c r="AD65" s="30"/>
      <c r="AE65" s="30"/>
      <c r="AF65" s="30"/>
      <c r="AG65" s="30"/>
      <c r="AH65" s="30"/>
      <c r="AI65" s="30"/>
      <c r="AJ65" s="31">
        <f t="shared" si="0"/>
        <v>446</v>
      </c>
      <c r="AK65" s="34">
        <f>1427200000/AJ65</f>
        <v>3200000</v>
      </c>
      <c r="AL65" s="31">
        <f t="shared" si="1"/>
        <v>0</v>
      </c>
      <c r="AM65" s="34"/>
      <c r="AN65" s="34"/>
      <c r="AO65" s="52"/>
      <c r="AP65" s="30" t="s">
        <v>904</v>
      </c>
      <c r="AQ65" s="30" t="s">
        <v>97</v>
      </c>
      <c r="AR65" s="30"/>
      <c r="AS65" s="30"/>
      <c r="AT65" s="30"/>
      <c r="AU65" s="30"/>
      <c r="AV65" s="35">
        <v>1418</v>
      </c>
      <c r="AW65" s="34">
        <v>2809408</v>
      </c>
      <c r="AX65" s="35">
        <v>680</v>
      </c>
      <c r="AY65" s="34"/>
      <c r="AZ65" s="34">
        <v>6000000000</v>
      </c>
      <c r="BA65" s="32">
        <f t="shared" si="2"/>
        <v>3983740544</v>
      </c>
      <c r="BB65" s="30" t="s">
        <v>905</v>
      </c>
      <c r="BC65" s="30" t="s">
        <v>81</v>
      </c>
      <c r="BD65" s="30" t="s">
        <v>910</v>
      </c>
      <c r="BE65" s="30" t="s">
        <v>77</v>
      </c>
      <c r="BF65" s="30"/>
      <c r="BG65" s="30"/>
      <c r="BH65" s="30"/>
      <c r="BI65" s="30"/>
      <c r="BJ65" s="36">
        <v>953</v>
      </c>
      <c r="BK65" s="34">
        <v>3147954</v>
      </c>
      <c r="BL65" s="36"/>
      <c r="BM65" s="34"/>
      <c r="BN65" s="34">
        <v>3355000000</v>
      </c>
      <c r="BO65" s="32">
        <f t="shared" si="3"/>
        <v>3000000162</v>
      </c>
      <c r="BP65" s="30" t="s">
        <v>907</v>
      </c>
      <c r="BQ65" s="30" t="s">
        <v>81</v>
      </c>
      <c r="BR65" s="30" t="s">
        <v>904</v>
      </c>
      <c r="BS65" s="30" t="s">
        <v>97</v>
      </c>
      <c r="BT65" s="30"/>
      <c r="BU65" s="30"/>
      <c r="BV65" s="30"/>
      <c r="BW65" s="30"/>
      <c r="BX65" s="36">
        <v>136</v>
      </c>
      <c r="BY65" s="34">
        <v>3876699</v>
      </c>
      <c r="BZ65" s="36">
        <v>30</v>
      </c>
      <c r="CA65" s="34"/>
      <c r="CB65" s="34">
        <v>700000000</v>
      </c>
      <c r="CC65" s="32">
        <f t="shared" si="4"/>
        <v>527231064</v>
      </c>
      <c r="CD65" s="30" t="s">
        <v>908</v>
      </c>
      <c r="CE65" s="30" t="s">
        <v>81</v>
      </c>
      <c r="CF65" s="30" t="s">
        <v>379</v>
      </c>
      <c r="CG65" s="30"/>
      <c r="CH65" s="30"/>
      <c r="CI65" s="64"/>
      <c r="CJ65" s="64"/>
      <c r="CK65" s="64"/>
      <c r="CL65" s="64"/>
    </row>
    <row r="66" spans="1:90" ht="165" customHeight="1" x14ac:dyDescent="0.25">
      <c r="A66" s="42"/>
      <c r="B66" s="30" t="s">
        <v>892</v>
      </c>
      <c r="C66" s="30" t="s">
        <v>893</v>
      </c>
      <c r="D66" s="33">
        <v>45387</v>
      </c>
      <c r="E66" s="30" t="s">
        <v>139</v>
      </c>
      <c r="F66" s="30" t="s">
        <v>139</v>
      </c>
      <c r="G66" s="30"/>
      <c r="H66" s="30" t="s">
        <v>77</v>
      </c>
      <c r="I66" s="35">
        <v>2576</v>
      </c>
      <c r="J66" s="30" t="s">
        <v>70</v>
      </c>
      <c r="K66" s="35"/>
      <c r="L66" s="35"/>
      <c r="M66" s="30"/>
      <c r="N66" s="30"/>
      <c r="O66" s="30"/>
      <c r="P66" s="30"/>
      <c r="Q66" s="30" t="s">
        <v>911</v>
      </c>
      <c r="R66" s="30"/>
      <c r="S66" s="30" t="s">
        <v>912</v>
      </c>
      <c r="T66" s="30" t="s">
        <v>913</v>
      </c>
      <c r="U66" s="30" t="s">
        <v>914</v>
      </c>
      <c r="V66" s="30" t="s">
        <v>126</v>
      </c>
      <c r="W66" s="30" t="s">
        <v>72</v>
      </c>
      <c r="X66" s="30" t="s">
        <v>131</v>
      </c>
      <c r="Y66" s="30" t="s">
        <v>73</v>
      </c>
      <c r="Z66" s="33">
        <v>45372</v>
      </c>
      <c r="AA66" s="33">
        <v>45373</v>
      </c>
      <c r="AB66" s="30" t="s">
        <v>90</v>
      </c>
      <c r="AC66" s="30"/>
      <c r="AD66" s="30"/>
      <c r="AE66" s="30"/>
      <c r="AF66" s="30"/>
      <c r="AG66" s="30"/>
      <c r="AH66" s="30"/>
      <c r="AI66" s="30"/>
      <c r="AJ66" s="31">
        <f t="shared" si="0"/>
        <v>2576</v>
      </c>
      <c r="AK66" s="34">
        <f>747040000/AJ66</f>
        <v>290000</v>
      </c>
      <c r="AL66" s="31">
        <f t="shared" si="1"/>
        <v>0</v>
      </c>
      <c r="AM66" s="34"/>
      <c r="AN66" s="34"/>
      <c r="AO66" s="52"/>
      <c r="AP66" s="30" t="s">
        <v>915</v>
      </c>
      <c r="AQ66" s="30" t="s">
        <v>319</v>
      </c>
      <c r="AR66" s="30"/>
      <c r="AS66" s="30"/>
      <c r="AT66" s="30"/>
      <c r="AU66" s="30"/>
      <c r="AV66" s="35">
        <v>500</v>
      </c>
      <c r="AW66" s="34">
        <v>300000</v>
      </c>
      <c r="AX66" s="35"/>
      <c r="AY66" s="34"/>
      <c r="AZ66" s="34">
        <v>175000000</v>
      </c>
      <c r="BA66" s="32">
        <f t="shared" si="2"/>
        <v>150000000</v>
      </c>
      <c r="BB66" s="30" t="s">
        <v>916</v>
      </c>
      <c r="BC66" s="30" t="s">
        <v>81</v>
      </c>
      <c r="BD66" s="30" t="s">
        <v>917</v>
      </c>
      <c r="BE66" s="30" t="s">
        <v>319</v>
      </c>
      <c r="BF66" s="30"/>
      <c r="BG66" s="30"/>
      <c r="BH66" s="30"/>
      <c r="BI66" s="30"/>
      <c r="BJ66" s="36">
        <v>2227</v>
      </c>
      <c r="BK66" s="34">
        <v>320000</v>
      </c>
      <c r="BL66" s="36"/>
      <c r="BM66" s="34"/>
      <c r="BN66" s="34">
        <v>890800000</v>
      </c>
      <c r="BO66" s="32">
        <f t="shared" si="3"/>
        <v>712640000</v>
      </c>
      <c r="BP66" s="30" t="s">
        <v>916</v>
      </c>
      <c r="BQ66" s="30" t="s">
        <v>81</v>
      </c>
      <c r="BR66" s="30" t="s">
        <v>918</v>
      </c>
      <c r="BS66" s="30" t="s">
        <v>319</v>
      </c>
      <c r="BT66" s="30"/>
      <c r="BU66" s="30"/>
      <c r="BV66" s="30"/>
      <c r="BW66" s="30"/>
      <c r="BX66" s="36">
        <v>2769</v>
      </c>
      <c r="BY66" s="34">
        <v>275000</v>
      </c>
      <c r="BZ66" s="36"/>
      <c r="CA66" s="34"/>
      <c r="CB66" s="34">
        <v>899925000</v>
      </c>
      <c r="CC66" s="32">
        <f t="shared" si="4"/>
        <v>761475000</v>
      </c>
      <c r="CD66" s="30" t="s">
        <v>919</v>
      </c>
      <c r="CE66" s="30" t="s">
        <v>81</v>
      </c>
      <c r="CF66" s="30" t="s">
        <v>379</v>
      </c>
      <c r="CG66" s="30"/>
      <c r="CH66" s="30"/>
      <c r="CI66" s="64"/>
      <c r="CJ66" s="64"/>
      <c r="CK66" s="64"/>
      <c r="CL66" s="64"/>
    </row>
    <row r="67" spans="1:90" ht="105" x14ac:dyDescent="0.25">
      <c r="A67" s="43"/>
      <c r="B67" s="30" t="s">
        <v>892</v>
      </c>
      <c r="C67" s="30" t="s">
        <v>893</v>
      </c>
      <c r="D67" s="33">
        <v>45387</v>
      </c>
      <c r="E67" s="30" t="s">
        <v>139</v>
      </c>
      <c r="F67" s="30" t="s">
        <v>139</v>
      </c>
      <c r="G67" s="30"/>
      <c r="H67" s="30" t="s">
        <v>77</v>
      </c>
      <c r="I67" s="35">
        <v>695</v>
      </c>
      <c r="J67" s="30" t="s">
        <v>70</v>
      </c>
      <c r="K67" s="35"/>
      <c r="L67" s="35"/>
      <c r="M67" s="30"/>
      <c r="N67" s="30"/>
      <c r="O67" s="30"/>
      <c r="P67" s="30"/>
      <c r="Q67" s="30"/>
      <c r="R67" s="30" t="s">
        <v>920</v>
      </c>
      <c r="S67" s="30" t="s">
        <v>921</v>
      </c>
      <c r="T67" s="30" t="s">
        <v>922</v>
      </c>
      <c r="U67" s="30" t="s">
        <v>914</v>
      </c>
      <c r="V67" s="30" t="s">
        <v>126</v>
      </c>
      <c r="W67" s="30" t="s">
        <v>72</v>
      </c>
      <c r="X67" s="30" t="s">
        <v>131</v>
      </c>
      <c r="Y67" s="30" t="s">
        <v>73</v>
      </c>
      <c r="Z67" s="33">
        <v>45372</v>
      </c>
      <c r="AA67" s="33">
        <v>45373</v>
      </c>
      <c r="AB67" s="30" t="s">
        <v>90</v>
      </c>
      <c r="AC67" s="30"/>
      <c r="AD67" s="30"/>
      <c r="AE67" s="30"/>
      <c r="AF67" s="30"/>
      <c r="AG67" s="30"/>
      <c r="AH67" s="30"/>
      <c r="AI67" s="30"/>
      <c r="AJ67" s="31">
        <f t="shared" si="0"/>
        <v>695</v>
      </c>
      <c r="AK67" s="34">
        <f>1633250000/AJ67</f>
        <v>2350000</v>
      </c>
      <c r="AL67" s="31">
        <f t="shared" si="1"/>
        <v>0</v>
      </c>
      <c r="AM67" s="34"/>
      <c r="AN67" s="34"/>
      <c r="AO67" s="52"/>
      <c r="AP67" s="30" t="s">
        <v>923</v>
      </c>
      <c r="AQ67" s="30" t="s">
        <v>77</v>
      </c>
      <c r="AR67" s="30"/>
      <c r="AS67" s="30"/>
      <c r="AT67" s="30"/>
      <c r="AU67" s="30"/>
      <c r="AV67" s="35">
        <v>2156</v>
      </c>
      <c r="AW67" s="34">
        <v>2597403</v>
      </c>
      <c r="AX67" s="35"/>
      <c r="AY67" s="34"/>
      <c r="AZ67" s="34">
        <v>6468000000</v>
      </c>
      <c r="BA67" s="32">
        <f t="shared" si="2"/>
        <v>5600000868</v>
      </c>
      <c r="BB67" s="30" t="s">
        <v>924</v>
      </c>
      <c r="BC67" s="30" t="s">
        <v>81</v>
      </c>
      <c r="BD67" s="30" t="s">
        <v>925</v>
      </c>
      <c r="BE67" s="30" t="s">
        <v>77</v>
      </c>
      <c r="BF67" s="30"/>
      <c r="BG67" s="30"/>
      <c r="BH67" s="30"/>
      <c r="BI67" s="30"/>
      <c r="BJ67" s="36">
        <v>1015</v>
      </c>
      <c r="BK67" s="34">
        <v>2266010</v>
      </c>
      <c r="BL67" s="36"/>
      <c r="BM67" s="34"/>
      <c r="BN67" s="34">
        <v>2500000000</v>
      </c>
      <c r="BO67" s="32">
        <f t="shared" si="3"/>
        <v>2300000150</v>
      </c>
      <c r="BP67" s="30" t="s">
        <v>926</v>
      </c>
      <c r="BQ67" s="30" t="s">
        <v>81</v>
      </c>
      <c r="BR67" s="30" t="s">
        <v>925</v>
      </c>
      <c r="BS67" s="30" t="s">
        <v>77</v>
      </c>
      <c r="BT67" s="30"/>
      <c r="BU67" s="30"/>
      <c r="BV67" s="30"/>
      <c r="BW67" s="30"/>
      <c r="BX67" s="36">
        <v>2037</v>
      </c>
      <c r="BY67" s="34">
        <v>2200000</v>
      </c>
      <c r="BZ67" s="36"/>
      <c r="CA67" s="34"/>
      <c r="CB67" s="34">
        <v>5092500000</v>
      </c>
      <c r="CC67" s="32">
        <f t="shared" si="4"/>
        <v>4481400000</v>
      </c>
      <c r="CD67" s="30" t="s">
        <v>927</v>
      </c>
      <c r="CE67" s="30" t="s">
        <v>81</v>
      </c>
      <c r="CF67" s="30" t="s">
        <v>379</v>
      </c>
      <c r="CG67" s="30"/>
      <c r="CH67" s="30"/>
      <c r="CI67" s="64"/>
      <c r="CJ67" s="64"/>
      <c r="CK67" s="64"/>
      <c r="CL67" s="64"/>
    </row>
    <row r="68" spans="1:90" ht="120" x14ac:dyDescent="0.25">
      <c r="A68" s="30">
        <v>29</v>
      </c>
      <c r="B68" s="30" t="s">
        <v>892</v>
      </c>
      <c r="C68" s="30" t="s">
        <v>893</v>
      </c>
      <c r="D68" s="33">
        <v>45387</v>
      </c>
      <c r="E68" s="30" t="s">
        <v>139</v>
      </c>
      <c r="F68" s="30" t="s">
        <v>139</v>
      </c>
      <c r="G68" s="30"/>
      <c r="H68" s="30" t="s">
        <v>97</v>
      </c>
      <c r="I68" s="35">
        <v>476</v>
      </c>
      <c r="J68" s="30" t="s">
        <v>70</v>
      </c>
      <c r="K68" s="35">
        <v>60</v>
      </c>
      <c r="L68" s="35"/>
      <c r="M68" s="30"/>
      <c r="N68" s="30"/>
      <c r="O68" s="30"/>
      <c r="P68" s="30"/>
      <c r="Q68" s="30"/>
      <c r="R68" s="30" t="s">
        <v>928</v>
      </c>
      <c r="S68" s="30" t="s">
        <v>929</v>
      </c>
      <c r="T68" s="30" t="s">
        <v>922</v>
      </c>
      <c r="U68" s="30" t="s">
        <v>914</v>
      </c>
      <c r="V68" s="30" t="s">
        <v>126</v>
      </c>
      <c r="W68" s="30" t="s">
        <v>72</v>
      </c>
      <c r="X68" s="30" t="s">
        <v>131</v>
      </c>
      <c r="Y68" s="30" t="s">
        <v>73</v>
      </c>
      <c r="Z68" s="33">
        <v>45372</v>
      </c>
      <c r="AA68" s="33">
        <v>45373</v>
      </c>
      <c r="AB68" s="30" t="s">
        <v>90</v>
      </c>
      <c r="AC68" s="30"/>
      <c r="AD68" s="30"/>
      <c r="AE68" s="30"/>
      <c r="AF68" s="30"/>
      <c r="AG68" s="30"/>
      <c r="AH68" s="30"/>
      <c r="AI68" s="30"/>
      <c r="AJ68" s="31">
        <f t="shared" si="0"/>
        <v>476</v>
      </c>
      <c r="AK68" s="34">
        <f>214200000/AJ68</f>
        <v>450000</v>
      </c>
      <c r="AL68" s="31">
        <f t="shared" si="1"/>
        <v>60</v>
      </c>
      <c r="AM68" s="34">
        <f>39700000/AL68</f>
        <v>661666.66666666663</v>
      </c>
      <c r="AN68" s="34"/>
      <c r="AO68" s="52"/>
      <c r="AP68" s="30" t="s">
        <v>930</v>
      </c>
      <c r="AQ68" s="30" t="s">
        <v>97</v>
      </c>
      <c r="AR68" s="30"/>
      <c r="AS68" s="30"/>
      <c r="AT68" s="30"/>
      <c r="AU68" s="30"/>
      <c r="AV68" s="35">
        <v>85</v>
      </c>
      <c r="AW68" s="34">
        <v>540000</v>
      </c>
      <c r="AX68" s="35">
        <v>70</v>
      </c>
      <c r="AY68" s="34"/>
      <c r="AZ68" s="34">
        <v>200000000</v>
      </c>
      <c r="BA68" s="32">
        <f t="shared" si="2"/>
        <v>45900000</v>
      </c>
      <c r="BB68" s="30" t="s">
        <v>931</v>
      </c>
      <c r="BC68" s="30" t="s">
        <v>81</v>
      </c>
      <c r="BD68" s="30" t="s">
        <v>930</v>
      </c>
      <c r="BE68" s="30" t="s">
        <v>932</v>
      </c>
      <c r="BF68" s="30"/>
      <c r="BG68" s="30"/>
      <c r="BH68" s="30"/>
      <c r="BI68" s="30"/>
      <c r="BJ68" s="36">
        <v>75</v>
      </c>
      <c r="BK68" s="34">
        <v>520667</v>
      </c>
      <c r="BL68" s="36"/>
      <c r="BM68" s="34"/>
      <c r="BN68" s="34">
        <v>180000000</v>
      </c>
      <c r="BO68" s="32">
        <f t="shared" si="3"/>
        <v>39050025</v>
      </c>
      <c r="BP68" s="30" t="s">
        <v>933</v>
      </c>
      <c r="BQ68" s="30" t="s">
        <v>81</v>
      </c>
      <c r="BR68" s="30" t="s">
        <v>934</v>
      </c>
      <c r="BS68" s="30" t="s">
        <v>97</v>
      </c>
      <c r="BT68" s="30"/>
      <c r="BU68" s="30"/>
      <c r="BV68" s="30"/>
      <c r="BW68" s="30"/>
      <c r="BX68" s="36">
        <v>108</v>
      </c>
      <c r="BY68" s="34">
        <v>506087</v>
      </c>
      <c r="BZ68" s="36">
        <v>160</v>
      </c>
      <c r="CA68" s="34"/>
      <c r="CB68" s="34">
        <v>600000000</v>
      </c>
      <c r="CC68" s="32">
        <f t="shared" si="4"/>
        <v>54657396</v>
      </c>
      <c r="CD68" s="30" t="s">
        <v>935</v>
      </c>
      <c r="CE68" s="30" t="s">
        <v>81</v>
      </c>
      <c r="CF68" s="30" t="s">
        <v>379</v>
      </c>
      <c r="CG68" s="30"/>
      <c r="CH68" s="30"/>
      <c r="CI68" s="64"/>
      <c r="CJ68" s="64"/>
      <c r="CK68" s="64"/>
      <c r="CL68" s="64"/>
    </row>
    <row r="69" spans="1:90" ht="105" customHeight="1" x14ac:dyDescent="0.25">
      <c r="A69" s="30">
        <v>30</v>
      </c>
      <c r="B69" s="30" t="s">
        <v>892</v>
      </c>
      <c r="C69" s="30" t="s">
        <v>893</v>
      </c>
      <c r="D69" s="33">
        <v>45387</v>
      </c>
      <c r="E69" s="30" t="s">
        <v>139</v>
      </c>
      <c r="F69" s="30" t="s">
        <v>139</v>
      </c>
      <c r="G69" s="30"/>
      <c r="H69" s="30" t="s">
        <v>97</v>
      </c>
      <c r="I69" s="35">
        <v>750</v>
      </c>
      <c r="J69" s="30" t="s">
        <v>70</v>
      </c>
      <c r="K69" s="35">
        <v>545</v>
      </c>
      <c r="L69" s="35"/>
      <c r="M69" s="30" t="s">
        <v>397</v>
      </c>
      <c r="N69" s="30"/>
      <c r="O69" s="30"/>
      <c r="P69" s="30"/>
      <c r="Q69" s="30"/>
      <c r="R69" s="30" t="s">
        <v>936</v>
      </c>
      <c r="S69" s="30" t="s">
        <v>937</v>
      </c>
      <c r="T69" s="30" t="s">
        <v>938</v>
      </c>
      <c r="U69" s="30" t="s">
        <v>122</v>
      </c>
      <c r="V69" s="30" t="s">
        <v>71</v>
      </c>
      <c r="W69" s="30" t="s">
        <v>72</v>
      </c>
      <c r="X69" s="30" t="s">
        <v>131</v>
      </c>
      <c r="Y69" s="30" t="s">
        <v>73</v>
      </c>
      <c r="Z69" s="33">
        <v>45372</v>
      </c>
      <c r="AA69" s="33">
        <v>45373</v>
      </c>
      <c r="AB69" s="30" t="s">
        <v>90</v>
      </c>
      <c r="AC69" s="30"/>
      <c r="AD69" s="30"/>
      <c r="AE69" s="30"/>
      <c r="AF69" s="30"/>
      <c r="AG69" s="30"/>
      <c r="AH69" s="30"/>
      <c r="AI69" s="30"/>
      <c r="AJ69" s="31">
        <f t="shared" ref="AJ69:AJ132" si="6">I69</f>
        <v>750</v>
      </c>
      <c r="AK69" s="34">
        <f>9150000000/AJ69</f>
        <v>12200000</v>
      </c>
      <c r="AL69" s="31">
        <f t="shared" ref="AL69:AL132" si="7">K69</f>
        <v>545</v>
      </c>
      <c r="AM69" s="34">
        <f>384000000/AL69</f>
        <v>704587.15596330271</v>
      </c>
      <c r="AN69" s="34">
        <v>6400000</v>
      </c>
      <c r="AO69" s="52"/>
      <c r="AP69" s="30" t="s">
        <v>939</v>
      </c>
      <c r="AQ69" s="30" t="s">
        <v>97</v>
      </c>
      <c r="AR69" s="30"/>
      <c r="AS69" s="30"/>
      <c r="AT69" s="30"/>
      <c r="AU69" s="30"/>
      <c r="AV69" s="35">
        <v>421</v>
      </c>
      <c r="AW69" s="34">
        <v>13029648</v>
      </c>
      <c r="AX69" s="35">
        <v>222</v>
      </c>
      <c r="AY69" s="34"/>
      <c r="AZ69" s="34">
        <v>7500000000</v>
      </c>
      <c r="BA69" s="32">
        <f t="shared" ref="BA69:BA132" si="8">AV69*AW69</f>
        <v>5485481808</v>
      </c>
      <c r="BB69" s="30" t="s">
        <v>940</v>
      </c>
      <c r="BC69" s="30" t="s">
        <v>81</v>
      </c>
      <c r="BD69" s="30" t="s">
        <v>939</v>
      </c>
      <c r="BE69" s="30" t="s">
        <v>97</v>
      </c>
      <c r="BF69" s="30"/>
      <c r="BG69" s="30"/>
      <c r="BH69" s="30"/>
      <c r="BI69" s="30"/>
      <c r="BJ69" s="36">
        <v>499</v>
      </c>
      <c r="BK69" s="34">
        <v>11777604</v>
      </c>
      <c r="BL69" s="36">
        <v>400</v>
      </c>
      <c r="BM69" s="34"/>
      <c r="BN69" s="34">
        <v>8000000000</v>
      </c>
      <c r="BO69" s="32">
        <f t="shared" ref="BO69:BO132" si="9">BJ69*BK69</f>
        <v>5877024396</v>
      </c>
      <c r="BP69" s="30" t="s">
        <v>790</v>
      </c>
      <c r="BQ69" s="30" t="s">
        <v>81</v>
      </c>
      <c r="BR69" s="30" t="s">
        <v>939</v>
      </c>
      <c r="BS69" s="30" t="s">
        <v>77</v>
      </c>
      <c r="BT69" s="30"/>
      <c r="BU69" s="30"/>
      <c r="BV69" s="30"/>
      <c r="BW69" s="30"/>
      <c r="BX69" s="36">
        <v>4000</v>
      </c>
      <c r="BY69" s="34">
        <v>11125000</v>
      </c>
      <c r="BZ69" s="36"/>
      <c r="CA69" s="34"/>
      <c r="CB69" s="34">
        <v>50000000000</v>
      </c>
      <c r="CC69" s="32">
        <f t="shared" ref="CC69:CC132" si="10">BX69*BY69</f>
        <v>44500000000</v>
      </c>
      <c r="CD69" s="30" t="s">
        <v>941</v>
      </c>
      <c r="CE69" s="30" t="s">
        <v>81</v>
      </c>
      <c r="CF69" s="30" t="s">
        <v>379</v>
      </c>
      <c r="CG69" s="30"/>
      <c r="CH69" s="30"/>
      <c r="CI69" s="64"/>
      <c r="CJ69" s="64"/>
      <c r="CK69" s="64"/>
      <c r="CL69" s="64"/>
    </row>
    <row r="70" spans="1:90" ht="150" customHeight="1" x14ac:dyDescent="0.25">
      <c r="A70" s="30">
        <v>31</v>
      </c>
      <c r="B70" s="30" t="s">
        <v>892</v>
      </c>
      <c r="C70" s="30" t="s">
        <v>893</v>
      </c>
      <c r="D70" s="33">
        <v>45387</v>
      </c>
      <c r="E70" s="30" t="s">
        <v>139</v>
      </c>
      <c r="F70" s="30" t="s">
        <v>139</v>
      </c>
      <c r="G70" s="30"/>
      <c r="H70" s="30" t="s">
        <v>77</v>
      </c>
      <c r="I70" s="35">
        <v>1705</v>
      </c>
      <c r="J70" s="30" t="s">
        <v>70</v>
      </c>
      <c r="K70" s="35"/>
      <c r="L70" s="35"/>
      <c r="M70" s="30"/>
      <c r="N70" s="30"/>
      <c r="O70" s="30"/>
      <c r="P70" s="30"/>
      <c r="Q70" s="30"/>
      <c r="R70" s="30" t="s">
        <v>942</v>
      </c>
      <c r="S70" s="30" t="s">
        <v>943</v>
      </c>
      <c r="T70" s="30" t="s">
        <v>944</v>
      </c>
      <c r="U70" s="30" t="s">
        <v>945</v>
      </c>
      <c r="V70" s="30" t="s">
        <v>71</v>
      </c>
      <c r="W70" s="30" t="s">
        <v>72</v>
      </c>
      <c r="X70" s="30" t="s">
        <v>131</v>
      </c>
      <c r="Y70" s="30" t="s">
        <v>73</v>
      </c>
      <c r="Z70" s="33">
        <v>45372</v>
      </c>
      <c r="AA70" s="33">
        <v>45373</v>
      </c>
      <c r="AB70" s="30" t="s">
        <v>90</v>
      </c>
      <c r="AC70" s="30"/>
      <c r="AD70" s="30"/>
      <c r="AE70" s="30"/>
      <c r="AF70" s="30"/>
      <c r="AG70" s="30"/>
      <c r="AH70" s="30"/>
      <c r="AI70" s="30"/>
      <c r="AJ70" s="31">
        <f t="shared" si="6"/>
        <v>1705</v>
      </c>
      <c r="AK70" s="34">
        <f>5967500000/AJ70</f>
        <v>3500000</v>
      </c>
      <c r="AL70" s="31">
        <f t="shared" si="7"/>
        <v>0</v>
      </c>
      <c r="AM70" s="34"/>
      <c r="AN70" s="34"/>
      <c r="AO70" s="52"/>
      <c r="AP70" s="30" t="s">
        <v>946</v>
      </c>
      <c r="AQ70" s="30" t="s">
        <v>97</v>
      </c>
      <c r="AR70" s="30"/>
      <c r="AS70" s="30"/>
      <c r="AT70" s="30"/>
      <c r="AU70" s="30"/>
      <c r="AV70" s="35">
        <v>660</v>
      </c>
      <c r="AW70" s="34">
        <v>4325255</v>
      </c>
      <c r="AX70" s="35">
        <v>80</v>
      </c>
      <c r="AY70" s="34"/>
      <c r="AZ70" s="34">
        <v>3500000000</v>
      </c>
      <c r="BA70" s="32">
        <f t="shared" si="8"/>
        <v>2854668300</v>
      </c>
      <c r="BB70" s="30" t="s">
        <v>947</v>
      </c>
      <c r="BC70" s="30" t="s">
        <v>81</v>
      </c>
      <c r="BD70" s="30" t="s">
        <v>946</v>
      </c>
      <c r="BE70" s="30" t="s">
        <v>77</v>
      </c>
      <c r="BF70" s="30"/>
      <c r="BG70" s="30"/>
      <c r="BH70" s="30"/>
      <c r="BI70" s="30"/>
      <c r="BJ70" s="36">
        <v>1135</v>
      </c>
      <c r="BK70" s="34">
        <v>3145374</v>
      </c>
      <c r="BL70" s="36"/>
      <c r="BM70" s="34"/>
      <c r="BN70" s="34">
        <v>3972500000</v>
      </c>
      <c r="BO70" s="32">
        <f t="shared" si="9"/>
        <v>3569999490</v>
      </c>
      <c r="BP70" s="30" t="s">
        <v>948</v>
      </c>
      <c r="BQ70" s="30" t="s">
        <v>81</v>
      </c>
      <c r="BR70" s="30" t="s">
        <v>946</v>
      </c>
      <c r="BS70" s="30" t="s">
        <v>97</v>
      </c>
      <c r="BT70" s="30"/>
      <c r="BU70" s="30"/>
      <c r="BV70" s="30"/>
      <c r="BW70" s="30"/>
      <c r="BX70" s="36">
        <v>630</v>
      </c>
      <c r="BY70" s="34">
        <v>4499175</v>
      </c>
      <c r="BZ70" s="36">
        <v>600</v>
      </c>
      <c r="CA70" s="34"/>
      <c r="CB70" s="34">
        <v>5040000000</v>
      </c>
      <c r="CC70" s="32">
        <f t="shared" si="10"/>
        <v>2834480250</v>
      </c>
      <c r="CD70" s="30" t="s">
        <v>949</v>
      </c>
      <c r="CE70" s="30" t="s">
        <v>81</v>
      </c>
      <c r="CF70" s="30" t="s">
        <v>379</v>
      </c>
      <c r="CG70" s="30"/>
      <c r="CH70" s="30"/>
      <c r="CI70" s="64"/>
      <c r="CJ70" s="64"/>
      <c r="CK70" s="64"/>
      <c r="CL70" s="64"/>
    </row>
    <row r="71" spans="1:90" ht="225" customHeight="1" x14ac:dyDescent="0.25">
      <c r="A71" s="30">
        <v>32</v>
      </c>
      <c r="B71" s="30" t="s">
        <v>892</v>
      </c>
      <c r="C71" s="30" t="s">
        <v>893</v>
      </c>
      <c r="D71" s="33">
        <v>45387</v>
      </c>
      <c r="E71" s="30" t="s">
        <v>139</v>
      </c>
      <c r="F71" s="30" t="s">
        <v>139</v>
      </c>
      <c r="G71" s="30"/>
      <c r="H71" s="30" t="s">
        <v>77</v>
      </c>
      <c r="I71" s="35">
        <v>8461</v>
      </c>
      <c r="J71" s="30" t="s">
        <v>70</v>
      </c>
      <c r="K71" s="35"/>
      <c r="L71" s="35"/>
      <c r="M71" s="30"/>
      <c r="N71" s="30"/>
      <c r="O71" s="30"/>
      <c r="P71" s="30"/>
      <c r="Q71" s="30"/>
      <c r="R71" s="30" t="s">
        <v>950</v>
      </c>
      <c r="S71" s="30" t="s">
        <v>951</v>
      </c>
      <c r="T71" s="30" t="s">
        <v>952</v>
      </c>
      <c r="U71" s="30" t="s">
        <v>953</v>
      </c>
      <c r="V71" s="30" t="s">
        <v>71</v>
      </c>
      <c r="W71" s="30" t="s">
        <v>72</v>
      </c>
      <c r="X71" s="30" t="s">
        <v>131</v>
      </c>
      <c r="Y71" s="30" t="s">
        <v>73</v>
      </c>
      <c r="Z71" s="33">
        <v>45372</v>
      </c>
      <c r="AA71" s="33">
        <v>45373</v>
      </c>
      <c r="AB71" s="30" t="s">
        <v>90</v>
      </c>
      <c r="AC71" s="30"/>
      <c r="AD71" s="30"/>
      <c r="AE71" s="30"/>
      <c r="AF71" s="30"/>
      <c r="AG71" s="30"/>
      <c r="AH71" s="30"/>
      <c r="AI71" s="30"/>
      <c r="AJ71" s="31">
        <f t="shared" si="6"/>
        <v>8461</v>
      </c>
      <c r="AK71" s="34">
        <f>3638230000/AJ71</f>
        <v>430000</v>
      </c>
      <c r="AL71" s="31">
        <f t="shared" si="7"/>
        <v>0</v>
      </c>
      <c r="AM71" s="34"/>
      <c r="AN71" s="34"/>
      <c r="AO71" s="53"/>
      <c r="AP71" s="30" t="s">
        <v>954</v>
      </c>
      <c r="AQ71" s="30" t="s">
        <v>77</v>
      </c>
      <c r="AR71" s="30"/>
      <c r="AS71" s="30"/>
      <c r="AT71" s="30"/>
      <c r="AU71" s="30"/>
      <c r="AV71" s="35">
        <v>7000</v>
      </c>
      <c r="AW71" s="34">
        <v>814286</v>
      </c>
      <c r="AX71" s="35"/>
      <c r="AY71" s="34"/>
      <c r="AZ71" s="34">
        <v>7000000000</v>
      </c>
      <c r="BA71" s="32">
        <f t="shared" si="8"/>
        <v>5700002000</v>
      </c>
      <c r="BB71" s="30" t="s">
        <v>955</v>
      </c>
      <c r="BC71" s="30" t="s">
        <v>81</v>
      </c>
      <c r="BD71" s="30" t="s">
        <v>954</v>
      </c>
      <c r="BE71" s="30" t="s">
        <v>77</v>
      </c>
      <c r="BF71" s="30"/>
      <c r="BG71" s="30"/>
      <c r="BH71" s="30"/>
      <c r="BI71" s="30"/>
      <c r="BJ71" s="36">
        <v>10000</v>
      </c>
      <c r="BK71" s="34">
        <v>700000</v>
      </c>
      <c r="BL71" s="36"/>
      <c r="BM71" s="34"/>
      <c r="BN71" s="34">
        <v>8000000000</v>
      </c>
      <c r="BO71" s="32">
        <f t="shared" si="9"/>
        <v>7000000000</v>
      </c>
      <c r="BP71" s="30" t="s">
        <v>956</v>
      </c>
      <c r="BQ71" s="30" t="s">
        <v>81</v>
      </c>
      <c r="BR71" s="30" t="s">
        <v>954</v>
      </c>
      <c r="BS71" s="30" t="s">
        <v>77</v>
      </c>
      <c r="BT71" s="30"/>
      <c r="BU71" s="30"/>
      <c r="BV71" s="30"/>
      <c r="BW71" s="30"/>
      <c r="BX71" s="36">
        <v>635</v>
      </c>
      <c r="BY71" s="34">
        <v>450000</v>
      </c>
      <c r="BZ71" s="36"/>
      <c r="CA71" s="34"/>
      <c r="CB71" s="34">
        <v>317500000</v>
      </c>
      <c r="CC71" s="32">
        <f t="shared" si="10"/>
        <v>285750000</v>
      </c>
      <c r="CD71" s="30" t="s">
        <v>957</v>
      </c>
      <c r="CE71" s="30" t="s">
        <v>81</v>
      </c>
      <c r="CF71" s="30" t="s">
        <v>379</v>
      </c>
      <c r="CG71" s="30"/>
      <c r="CH71" s="30"/>
      <c r="CI71" s="64"/>
      <c r="CJ71" s="64"/>
      <c r="CK71" s="64"/>
      <c r="CL71" s="64"/>
    </row>
    <row r="72" spans="1:90" ht="105" x14ac:dyDescent="0.25">
      <c r="B72" s="30" t="s">
        <v>958</v>
      </c>
      <c r="C72" s="30" t="s">
        <v>959</v>
      </c>
      <c r="D72" s="33">
        <v>45399</v>
      </c>
      <c r="E72" s="30" t="s">
        <v>960</v>
      </c>
      <c r="F72" s="30" t="s">
        <v>961</v>
      </c>
      <c r="G72" s="30"/>
      <c r="H72" s="30" t="s">
        <v>83</v>
      </c>
      <c r="I72" s="35">
        <v>648</v>
      </c>
      <c r="J72" s="30" t="s">
        <v>70</v>
      </c>
      <c r="K72" s="35">
        <v>252</v>
      </c>
      <c r="L72" s="35"/>
      <c r="M72" s="30" t="s">
        <v>397</v>
      </c>
      <c r="N72" s="30"/>
      <c r="O72" s="30"/>
      <c r="P72" s="30"/>
      <c r="Q72" s="30"/>
      <c r="R72" s="30" t="s">
        <v>962</v>
      </c>
      <c r="S72" s="30" t="s">
        <v>963</v>
      </c>
      <c r="T72" s="30" t="s">
        <v>194</v>
      </c>
      <c r="U72" s="30" t="s">
        <v>164</v>
      </c>
      <c r="V72" s="30" t="s">
        <v>84</v>
      </c>
      <c r="W72" s="30" t="s">
        <v>72</v>
      </c>
      <c r="X72" s="30" t="s">
        <v>131</v>
      </c>
      <c r="Y72" s="30" t="s">
        <v>73</v>
      </c>
      <c r="Z72" s="33">
        <v>45386</v>
      </c>
      <c r="AA72" s="33">
        <v>45386</v>
      </c>
      <c r="AB72" s="30" t="s">
        <v>90</v>
      </c>
      <c r="AC72" s="30"/>
      <c r="AD72" s="30"/>
      <c r="AE72" s="30"/>
      <c r="AF72" s="30"/>
      <c r="AG72" s="30"/>
      <c r="AH72" s="30"/>
      <c r="AI72" s="30"/>
      <c r="AJ72" s="31">
        <f t="shared" si="6"/>
        <v>648</v>
      </c>
      <c r="AK72" s="34">
        <f>7970400000/AJ72</f>
        <v>12300000</v>
      </c>
      <c r="AL72" s="31">
        <f t="shared" si="7"/>
        <v>252</v>
      </c>
      <c r="AM72" s="34">
        <f>477900000/AL72</f>
        <v>1896428.5714285714</v>
      </c>
      <c r="AN72" s="34">
        <v>28887000</v>
      </c>
      <c r="AO72" s="34">
        <f t="shared" si="5"/>
        <v>8477187000</v>
      </c>
      <c r="AP72" s="30" t="s">
        <v>964</v>
      </c>
      <c r="AQ72" s="30" t="s">
        <v>83</v>
      </c>
      <c r="AR72" s="30"/>
      <c r="AS72" s="30"/>
      <c r="AT72" s="30"/>
      <c r="AU72" s="30"/>
      <c r="AV72" s="35">
        <v>504</v>
      </c>
      <c r="AW72" s="34">
        <v>12113576</v>
      </c>
      <c r="AX72" s="35">
        <v>450</v>
      </c>
      <c r="AY72" s="34"/>
      <c r="AZ72" s="34">
        <v>8000000000</v>
      </c>
      <c r="BA72" s="32">
        <f t="shared" si="8"/>
        <v>6105242304</v>
      </c>
      <c r="BB72" s="30" t="s">
        <v>965</v>
      </c>
      <c r="BC72" s="30" t="s">
        <v>81</v>
      </c>
      <c r="BD72" s="30" t="s">
        <v>966</v>
      </c>
      <c r="BE72" s="30" t="s">
        <v>83</v>
      </c>
      <c r="BF72" s="30"/>
      <c r="BG72" s="30"/>
      <c r="BH72" s="30"/>
      <c r="BI72" s="30"/>
      <c r="BJ72" s="36">
        <v>357</v>
      </c>
      <c r="BK72" s="34">
        <v>13334573</v>
      </c>
      <c r="BL72" s="36">
        <v>150</v>
      </c>
      <c r="BM72" s="34"/>
      <c r="BN72" s="34">
        <v>5890500000</v>
      </c>
      <c r="BO72" s="32">
        <f t="shared" si="9"/>
        <v>4760442561</v>
      </c>
      <c r="BP72" s="30" t="s">
        <v>967</v>
      </c>
      <c r="BQ72" s="30" t="s">
        <v>81</v>
      </c>
      <c r="BR72" s="30" t="s">
        <v>968</v>
      </c>
      <c r="BS72" s="30" t="s">
        <v>83</v>
      </c>
      <c r="BT72" s="30"/>
      <c r="BU72" s="30"/>
      <c r="BV72" s="30"/>
      <c r="BW72" s="30"/>
      <c r="BX72" s="36">
        <v>280</v>
      </c>
      <c r="BY72" s="34">
        <v>14205071</v>
      </c>
      <c r="BZ72" s="36">
        <v>400</v>
      </c>
      <c r="CA72" s="34"/>
      <c r="CB72" s="34">
        <v>5900000000</v>
      </c>
      <c r="CC72" s="32">
        <f t="shared" si="10"/>
        <v>3977419880</v>
      </c>
      <c r="CD72" s="30" t="s">
        <v>969</v>
      </c>
      <c r="CE72" s="30" t="s">
        <v>81</v>
      </c>
      <c r="CF72" s="30" t="s">
        <v>294</v>
      </c>
      <c r="CG72" s="30"/>
      <c r="CH72" s="30"/>
      <c r="CI72" s="64"/>
      <c r="CJ72" s="64"/>
      <c r="CK72" s="64"/>
      <c r="CL72" s="64"/>
    </row>
    <row r="73" spans="1:90" ht="105" x14ac:dyDescent="0.25">
      <c r="B73" s="30" t="s">
        <v>970</v>
      </c>
      <c r="C73" s="30" t="s">
        <v>971</v>
      </c>
      <c r="D73" s="33">
        <v>45401</v>
      </c>
      <c r="E73" s="30" t="s">
        <v>198</v>
      </c>
      <c r="F73" s="30" t="s">
        <v>198</v>
      </c>
      <c r="G73" s="30"/>
      <c r="H73" s="30" t="s">
        <v>972</v>
      </c>
      <c r="I73" s="35">
        <v>7000</v>
      </c>
      <c r="J73" s="30" t="s">
        <v>70</v>
      </c>
      <c r="K73" s="35">
        <v>5808</v>
      </c>
      <c r="L73" s="35"/>
      <c r="M73" s="30" t="s">
        <v>397</v>
      </c>
      <c r="N73" s="30"/>
      <c r="O73" s="30"/>
      <c r="P73" s="30"/>
      <c r="Q73" s="30"/>
      <c r="R73" s="30" t="s">
        <v>973</v>
      </c>
      <c r="S73" s="30" t="s">
        <v>974</v>
      </c>
      <c r="T73" s="30" t="s">
        <v>975</v>
      </c>
      <c r="U73" s="30" t="s">
        <v>509</v>
      </c>
      <c r="V73" s="30" t="s">
        <v>92</v>
      </c>
      <c r="W73" s="30" t="s">
        <v>72</v>
      </c>
      <c r="X73" s="30" t="s">
        <v>85</v>
      </c>
      <c r="Y73" s="30" t="s">
        <v>73</v>
      </c>
      <c r="Z73" s="33">
        <v>45370</v>
      </c>
      <c r="AA73" s="33">
        <v>45370</v>
      </c>
      <c r="AB73" s="30" t="s">
        <v>90</v>
      </c>
      <c r="AC73" s="30"/>
      <c r="AD73" s="30"/>
      <c r="AE73" s="30"/>
      <c r="AF73" s="30"/>
      <c r="AG73" s="30"/>
      <c r="AH73" s="30"/>
      <c r="AI73" s="30"/>
      <c r="AJ73" s="31">
        <f t="shared" si="6"/>
        <v>7000</v>
      </c>
      <c r="AK73" s="34">
        <f>16100000000/AJ73</f>
        <v>2300000</v>
      </c>
      <c r="AL73" s="31">
        <f t="shared" si="7"/>
        <v>5808</v>
      </c>
      <c r="AM73" s="34">
        <f>10574500000/AL73</f>
        <v>1820678.3746556474</v>
      </c>
      <c r="AN73" s="34">
        <v>1129310000</v>
      </c>
      <c r="AO73" s="34">
        <f t="shared" si="5"/>
        <v>27803810000</v>
      </c>
      <c r="AP73" s="30" t="s">
        <v>976</v>
      </c>
      <c r="AQ73" s="30" t="s">
        <v>77</v>
      </c>
      <c r="AR73" s="30"/>
      <c r="AS73" s="30"/>
      <c r="AT73" s="30"/>
      <c r="AU73" s="30"/>
      <c r="AV73" s="35">
        <v>347</v>
      </c>
      <c r="AW73" s="34">
        <v>2507205</v>
      </c>
      <c r="AX73" s="35"/>
      <c r="AY73" s="34"/>
      <c r="AZ73" s="34">
        <v>971600000</v>
      </c>
      <c r="BA73" s="32">
        <f t="shared" si="8"/>
        <v>870000135</v>
      </c>
      <c r="BB73" s="30" t="s">
        <v>977</v>
      </c>
      <c r="BC73" s="30" t="s">
        <v>156</v>
      </c>
      <c r="BD73" s="30" t="s">
        <v>978</v>
      </c>
      <c r="BE73" s="30" t="s">
        <v>77</v>
      </c>
      <c r="BF73" s="30"/>
      <c r="BG73" s="30"/>
      <c r="BH73" s="30"/>
      <c r="BI73" s="30"/>
      <c r="BJ73" s="36">
        <v>3000</v>
      </c>
      <c r="BK73" s="34">
        <v>2100000</v>
      </c>
      <c r="BL73" s="36"/>
      <c r="BM73" s="34"/>
      <c r="BN73" s="34">
        <v>6900000000</v>
      </c>
      <c r="BO73" s="32">
        <f t="shared" si="9"/>
        <v>6300000000</v>
      </c>
      <c r="BP73" s="30" t="s">
        <v>979</v>
      </c>
      <c r="BQ73" s="30" t="s">
        <v>81</v>
      </c>
      <c r="BR73" s="30" t="s">
        <v>980</v>
      </c>
      <c r="BS73" s="30" t="s">
        <v>77</v>
      </c>
      <c r="BT73" s="30"/>
      <c r="BU73" s="30"/>
      <c r="BV73" s="30"/>
      <c r="BW73" s="30"/>
      <c r="BX73" s="36">
        <v>1600</v>
      </c>
      <c r="BY73" s="34">
        <v>2450000</v>
      </c>
      <c r="BZ73" s="36"/>
      <c r="CA73" s="34"/>
      <c r="CB73" s="34">
        <v>4480000000</v>
      </c>
      <c r="CC73" s="32">
        <f t="shared" si="10"/>
        <v>3920000000</v>
      </c>
      <c r="CD73" s="30" t="s">
        <v>979</v>
      </c>
      <c r="CE73" s="30" t="s">
        <v>156</v>
      </c>
      <c r="CF73" s="30" t="s">
        <v>981</v>
      </c>
      <c r="CG73" s="30"/>
      <c r="CH73" s="30"/>
      <c r="CI73" s="64"/>
      <c r="CJ73" s="64"/>
      <c r="CK73" s="64"/>
      <c r="CL73" s="64"/>
    </row>
    <row r="74" spans="1:90" ht="150" x14ac:dyDescent="0.25">
      <c r="B74" s="30" t="s">
        <v>982</v>
      </c>
      <c r="C74" s="30" t="s">
        <v>983</v>
      </c>
      <c r="D74" s="33">
        <v>45406</v>
      </c>
      <c r="E74" s="30" t="s">
        <v>93</v>
      </c>
      <c r="F74" s="30" t="s">
        <v>93</v>
      </c>
      <c r="G74" s="30"/>
      <c r="H74" s="30" t="s">
        <v>984</v>
      </c>
      <c r="I74" s="35">
        <v>432</v>
      </c>
      <c r="J74" s="30" t="s">
        <v>70</v>
      </c>
      <c r="K74" s="35">
        <v>1092</v>
      </c>
      <c r="L74" s="35"/>
      <c r="M74" s="30"/>
      <c r="N74" s="30"/>
      <c r="O74" s="30"/>
      <c r="P74" s="30"/>
      <c r="Q74" s="30" t="s">
        <v>985</v>
      </c>
      <c r="R74" s="30" t="s">
        <v>986</v>
      </c>
      <c r="S74" s="30" t="s">
        <v>322</v>
      </c>
      <c r="T74" s="30" t="s">
        <v>323</v>
      </c>
      <c r="U74" s="30" t="s">
        <v>164</v>
      </c>
      <c r="V74" s="30" t="s">
        <v>84</v>
      </c>
      <c r="W74" s="30" t="s">
        <v>72</v>
      </c>
      <c r="X74" s="30" t="s">
        <v>85</v>
      </c>
      <c r="Y74" s="30" t="s">
        <v>73</v>
      </c>
      <c r="Z74" s="33">
        <v>45399</v>
      </c>
      <c r="AA74" s="33">
        <v>45399</v>
      </c>
      <c r="AB74" s="30" t="s">
        <v>90</v>
      </c>
      <c r="AC74" s="30"/>
      <c r="AD74" s="30"/>
      <c r="AE74" s="30"/>
      <c r="AF74" s="30"/>
      <c r="AG74" s="30"/>
      <c r="AH74" s="30"/>
      <c r="AI74" s="30"/>
      <c r="AJ74" s="31">
        <f t="shared" si="6"/>
        <v>432</v>
      </c>
      <c r="AK74" s="34">
        <v>13857118</v>
      </c>
      <c r="AL74" s="31">
        <f t="shared" si="7"/>
        <v>1092</v>
      </c>
      <c r="AM74" s="34"/>
      <c r="AN74" s="34">
        <v>12485000000</v>
      </c>
      <c r="AO74" s="51">
        <f>AN74+AN75+AN76+AN77+AN78</f>
        <v>28777000000</v>
      </c>
      <c r="AP74" s="30" t="s">
        <v>987</v>
      </c>
      <c r="AQ74" s="30" t="s">
        <v>118</v>
      </c>
      <c r="AR74" s="30"/>
      <c r="AS74" s="30"/>
      <c r="AT74" s="30"/>
      <c r="AU74" s="30"/>
      <c r="AV74" s="35">
        <v>104</v>
      </c>
      <c r="AW74" s="34">
        <v>14754098</v>
      </c>
      <c r="AX74" s="35">
        <v>305</v>
      </c>
      <c r="AY74" s="34"/>
      <c r="AZ74" s="34">
        <v>5000000000</v>
      </c>
      <c r="BA74" s="32">
        <f t="shared" si="8"/>
        <v>1534426192</v>
      </c>
      <c r="BB74" s="30" t="s">
        <v>988</v>
      </c>
      <c r="BC74" s="30" t="s">
        <v>81</v>
      </c>
      <c r="BD74" s="30" t="s">
        <v>989</v>
      </c>
      <c r="BE74" s="30" t="s">
        <v>990</v>
      </c>
      <c r="BF74" s="30"/>
      <c r="BG74" s="30"/>
      <c r="BH74" s="30"/>
      <c r="BI74" s="30"/>
      <c r="BJ74" s="36">
        <v>108</v>
      </c>
      <c r="BK74" s="34">
        <v>14062500</v>
      </c>
      <c r="BL74" s="36">
        <v>320</v>
      </c>
      <c r="BM74" s="34"/>
      <c r="BN74" s="34">
        <v>5000000000</v>
      </c>
      <c r="BO74" s="32">
        <f t="shared" si="9"/>
        <v>1518750000</v>
      </c>
      <c r="BP74" s="30" t="s">
        <v>991</v>
      </c>
      <c r="BQ74" s="30" t="s">
        <v>81</v>
      </c>
      <c r="BR74" s="30" t="s">
        <v>992</v>
      </c>
      <c r="BS74" s="30" t="s">
        <v>118</v>
      </c>
      <c r="BT74" s="30"/>
      <c r="BU74" s="30"/>
      <c r="BV74" s="30"/>
      <c r="BW74" s="30"/>
      <c r="BX74" s="36">
        <v>55</v>
      </c>
      <c r="BY74" s="34">
        <v>16000000</v>
      </c>
      <c r="BZ74" s="36">
        <v>275</v>
      </c>
      <c r="CA74" s="34"/>
      <c r="CB74" s="34">
        <v>5000000000</v>
      </c>
      <c r="CC74" s="32">
        <f t="shared" si="10"/>
        <v>880000000</v>
      </c>
      <c r="CD74" s="30" t="s">
        <v>993</v>
      </c>
      <c r="CE74" s="30" t="s">
        <v>81</v>
      </c>
      <c r="CF74" s="30" t="s">
        <v>218</v>
      </c>
      <c r="CG74" s="30"/>
      <c r="CH74" s="30"/>
      <c r="CI74" s="64"/>
      <c r="CJ74" s="64"/>
      <c r="CK74" s="64"/>
      <c r="CL74" s="64"/>
    </row>
    <row r="75" spans="1:90" ht="165" customHeight="1" x14ac:dyDescent="0.25">
      <c r="B75" s="30" t="s">
        <v>982</v>
      </c>
      <c r="C75" s="30" t="s">
        <v>983</v>
      </c>
      <c r="D75" s="33">
        <v>45406</v>
      </c>
      <c r="E75" s="30" t="s">
        <v>93</v>
      </c>
      <c r="F75" s="30" t="s">
        <v>93</v>
      </c>
      <c r="G75" s="30"/>
      <c r="H75" s="30" t="s">
        <v>118</v>
      </c>
      <c r="I75" s="35">
        <v>115</v>
      </c>
      <c r="J75" s="30" t="s">
        <v>70</v>
      </c>
      <c r="K75" s="35">
        <v>382</v>
      </c>
      <c r="L75" s="35"/>
      <c r="M75" s="30"/>
      <c r="N75" s="30"/>
      <c r="O75" s="30"/>
      <c r="P75" s="30"/>
      <c r="Q75" s="30" t="s">
        <v>985</v>
      </c>
      <c r="R75" s="30" t="s">
        <v>994</v>
      </c>
      <c r="S75" s="30" t="s">
        <v>322</v>
      </c>
      <c r="T75" s="30" t="s">
        <v>323</v>
      </c>
      <c r="U75" s="30" t="s">
        <v>164</v>
      </c>
      <c r="V75" s="30" t="s">
        <v>84</v>
      </c>
      <c r="W75" s="30" t="s">
        <v>72</v>
      </c>
      <c r="X75" s="30" t="s">
        <v>85</v>
      </c>
      <c r="Y75" s="30" t="s">
        <v>73</v>
      </c>
      <c r="Z75" s="33">
        <v>45399</v>
      </c>
      <c r="AA75" s="33">
        <v>45399</v>
      </c>
      <c r="AB75" s="30" t="s">
        <v>90</v>
      </c>
      <c r="AC75" s="30"/>
      <c r="AD75" s="30"/>
      <c r="AE75" s="30"/>
      <c r="AF75" s="30"/>
      <c r="AG75" s="30"/>
      <c r="AH75" s="30"/>
      <c r="AI75" s="30"/>
      <c r="AJ75" s="31">
        <f t="shared" si="6"/>
        <v>115</v>
      </c>
      <c r="AK75" s="34">
        <v>13275720</v>
      </c>
      <c r="AL75" s="31">
        <f t="shared" si="7"/>
        <v>382</v>
      </c>
      <c r="AM75" s="34"/>
      <c r="AN75" s="34">
        <v>5071000000</v>
      </c>
      <c r="AO75" s="52"/>
      <c r="AP75" s="30" t="s">
        <v>987</v>
      </c>
      <c r="AQ75" s="30" t="s">
        <v>118</v>
      </c>
      <c r="AR75" s="30"/>
      <c r="AS75" s="30"/>
      <c r="AT75" s="30"/>
      <c r="AU75" s="30"/>
      <c r="AV75" s="35">
        <v>104</v>
      </c>
      <c r="AW75" s="34">
        <v>14754098</v>
      </c>
      <c r="AX75" s="35">
        <v>305</v>
      </c>
      <c r="AY75" s="34"/>
      <c r="AZ75" s="34">
        <v>5000000000</v>
      </c>
      <c r="BA75" s="32">
        <f t="shared" si="8"/>
        <v>1534426192</v>
      </c>
      <c r="BB75" s="30" t="s">
        <v>988</v>
      </c>
      <c r="BC75" s="30" t="s">
        <v>81</v>
      </c>
      <c r="BD75" s="30" t="s">
        <v>989</v>
      </c>
      <c r="BE75" s="30" t="s">
        <v>990</v>
      </c>
      <c r="BF75" s="30"/>
      <c r="BG75" s="30"/>
      <c r="BH75" s="30"/>
      <c r="BI75" s="30"/>
      <c r="BJ75" s="36">
        <v>108</v>
      </c>
      <c r="BK75" s="34">
        <v>14062500</v>
      </c>
      <c r="BL75" s="36">
        <v>320</v>
      </c>
      <c r="BM75" s="34"/>
      <c r="BN75" s="34">
        <v>5000000000</v>
      </c>
      <c r="BO75" s="32">
        <f t="shared" si="9"/>
        <v>1518750000</v>
      </c>
      <c r="BP75" s="30" t="s">
        <v>991</v>
      </c>
      <c r="BQ75" s="30" t="s">
        <v>81</v>
      </c>
      <c r="BR75" s="30" t="s">
        <v>992</v>
      </c>
      <c r="BS75" s="30" t="s">
        <v>118</v>
      </c>
      <c r="BT75" s="30"/>
      <c r="BU75" s="30"/>
      <c r="BV75" s="30"/>
      <c r="BW75" s="30"/>
      <c r="BX75" s="36">
        <v>55</v>
      </c>
      <c r="BY75" s="34">
        <v>16000000</v>
      </c>
      <c r="BZ75" s="36">
        <v>275</v>
      </c>
      <c r="CA75" s="34"/>
      <c r="CB75" s="34">
        <v>5000000000</v>
      </c>
      <c r="CC75" s="32">
        <f t="shared" si="10"/>
        <v>880000000</v>
      </c>
      <c r="CD75" s="30" t="s">
        <v>993</v>
      </c>
      <c r="CE75" s="30" t="s">
        <v>81</v>
      </c>
      <c r="CF75" s="30" t="s">
        <v>218</v>
      </c>
      <c r="CG75" s="30"/>
      <c r="CH75" s="30"/>
      <c r="CI75" s="64"/>
      <c r="CJ75" s="64"/>
      <c r="CK75" s="64"/>
      <c r="CL75" s="64"/>
    </row>
    <row r="76" spans="1:90" ht="135" customHeight="1" x14ac:dyDescent="0.25">
      <c r="B76" s="30" t="s">
        <v>982</v>
      </c>
      <c r="C76" s="30" t="s">
        <v>983</v>
      </c>
      <c r="D76" s="33">
        <v>45406</v>
      </c>
      <c r="E76" s="30" t="s">
        <v>93</v>
      </c>
      <c r="F76" s="30" t="s">
        <v>93</v>
      </c>
      <c r="G76" s="30"/>
      <c r="H76" s="30" t="s">
        <v>118</v>
      </c>
      <c r="I76" s="35">
        <v>173</v>
      </c>
      <c r="J76" s="30" t="s">
        <v>70</v>
      </c>
      <c r="K76" s="35">
        <v>348</v>
      </c>
      <c r="L76" s="35"/>
      <c r="M76" s="30"/>
      <c r="N76" s="30"/>
      <c r="O76" s="30"/>
      <c r="P76" s="30"/>
      <c r="Q76" s="30"/>
      <c r="R76" s="30" t="s">
        <v>995</v>
      </c>
      <c r="S76" s="30" t="s">
        <v>795</v>
      </c>
      <c r="T76" s="30" t="s">
        <v>338</v>
      </c>
      <c r="U76" s="30" t="s">
        <v>164</v>
      </c>
      <c r="V76" s="30" t="s">
        <v>84</v>
      </c>
      <c r="W76" s="30" t="s">
        <v>72</v>
      </c>
      <c r="X76" s="30" t="s">
        <v>85</v>
      </c>
      <c r="Y76" s="30" t="s">
        <v>73</v>
      </c>
      <c r="Z76" s="33">
        <v>45399</v>
      </c>
      <c r="AA76" s="33">
        <v>45399</v>
      </c>
      <c r="AB76" s="30" t="s">
        <v>90</v>
      </c>
      <c r="AC76" s="30"/>
      <c r="AD76" s="30"/>
      <c r="AE76" s="30"/>
      <c r="AF76" s="30"/>
      <c r="AG76" s="30"/>
      <c r="AH76" s="30"/>
      <c r="AI76" s="30"/>
      <c r="AJ76" s="31">
        <f t="shared" si="6"/>
        <v>173</v>
      </c>
      <c r="AK76" s="34">
        <v>16418000</v>
      </c>
      <c r="AL76" s="31">
        <f t="shared" si="7"/>
        <v>348</v>
      </c>
      <c r="AM76" s="34"/>
      <c r="AN76" s="34">
        <v>5713000000</v>
      </c>
      <c r="AO76" s="52"/>
      <c r="AP76" s="30" t="s">
        <v>996</v>
      </c>
      <c r="AQ76" s="30" t="s">
        <v>118</v>
      </c>
      <c r="AR76" s="30"/>
      <c r="AS76" s="30"/>
      <c r="AT76" s="30"/>
      <c r="AU76" s="30"/>
      <c r="AV76" s="35">
        <v>114</v>
      </c>
      <c r="AW76" s="34">
        <v>18243243</v>
      </c>
      <c r="AX76" s="35">
        <v>296</v>
      </c>
      <c r="AY76" s="34"/>
      <c r="AZ76" s="34">
        <v>6000000000</v>
      </c>
      <c r="BA76" s="32">
        <f t="shared" si="8"/>
        <v>2079729702</v>
      </c>
      <c r="BB76" s="30" t="s">
        <v>997</v>
      </c>
      <c r="BC76" s="30" t="s">
        <v>81</v>
      </c>
      <c r="BD76" s="30" t="s">
        <v>996</v>
      </c>
      <c r="BE76" s="30" t="s">
        <v>990</v>
      </c>
      <c r="BF76" s="30"/>
      <c r="BG76" s="30"/>
      <c r="BH76" s="30"/>
      <c r="BI76" s="30"/>
      <c r="BJ76" s="36">
        <v>207</v>
      </c>
      <c r="BK76" s="34">
        <v>17333333</v>
      </c>
      <c r="BL76" s="36">
        <v>300</v>
      </c>
      <c r="BM76" s="34"/>
      <c r="BN76" s="34">
        <v>6000000000</v>
      </c>
      <c r="BO76" s="32">
        <f t="shared" si="9"/>
        <v>3587999931</v>
      </c>
      <c r="BP76" s="30" t="s">
        <v>998</v>
      </c>
      <c r="BQ76" s="30" t="s">
        <v>81</v>
      </c>
      <c r="BR76" s="30" t="s">
        <v>996</v>
      </c>
      <c r="BS76" s="30" t="s">
        <v>118</v>
      </c>
      <c r="BT76" s="30"/>
      <c r="BU76" s="30"/>
      <c r="BV76" s="30"/>
      <c r="BW76" s="30"/>
      <c r="BX76" s="36">
        <v>75</v>
      </c>
      <c r="BY76" s="34">
        <v>18571429</v>
      </c>
      <c r="BZ76" s="36">
        <v>280</v>
      </c>
      <c r="CA76" s="34"/>
      <c r="CB76" s="34">
        <v>6000000000</v>
      </c>
      <c r="CC76" s="32">
        <f t="shared" si="10"/>
        <v>1392857175</v>
      </c>
      <c r="CD76" s="30" t="s">
        <v>999</v>
      </c>
      <c r="CE76" s="30" t="s">
        <v>81</v>
      </c>
      <c r="CF76" s="30" t="s">
        <v>218</v>
      </c>
      <c r="CG76" s="30"/>
      <c r="CH76" s="30"/>
      <c r="CI76" s="64"/>
      <c r="CJ76" s="64"/>
      <c r="CK76" s="64"/>
      <c r="CL76" s="64"/>
    </row>
    <row r="77" spans="1:90" ht="135" customHeight="1" x14ac:dyDescent="0.25">
      <c r="B77" s="30" t="s">
        <v>982</v>
      </c>
      <c r="C77" s="30" t="s">
        <v>983</v>
      </c>
      <c r="D77" s="33">
        <v>45406</v>
      </c>
      <c r="E77" s="30" t="s">
        <v>93</v>
      </c>
      <c r="F77" s="30" t="s">
        <v>93</v>
      </c>
      <c r="G77" s="30"/>
      <c r="H77" s="30" t="s">
        <v>118</v>
      </c>
      <c r="I77" s="35">
        <v>116</v>
      </c>
      <c r="J77" s="30" t="s">
        <v>70</v>
      </c>
      <c r="K77" s="35">
        <v>256</v>
      </c>
      <c r="L77" s="35"/>
      <c r="M77" s="30"/>
      <c r="N77" s="30"/>
      <c r="O77" s="30"/>
      <c r="P77" s="30"/>
      <c r="Q77" s="30"/>
      <c r="R77" s="30" t="s">
        <v>1000</v>
      </c>
      <c r="S77" s="30" t="s">
        <v>795</v>
      </c>
      <c r="T77" s="30" t="s">
        <v>338</v>
      </c>
      <c r="U77" s="30" t="s">
        <v>164</v>
      </c>
      <c r="V77" s="30" t="s">
        <v>84</v>
      </c>
      <c r="W77" s="30" t="s">
        <v>72</v>
      </c>
      <c r="X77" s="30" t="s">
        <v>85</v>
      </c>
      <c r="Y77" s="30" t="s">
        <v>73</v>
      </c>
      <c r="Z77" s="33">
        <v>45399</v>
      </c>
      <c r="AA77" s="33">
        <v>45399</v>
      </c>
      <c r="AB77" s="30" t="s">
        <v>90</v>
      </c>
      <c r="AC77" s="30"/>
      <c r="AD77" s="30"/>
      <c r="AE77" s="30"/>
      <c r="AF77" s="30"/>
      <c r="AG77" s="30"/>
      <c r="AH77" s="30"/>
      <c r="AI77" s="30"/>
      <c r="AJ77" s="31">
        <f t="shared" si="6"/>
        <v>116</v>
      </c>
      <c r="AK77" s="34">
        <v>17034732</v>
      </c>
      <c r="AL77" s="31">
        <f t="shared" si="7"/>
        <v>256</v>
      </c>
      <c r="AM77" s="34"/>
      <c r="AN77" s="34">
        <v>4361000000</v>
      </c>
      <c r="AO77" s="52"/>
      <c r="AP77" s="30" t="s">
        <v>996</v>
      </c>
      <c r="AQ77" s="30" t="s">
        <v>118</v>
      </c>
      <c r="AR77" s="30"/>
      <c r="AS77" s="30"/>
      <c r="AT77" s="30"/>
      <c r="AU77" s="30"/>
      <c r="AV77" s="35">
        <v>114</v>
      </c>
      <c r="AW77" s="34">
        <v>18243243</v>
      </c>
      <c r="AX77" s="35">
        <v>296</v>
      </c>
      <c r="AY77" s="34"/>
      <c r="AZ77" s="34">
        <v>6000000000</v>
      </c>
      <c r="BA77" s="32">
        <f t="shared" si="8"/>
        <v>2079729702</v>
      </c>
      <c r="BB77" s="30" t="s">
        <v>997</v>
      </c>
      <c r="BC77" s="30" t="s">
        <v>81</v>
      </c>
      <c r="BD77" s="30" t="s">
        <v>996</v>
      </c>
      <c r="BE77" s="30" t="s">
        <v>990</v>
      </c>
      <c r="BF77" s="30"/>
      <c r="BG77" s="30"/>
      <c r="BH77" s="30"/>
      <c r="BI77" s="30"/>
      <c r="BJ77" s="36">
        <v>207</v>
      </c>
      <c r="BK77" s="34">
        <v>17333333</v>
      </c>
      <c r="BL77" s="36">
        <v>300</v>
      </c>
      <c r="BM77" s="34"/>
      <c r="BN77" s="34">
        <v>6000000000</v>
      </c>
      <c r="BO77" s="32">
        <f t="shared" si="9"/>
        <v>3587999931</v>
      </c>
      <c r="BP77" s="30" t="s">
        <v>998</v>
      </c>
      <c r="BQ77" s="30" t="s">
        <v>81</v>
      </c>
      <c r="BR77" s="30" t="s">
        <v>996</v>
      </c>
      <c r="BS77" s="30" t="s">
        <v>118</v>
      </c>
      <c r="BT77" s="30"/>
      <c r="BU77" s="30"/>
      <c r="BV77" s="30"/>
      <c r="BW77" s="30"/>
      <c r="BX77" s="36">
        <v>75</v>
      </c>
      <c r="BY77" s="34">
        <v>18571429</v>
      </c>
      <c r="BZ77" s="36">
        <v>280</v>
      </c>
      <c r="CA77" s="34"/>
      <c r="CB77" s="34">
        <v>6000000000</v>
      </c>
      <c r="CC77" s="32">
        <f t="shared" si="10"/>
        <v>1392857175</v>
      </c>
      <c r="CD77" s="30" t="s">
        <v>999</v>
      </c>
      <c r="CE77" s="30" t="s">
        <v>81</v>
      </c>
      <c r="CF77" s="30" t="s">
        <v>218</v>
      </c>
      <c r="CG77" s="30"/>
      <c r="CH77" s="30"/>
      <c r="CI77" s="64"/>
      <c r="CJ77" s="64"/>
      <c r="CK77" s="64"/>
      <c r="CL77" s="64"/>
    </row>
    <row r="78" spans="1:90" ht="105" x14ac:dyDescent="0.25">
      <c r="B78" s="30" t="s">
        <v>982</v>
      </c>
      <c r="C78" s="30" t="s">
        <v>983</v>
      </c>
      <c r="D78" s="33">
        <v>45406</v>
      </c>
      <c r="E78" s="30" t="s">
        <v>93</v>
      </c>
      <c r="F78" s="30" t="s">
        <v>93</v>
      </c>
      <c r="G78" s="30"/>
      <c r="H78" s="30" t="s">
        <v>101</v>
      </c>
      <c r="I78" s="35">
        <v>67</v>
      </c>
      <c r="J78" s="30" t="s">
        <v>70</v>
      </c>
      <c r="K78" s="35">
        <v>126</v>
      </c>
      <c r="L78" s="35"/>
      <c r="M78" s="30"/>
      <c r="N78" s="30"/>
      <c r="O78" s="30"/>
      <c r="P78" s="30"/>
      <c r="Q78" s="30" t="s">
        <v>1001</v>
      </c>
      <c r="R78" s="30" t="s">
        <v>1002</v>
      </c>
      <c r="S78" s="30" t="s">
        <v>1003</v>
      </c>
      <c r="T78" s="30" t="s">
        <v>1004</v>
      </c>
      <c r="U78" s="30" t="s">
        <v>176</v>
      </c>
      <c r="V78" s="30" t="s">
        <v>80</v>
      </c>
      <c r="W78" s="30" t="s">
        <v>72</v>
      </c>
      <c r="X78" s="30" t="s">
        <v>85</v>
      </c>
      <c r="Y78" s="30" t="s">
        <v>73</v>
      </c>
      <c r="Z78" s="33">
        <v>45399</v>
      </c>
      <c r="AA78" s="33">
        <v>45399</v>
      </c>
      <c r="AB78" s="30" t="s">
        <v>90</v>
      </c>
      <c r="AC78" s="30"/>
      <c r="AD78" s="30"/>
      <c r="AE78" s="30"/>
      <c r="AF78" s="30"/>
      <c r="AG78" s="30"/>
      <c r="AH78" s="30"/>
      <c r="AI78" s="30"/>
      <c r="AJ78" s="31">
        <f t="shared" si="6"/>
        <v>67</v>
      </c>
      <c r="AK78" s="34">
        <v>9106861</v>
      </c>
      <c r="AL78" s="31">
        <f t="shared" si="7"/>
        <v>126</v>
      </c>
      <c r="AM78" s="34"/>
      <c r="AN78" s="34">
        <v>1147000000</v>
      </c>
      <c r="AO78" s="53"/>
      <c r="AP78" s="30" t="s">
        <v>1005</v>
      </c>
      <c r="AQ78" s="30" t="s">
        <v>101</v>
      </c>
      <c r="AR78" s="30"/>
      <c r="AS78" s="30"/>
      <c r="AT78" s="30"/>
      <c r="AU78" s="30"/>
      <c r="AV78" s="35">
        <v>67</v>
      </c>
      <c r="AW78" s="34">
        <v>9126984</v>
      </c>
      <c r="AX78" s="35">
        <v>126</v>
      </c>
      <c r="AY78" s="34"/>
      <c r="AZ78" s="34">
        <v>1250000000</v>
      </c>
      <c r="BA78" s="32">
        <f t="shared" si="8"/>
        <v>611507928</v>
      </c>
      <c r="BB78" s="30" t="s">
        <v>1006</v>
      </c>
      <c r="BC78" s="30" t="s">
        <v>81</v>
      </c>
      <c r="BD78" s="30" t="s">
        <v>1007</v>
      </c>
      <c r="BE78" s="30" t="s">
        <v>101</v>
      </c>
      <c r="BF78" s="30"/>
      <c r="BG78" s="30"/>
      <c r="BH78" s="30"/>
      <c r="BI78" s="30"/>
      <c r="BJ78" s="36">
        <v>67</v>
      </c>
      <c r="BK78" s="34">
        <v>9126984</v>
      </c>
      <c r="BL78" s="36">
        <v>126</v>
      </c>
      <c r="BM78" s="34"/>
      <c r="BN78" s="34">
        <v>1300000000</v>
      </c>
      <c r="BO78" s="32">
        <f t="shared" si="9"/>
        <v>611507928</v>
      </c>
      <c r="BP78" s="30" t="s">
        <v>1008</v>
      </c>
      <c r="BQ78" s="30" t="s">
        <v>81</v>
      </c>
      <c r="BR78" s="30" t="s">
        <v>1009</v>
      </c>
      <c r="BS78" s="30" t="s">
        <v>101</v>
      </c>
      <c r="BT78" s="30"/>
      <c r="BU78" s="30"/>
      <c r="BV78" s="30"/>
      <c r="BW78" s="30"/>
      <c r="BX78" s="36">
        <v>198</v>
      </c>
      <c r="BY78" s="34">
        <v>8936170</v>
      </c>
      <c r="BZ78" s="36">
        <v>235</v>
      </c>
      <c r="CA78" s="34"/>
      <c r="CB78" s="34">
        <v>2600000000</v>
      </c>
      <c r="CC78" s="32">
        <f t="shared" si="10"/>
        <v>1769361660</v>
      </c>
      <c r="CD78" s="30" t="s">
        <v>1010</v>
      </c>
      <c r="CE78" s="30" t="s">
        <v>81</v>
      </c>
      <c r="CF78" s="30" t="s">
        <v>196</v>
      </c>
      <c r="CG78" s="30"/>
      <c r="CH78" s="30"/>
      <c r="CI78" s="64"/>
      <c r="CJ78" s="64"/>
      <c r="CK78" s="64"/>
      <c r="CL78" s="64"/>
    </row>
    <row r="79" spans="1:90" ht="150" customHeight="1" x14ac:dyDescent="0.25">
      <c r="B79" s="30" t="s">
        <v>1011</v>
      </c>
      <c r="C79" s="30" t="s">
        <v>1012</v>
      </c>
      <c r="D79" s="33">
        <v>45412</v>
      </c>
      <c r="E79" s="30" t="s">
        <v>1013</v>
      </c>
      <c r="F79" s="30" t="s">
        <v>1013</v>
      </c>
      <c r="G79" s="30"/>
      <c r="H79" s="30" t="s">
        <v>1014</v>
      </c>
      <c r="I79" s="35">
        <v>250</v>
      </c>
      <c r="J79" s="30" t="s">
        <v>70</v>
      </c>
      <c r="K79" s="35">
        <v>601</v>
      </c>
      <c r="L79" s="35"/>
      <c r="M79" s="30" t="s">
        <v>397</v>
      </c>
      <c r="N79" s="30"/>
      <c r="O79" s="30"/>
      <c r="P79" s="30"/>
      <c r="Q79" s="30"/>
      <c r="R79" s="30" t="s">
        <v>1015</v>
      </c>
      <c r="S79" s="30" t="s">
        <v>1016</v>
      </c>
      <c r="T79" s="30" t="s">
        <v>1017</v>
      </c>
      <c r="U79" s="30" t="s">
        <v>1018</v>
      </c>
      <c r="V79" s="30" t="s">
        <v>119</v>
      </c>
      <c r="W79" s="30" t="s">
        <v>72</v>
      </c>
      <c r="X79" s="30" t="s">
        <v>131</v>
      </c>
      <c r="Y79" s="30" t="s">
        <v>73</v>
      </c>
      <c r="Z79" s="33">
        <v>45406</v>
      </c>
      <c r="AA79" s="33">
        <v>45406</v>
      </c>
      <c r="AB79" s="30" t="s">
        <v>90</v>
      </c>
      <c r="AC79" s="30"/>
      <c r="AD79" s="30"/>
      <c r="AE79" s="30"/>
      <c r="AF79" s="30"/>
      <c r="AG79" s="30"/>
      <c r="AH79" s="30"/>
      <c r="AI79" s="30"/>
      <c r="AJ79" s="31">
        <f t="shared" si="6"/>
        <v>250</v>
      </c>
      <c r="AK79" s="34">
        <f>3375000000/AJ79</f>
        <v>13500000</v>
      </c>
      <c r="AL79" s="31">
        <f t="shared" si="7"/>
        <v>601</v>
      </c>
      <c r="AM79" s="34">
        <f>2130700000/AL79</f>
        <v>3545257.9034941765</v>
      </c>
      <c r="AN79" s="34">
        <v>291620000</v>
      </c>
      <c r="AO79" s="34">
        <f t="shared" si="5"/>
        <v>5797320000</v>
      </c>
      <c r="AP79" s="30" t="s">
        <v>1019</v>
      </c>
      <c r="AQ79" s="30" t="s">
        <v>77</v>
      </c>
      <c r="AR79" s="30"/>
      <c r="AS79" s="30"/>
      <c r="AT79" s="30"/>
      <c r="AU79" s="30"/>
      <c r="AV79" s="35">
        <v>200</v>
      </c>
      <c r="AW79" s="34">
        <v>13500000</v>
      </c>
      <c r="AX79" s="35"/>
      <c r="AY79" s="34"/>
      <c r="AZ79" s="34">
        <v>3400000000</v>
      </c>
      <c r="BA79" s="32">
        <f t="shared" si="8"/>
        <v>2700000000</v>
      </c>
      <c r="BB79" s="30" t="s">
        <v>1020</v>
      </c>
      <c r="BC79" s="30" t="s">
        <v>81</v>
      </c>
      <c r="BD79" s="30" t="s">
        <v>1021</v>
      </c>
      <c r="BE79" s="30" t="s">
        <v>77</v>
      </c>
      <c r="BF79" s="30"/>
      <c r="BG79" s="30"/>
      <c r="BH79" s="30"/>
      <c r="BI79" s="30"/>
      <c r="BJ79" s="36">
        <v>453</v>
      </c>
      <c r="BK79" s="34">
        <v>12803532</v>
      </c>
      <c r="BL79" s="36"/>
      <c r="BM79" s="34"/>
      <c r="BN79" s="34">
        <v>6500000000</v>
      </c>
      <c r="BO79" s="32">
        <f t="shared" si="9"/>
        <v>5799999996</v>
      </c>
      <c r="BP79" s="30" t="s">
        <v>1022</v>
      </c>
      <c r="BQ79" s="30" t="s">
        <v>81</v>
      </c>
      <c r="BR79" s="30" t="s">
        <v>1021</v>
      </c>
      <c r="BS79" s="30" t="s">
        <v>77</v>
      </c>
      <c r="BT79" s="30"/>
      <c r="BU79" s="30"/>
      <c r="BV79" s="30"/>
      <c r="BW79" s="30"/>
      <c r="BX79" s="36">
        <v>640</v>
      </c>
      <c r="BY79" s="34">
        <v>12500000</v>
      </c>
      <c r="BZ79" s="36"/>
      <c r="CA79" s="34"/>
      <c r="CB79" s="34">
        <v>9000000000</v>
      </c>
      <c r="CC79" s="32">
        <f t="shared" si="10"/>
        <v>8000000000</v>
      </c>
      <c r="CD79" s="30" t="s">
        <v>1023</v>
      </c>
      <c r="CE79" s="30" t="s">
        <v>81</v>
      </c>
      <c r="CF79" s="30" t="s">
        <v>379</v>
      </c>
      <c r="CG79" s="30"/>
      <c r="CH79" s="30"/>
      <c r="CI79" s="64"/>
      <c r="CJ79" s="64"/>
      <c r="CK79" s="64"/>
      <c r="CL79" s="64"/>
    </row>
    <row r="80" spans="1:90" ht="135" customHeight="1" x14ac:dyDescent="0.25">
      <c r="B80" s="30" t="s">
        <v>1024</v>
      </c>
      <c r="C80" s="30" t="s">
        <v>1025</v>
      </c>
      <c r="D80" s="33">
        <v>45414</v>
      </c>
      <c r="E80" s="30" t="s">
        <v>270</v>
      </c>
      <c r="F80" s="30" t="s">
        <v>93</v>
      </c>
      <c r="G80" s="30"/>
      <c r="H80" s="30" t="s">
        <v>1026</v>
      </c>
      <c r="I80" s="35">
        <v>5295</v>
      </c>
      <c r="J80" s="30" t="s">
        <v>70</v>
      </c>
      <c r="K80" s="35">
        <v>7383</v>
      </c>
      <c r="L80" s="35"/>
      <c r="M80" s="30" t="s">
        <v>397</v>
      </c>
      <c r="N80" s="30"/>
      <c r="O80" s="30"/>
      <c r="P80" s="30"/>
      <c r="Q80" s="30"/>
      <c r="R80" s="30" t="s">
        <v>1027</v>
      </c>
      <c r="S80" s="30" t="s">
        <v>271</v>
      </c>
      <c r="T80" s="30" t="s">
        <v>272</v>
      </c>
      <c r="U80" s="30" t="s">
        <v>122</v>
      </c>
      <c r="V80" s="30" t="s">
        <v>71</v>
      </c>
      <c r="W80" s="30" t="s">
        <v>72</v>
      </c>
      <c r="X80" s="30" t="s">
        <v>85</v>
      </c>
      <c r="Y80" s="30" t="s">
        <v>73</v>
      </c>
      <c r="Z80" s="33">
        <v>45359</v>
      </c>
      <c r="AA80" s="33">
        <v>45379</v>
      </c>
      <c r="AB80" s="30" t="s">
        <v>90</v>
      </c>
      <c r="AC80" s="30"/>
      <c r="AD80" s="30"/>
      <c r="AE80" s="30"/>
      <c r="AF80" s="30"/>
      <c r="AG80" s="30"/>
      <c r="AH80" s="30"/>
      <c r="AI80" s="30"/>
      <c r="AJ80" s="31">
        <f t="shared" si="6"/>
        <v>5295</v>
      </c>
      <c r="AK80" s="34">
        <f>178971000000/AJ80</f>
        <v>33800000</v>
      </c>
      <c r="AL80" s="31">
        <f t="shared" si="7"/>
        <v>7383</v>
      </c>
      <c r="AM80" s="34">
        <f>41480300000/AL80</f>
        <v>5618352.9730461873</v>
      </c>
      <c r="AN80" s="34">
        <v>5256530000</v>
      </c>
      <c r="AO80" s="34">
        <f t="shared" si="5"/>
        <v>225707830000</v>
      </c>
      <c r="AP80" s="30" t="s">
        <v>1028</v>
      </c>
      <c r="AQ80" s="30" t="s">
        <v>77</v>
      </c>
      <c r="AR80" s="30"/>
      <c r="AS80" s="30"/>
      <c r="AT80" s="30"/>
      <c r="AU80" s="30"/>
      <c r="AV80" s="35">
        <v>1334</v>
      </c>
      <c r="AW80" s="34">
        <v>48000000</v>
      </c>
      <c r="AX80" s="35"/>
      <c r="AY80" s="34"/>
      <c r="AZ80" s="34">
        <v>86710000000</v>
      </c>
      <c r="BA80" s="32">
        <f t="shared" si="8"/>
        <v>64032000000</v>
      </c>
      <c r="BB80" s="30" t="s">
        <v>1029</v>
      </c>
      <c r="BC80" s="30" t="s">
        <v>81</v>
      </c>
      <c r="BD80" s="30" t="s">
        <v>1030</v>
      </c>
      <c r="BE80" s="30" t="s">
        <v>77</v>
      </c>
      <c r="BF80" s="30"/>
      <c r="BG80" s="30"/>
      <c r="BH80" s="30"/>
      <c r="BI80" s="30"/>
      <c r="BJ80" s="36">
        <v>5500</v>
      </c>
      <c r="BK80" s="34">
        <v>39000000</v>
      </c>
      <c r="BL80" s="36"/>
      <c r="BM80" s="34"/>
      <c r="BN80" s="34">
        <v>247500000000</v>
      </c>
      <c r="BO80" s="32">
        <f t="shared" si="9"/>
        <v>214500000000</v>
      </c>
      <c r="BP80" s="30" t="s">
        <v>1031</v>
      </c>
      <c r="BQ80" s="30" t="s">
        <v>81</v>
      </c>
      <c r="BR80" s="30" t="s">
        <v>1032</v>
      </c>
      <c r="BS80" s="30" t="s">
        <v>97</v>
      </c>
      <c r="BT80" s="30"/>
      <c r="BU80" s="30"/>
      <c r="BV80" s="30"/>
      <c r="BW80" s="30"/>
      <c r="BX80" s="36">
        <v>1286</v>
      </c>
      <c r="BY80" s="34">
        <v>48072017</v>
      </c>
      <c r="BZ80" s="36">
        <v>810</v>
      </c>
      <c r="CA80" s="34"/>
      <c r="CB80" s="34">
        <v>85000000000</v>
      </c>
      <c r="CC80" s="32">
        <f t="shared" si="10"/>
        <v>61820613862</v>
      </c>
      <c r="CD80" s="30" t="s">
        <v>1033</v>
      </c>
      <c r="CE80" s="30" t="s">
        <v>81</v>
      </c>
      <c r="CF80" s="30" t="s">
        <v>225</v>
      </c>
      <c r="CG80" s="30"/>
      <c r="CH80" s="30"/>
      <c r="CI80" s="64"/>
      <c r="CJ80" s="64"/>
      <c r="CK80" s="64"/>
      <c r="CL80" s="64"/>
    </row>
    <row r="81" spans="2:90" ht="105" x14ac:dyDescent="0.25">
      <c r="B81" s="30" t="s">
        <v>1034</v>
      </c>
      <c r="C81" s="30" t="s">
        <v>1035</v>
      </c>
      <c r="D81" s="33">
        <v>45414</v>
      </c>
      <c r="E81" s="30" t="s">
        <v>1036</v>
      </c>
      <c r="F81" s="30" t="s">
        <v>1036</v>
      </c>
      <c r="G81" s="30"/>
      <c r="H81" s="30" t="s">
        <v>77</v>
      </c>
      <c r="I81" s="35">
        <v>13680</v>
      </c>
      <c r="J81" s="30" t="s">
        <v>70</v>
      </c>
      <c r="K81" s="35"/>
      <c r="L81" s="35"/>
      <c r="M81" s="30"/>
      <c r="N81" s="30"/>
      <c r="O81" s="30"/>
      <c r="P81" s="30"/>
      <c r="Q81" s="30"/>
      <c r="R81" s="30" t="s">
        <v>1037</v>
      </c>
      <c r="S81" s="30" t="s">
        <v>1038</v>
      </c>
      <c r="T81" s="30" t="s">
        <v>1039</v>
      </c>
      <c r="U81" s="30" t="s">
        <v>1040</v>
      </c>
      <c r="V81" s="30" t="s">
        <v>71</v>
      </c>
      <c r="W81" s="30" t="s">
        <v>72</v>
      </c>
      <c r="X81" s="30" t="s">
        <v>131</v>
      </c>
      <c r="Y81" s="30" t="s">
        <v>73</v>
      </c>
      <c r="Z81" s="33">
        <v>45366</v>
      </c>
      <c r="AA81" s="33">
        <v>45366</v>
      </c>
      <c r="AB81" s="30" t="s">
        <v>90</v>
      </c>
      <c r="AC81" s="30"/>
      <c r="AD81" s="30"/>
      <c r="AE81" s="30"/>
      <c r="AF81" s="30"/>
      <c r="AG81" s="30"/>
      <c r="AH81" s="30"/>
      <c r="AI81" s="30"/>
      <c r="AJ81" s="31">
        <f t="shared" si="6"/>
        <v>13680</v>
      </c>
      <c r="AK81" s="34">
        <f>36936000000/AJ81</f>
        <v>2700000</v>
      </c>
      <c r="AL81" s="31">
        <f t="shared" si="7"/>
        <v>0</v>
      </c>
      <c r="AM81" s="34"/>
      <c r="AN81" s="34"/>
      <c r="AO81" s="34">
        <f t="shared" si="5"/>
        <v>36936000000</v>
      </c>
      <c r="AP81" s="30" t="s">
        <v>1041</v>
      </c>
      <c r="AQ81" s="30" t="s">
        <v>77</v>
      </c>
      <c r="AR81" s="30"/>
      <c r="AS81" s="30"/>
      <c r="AT81" s="30"/>
      <c r="AU81" s="30"/>
      <c r="AV81" s="35">
        <v>644</v>
      </c>
      <c r="AW81" s="34">
        <v>4000000</v>
      </c>
      <c r="AX81" s="35"/>
      <c r="AY81" s="34"/>
      <c r="AZ81" s="34">
        <v>3220000000</v>
      </c>
      <c r="BA81" s="32">
        <f t="shared" si="8"/>
        <v>2576000000</v>
      </c>
      <c r="BB81" s="30" t="s">
        <v>1042</v>
      </c>
      <c r="BC81" s="30" t="s">
        <v>81</v>
      </c>
      <c r="BD81" s="30" t="s">
        <v>1041</v>
      </c>
      <c r="BE81" s="30" t="s">
        <v>77</v>
      </c>
      <c r="BF81" s="30"/>
      <c r="BG81" s="30"/>
      <c r="BH81" s="30"/>
      <c r="BI81" s="30"/>
      <c r="BJ81" s="36">
        <v>2018</v>
      </c>
      <c r="BK81" s="34">
        <v>2824579</v>
      </c>
      <c r="BL81" s="36"/>
      <c r="BM81" s="34"/>
      <c r="BN81" s="34">
        <v>6500000000</v>
      </c>
      <c r="BO81" s="32">
        <f t="shared" si="9"/>
        <v>5700000422</v>
      </c>
      <c r="BP81" s="30" t="s">
        <v>1043</v>
      </c>
      <c r="BQ81" s="30" t="s">
        <v>81</v>
      </c>
      <c r="BR81" s="30" t="s">
        <v>1044</v>
      </c>
      <c r="BS81" s="30" t="s">
        <v>97</v>
      </c>
      <c r="BT81" s="30"/>
      <c r="BU81" s="30"/>
      <c r="BV81" s="30"/>
      <c r="BW81" s="30"/>
      <c r="BX81" s="36">
        <v>1100</v>
      </c>
      <c r="BY81" s="34">
        <v>4183636</v>
      </c>
      <c r="BZ81" s="36">
        <v>250</v>
      </c>
      <c r="CA81" s="34"/>
      <c r="CB81" s="34">
        <v>6900000000</v>
      </c>
      <c r="CC81" s="32">
        <f t="shared" si="10"/>
        <v>4601999600</v>
      </c>
      <c r="CD81" s="30" t="s">
        <v>1045</v>
      </c>
      <c r="CE81" s="30" t="s">
        <v>81</v>
      </c>
      <c r="CF81" s="30" t="s">
        <v>196</v>
      </c>
      <c r="CG81" s="30"/>
      <c r="CH81" s="30"/>
      <c r="CI81" s="64"/>
      <c r="CJ81" s="64"/>
      <c r="CK81" s="64"/>
      <c r="CL81" s="64"/>
    </row>
    <row r="82" spans="2:90" ht="120" customHeight="1" x14ac:dyDescent="0.25">
      <c r="B82" s="30" t="s">
        <v>1046</v>
      </c>
      <c r="C82" s="30" t="s">
        <v>1047</v>
      </c>
      <c r="D82" s="33">
        <v>45419</v>
      </c>
      <c r="E82" s="30" t="s">
        <v>1048</v>
      </c>
      <c r="F82" s="30" t="s">
        <v>1048</v>
      </c>
      <c r="G82" s="30"/>
      <c r="H82" s="30" t="s">
        <v>77</v>
      </c>
      <c r="I82" s="35">
        <v>25000</v>
      </c>
      <c r="J82" s="30" t="s">
        <v>70</v>
      </c>
      <c r="K82" s="35"/>
      <c r="L82" s="35"/>
      <c r="M82" s="30"/>
      <c r="N82" s="30"/>
      <c r="O82" s="30"/>
      <c r="P82" s="30"/>
      <c r="Q82" s="30" t="s">
        <v>1049</v>
      </c>
      <c r="R82" s="30"/>
      <c r="S82" s="30" t="s">
        <v>1050</v>
      </c>
      <c r="T82" s="30" t="s">
        <v>1051</v>
      </c>
      <c r="U82" s="30" t="s">
        <v>1052</v>
      </c>
      <c r="V82" s="30" t="s">
        <v>92</v>
      </c>
      <c r="W82" s="30" t="s">
        <v>72</v>
      </c>
      <c r="X82" s="30" t="s">
        <v>131</v>
      </c>
      <c r="Y82" s="30" t="s">
        <v>73</v>
      </c>
      <c r="Z82" s="33">
        <v>45387</v>
      </c>
      <c r="AA82" s="33">
        <v>45291</v>
      </c>
      <c r="AB82" s="30" t="s">
        <v>90</v>
      </c>
      <c r="AC82" s="30"/>
      <c r="AD82" s="30"/>
      <c r="AE82" s="30"/>
      <c r="AF82" s="30"/>
      <c r="AG82" s="30"/>
      <c r="AH82" s="30"/>
      <c r="AI82" s="30"/>
      <c r="AJ82" s="31">
        <f t="shared" si="6"/>
        <v>25000</v>
      </c>
      <c r="AK82" s="34">
        <f>77500000000/AJ82</f>
        <v>3100000</v>
      </c>
      <c r="AL82" s="31">
        <f t="shared" si="7"/>
        <v>0</v>
      </c>
      <c r="AM82" s="34"/>
      <c r="AN82" s="34"/>
      <c r="AO82" s="34">
        <f t="shared" si="5"/>
        <v>77500000000</v>
      </c>
      <c r="AP82" s="30" t="s">
        <v>1053</v>
      </c>
      <c r="AQ82" s="30" t="s">
        <v>77</v>
      </c>
      <c r="AR82" s="30"/>
      <c r="AS82" s="30"/>
      <c r="AT82" s="30"/>
      <c r="AU82" s="30"/>
      <c r="AV82" s="35">
        <v>24468</v>
      </c>
      <c r="AW82" s="34">
        <v>3100000</v>
      </c>
      <c r="AX82" s="35"/>
      <c r="AY82" s="34"/>
      <c r="AZ82" s="34">
        <v>85638000000</v>
      </c>
      <c r="BA82" s="32">
        <f t="shared" si="8"/>
        <v>75850800000</v>
      </c>
      <c r="BB82" s="30" t="s">
        <v>1054</v>
      </c>
      <c r="BC82" s="30" t="s">
        <v>81</v>
      </c>
      <c r="BD82" s="30" t="s">
        <v>1055</v>
      </c>
      <c r="BE82" s="30" t="s">
        <v>77</v>
      </c>
      <c r="BF82" s="30"/>
      <c r="BG82" s="30"/>
      <c r="BH82" s="30"/>
      <c r="BI82" s="30"/>
      <c r="BJ82" s="36">
        <v>5043</v>
      </c>
      <c r="BK82" s="34">
        <v>3300000</v>
      </c>
      <c r="BL82" s="36"/>
      <c r="BM82" s="34"/>
      <c r="BN82" s="34">
        <v>17650500000</v>
      </c>
      <c r="BO82" s="32">
        <f t="shared" si="9"/>
        <v>16641900000</v>
      </c>
      <c r="BP82" s="30" t="s">
        <v>1056</v>
      </c>
      <c r="BQ82" s="30" t="s">
        <v>81</v>
      </c>
      <c r="BR82" s="30" t="s">
        <v>1057</v>
      </c>
      <c r="BS82" s="30" t="s">
        <v>77</v>
      </c>
      <c r="BT82" s="30"/>
      <c r="BU82" s="30"/>
      <c r="BV82" s="30"/>
      <c r="BW82" s="30"/>
      <c r="BX82" s="36">
        <v>15306</v>
      </c>
      <c r="BY82" s="34">
        <v>3000000</v>
      </c>
      <c r="BZ82" s="36"/>
      <c r="CA82" s="34"/>
      <c r="CB82" s="34">
        <v>55571000000</v>
      </c>
      <c r="CC82" s="32">
        <f t="shared" si="10"/>
        <v>45918000000</v>
      </c>
      <c r="CD82" s="30" t="s">
        <v>1058</v>
      </c>
      <c r="CE82" s="30" t="s">
        <v>81</v>
      </c>
      <c r="CF82" s="30" t="s">
        <v>855</v>
      </c>
      <c r="CG82" s="30"/>
      <c r="CH82" s="30"/>
      <c r="CI82" s="64"/>
      <c r="CJ82" s="64"/>
      <c r="CK82" s="64"/>
      <c r="CL82" s="64"/>
    </row>
    <row r="83" spans="2:90" ht="165" customHeight="1" x14ac:dyDescent="0.25">
      <c r="B83" s="30" t="s">
        <v>1059</v>
      </c>
      <c r="C83" s="30" t="s">
        <v>1060</v>
      </c>
      <c r="D83" s="33">
        <v>45420</v>
      </c>
      <c r="E83" s="30" t="s">
        <v>1061</v>
      </c>
      <c r="F83" s="30" t="s">
        <v>1061</v>
      </c>
      <c r="G83" s="30"/>
      <c r="H83" s="30" t="s">
        <v>97</v>
      </c>
      <c r="I83" s="35">
        <v>1748</v>
      </c>
      <c r="J83" s="30" t="s">
        <v>70</v>
      </c>
      <c r="K83" s="35">
        <v>1854</v>
      </c>
      <c r="L83" s="35"/>
      <c r="M83" s="30" t="s">
        <v>397</v>
      </c>
      <c r="N83" s="30"/>
      <c r="O83" s="30"/>
      <c r="P83" s="30"/>
      <c r="Q83" s="30"/>
      <c r="R83" s="30" t="s">
        <v>1062</v>
      </c>
      <c r="S83" s="30" t="s">
        <v>1063</v>
      </c>
      <c r="T83" s="30" t="s">
        <v>1064</v>
      </c>
      <c r="U83" s="30" t="s">
        <v>98</v>
      </c>
      <c r="V83" s="30" t="s">
        <v>84</v>
      </c>
      <c r="W83" s="30" t="s">
        <v>72</v>
      </c>
      <c r="X83" s="30" t="s">
        <v>131</v>
      </c>
      <c r="Y83" s="30" t="s">
        <v>73</v>
      </c>
      <c r="Z83" s="33">
        <v>45408</v>
      </c>
      <c r="AA83" s="33">
        <v>45408</v>
      </c>
      <c r="AB83" s="30" t="s">
        <v>90</v>
      </c>
      <c r="AC83" s="30"/>
      <c r="AD83" s="30"/>
      <c r="AE83" s="30"/>
      <c r="AF83" s="30"/>
      <c r="AG83" s="30"/>
      <c r="AH83" s="30"/>
      <c r="AI83" s="30"/>
      <c r="AJ83" s="31">
        <f t="shared" si="6"/>
        <v>1748</v>
      </c>
      <c r="AK83" s="34">
        <f>41252800000/AJ83</f>
        <v>23600000</v>
      </c>
      <c r="AL83" s="31">
        <f t="shared" si="7"/>
        <v>1854</v>
      </c>
      <c r="AM83" s="34">
        <f>7688600000/AL83</f>
        <v>4147033.4412081987</v>
      </c>
      <c r="AN83" s="34">
        <v>378000000</v>
      </c>
      <c r="AO83" s="34">
        <f t="shared" si="5"/>
        <v>49319400000</v>
      </c>
      <c r="AP83" s="30" t="s">
        <v>1065</v>
      </c>
      <c r="AQ83" s="30" t="s">
        <v>77</v>
      </c>
      <c r="AR83" s="30"/>
      <c r="AS83" s="30"/>
      <c r="AT83" s="30"/>
      <c r="AU83" s="30"/>
      <c r="AV83" s="35">
        <v>451</v>
      </c>
      <c r="AW83" s="34">
        <v>24200000</v>
      </c>
      <c r="AX83" s="35"/>
      <c r="AY83" s="34"/>
      <c r="AZ83" s="34">
        <v>12177000000</v>
      </c>
      <c r="BA83" s="32">
        <f t="shared" si="8"/>
        <v>10914200000</v>
      </c>
      <c r="BB83" s="30" t="s">
        <v>1066</v>
      </c>
      <c r="BC83" s="30" t="s">
        <v>81</v>
      </c>
      <c r="BD83" s="30" t="s">
        <v>1065</v>
      </c>
      <c r="BE83" s="30" t="s">
        <v>1067</v>
      </c>
      <c r="BF83" s="30"/>
      <c r="BG83" s="30"/>
      <c r="BH83" s="30"/>
      <c r="BI83" s="30"/>
      <c r="BJ83" s="36">
        <v>651</v>
      </c>
      <c r="BK83" s="34">
        <v>24000000</v>
      </c>
      <c r="BL83" s="36"/>
      <c r="BM83" s="34"/>
      <c r="BN83" s="34">
        <v>18000000000</v>
      </c>
      <c r="BO83" s="32">
        <f t="shared" si="9"/>
        <v>15624000000</v>
      </c>
      <c r="BP83" s="30" t="s">
        <v>1068</v>
      </c>
      <c r="BQ83" s="30" t="s">
        <v>81</v>
      </c>
      <c r="BR83" s="30" t="s">
        <v>1065</v>
      </c>
      <c r="BS83" s="30" t="s">
        <v>77</v>
      </c>
      <c r="BT83" s="30"/>
      <c r="BU83" s="30"/>
      <c r="BV83" s="30"/>
      <c r="BW83" s="30"/>
      <c r="BX83" s="36">
        <v>1200</v>
      </c>
      <c r="BY83" s="34">
        <v>22500000</v>
      </c>
      <c r="BZ83" s="36"/>
      <c r="CA83" s="34"/>
      <c r="CB83" s="34">
        <v>30000000000</v>
      </c>
      <c r="CC83" s="32">
        <f t="shared" si="10"/>
        <v>27000000000</v>
      </c>
      <c r="CD83" s="30" t="s">
        <v>1069</v>
      </c>
      <c r="CE83" s="30" t="s">
        <v>81</v>
      </c>
      <c r="CF83" s="30" t="s">
        <v>225</v>
      </c>
      <c r="CG83" s="30"/>
      <c r="CH83" s="30"/>
      <c r="CI83" s="64"/>
      <c r="CJ83" s="64"/>
      <c r="CK83" s="64"/>
      <c r="CL83" s="64"/>
    </row>
    <row r="84" spans="2:90" ht="165" customHeight="1" x14ac:dyDescent="0.25">
      <c r="B84" s="30" t="s">
        <v>1070</v>
      </c>
      <c r="C84" s="30" t="s">
        <v>1071</v>
      </c>
      <c r="D84" s="33">
        <v>45420</v>
      </c>
      <c r="E84" s="30" t="s">
        <v>1072</v>
      </c>
      <c r="F84" s="30" t="s">
        <v>1073</v>
      </c>
      <c r="G84" s="30"/>
      <c r="H84" s="30" t="s">
        <v>83</v>
      </c>
      <c r="I84" s="35">
        <v>256</v>
      </c>
      <c r="J84" s="30" t="s">
        <v>70</v>
      </c>
      <c r="K84" s="35">
        <v>240</v>
      </c>
      <c r="L84" s="35"/>
      <c r="M84" s="30"/>
      <c r="N84" s="30"/>
      <c r="O84" s="30"/>
      <c r="P84" s="30"/>
      <c r="Q84" s="30"/>
      <c r="R84" s="30" t="s">
        <v>1074</v>
      </c>
      <c r="S84" s="30" t="s">
        <v>1075</v>
      </c>
      <c r="T84" s="30" t="s">
        <v>1076</v>
      </c>
      <c r="U84" s="30" t="s">
        <v>188</v>
      </c>
      <c r="V84" s="30" t="s">
        <v>92</v>
      </c>
      <c r="W84" s="30" t="s">
        <v>72</v>
      </c>
      <c r="X84" s="30" t="s">
        <v>131</v>
      </c>
      <c r="Y84" s="30" t="s">
        <v>73</v>
      </c>
      <c r="Z84" s="33">
        <v>45364</v>
      </c>
      <c r="AA84" s="33">
        <v>45364</v>
      </c>
      <c r="AB84" s="30" t="s">
        <v>90</v>
      </c>
      <c r="AC84" s="30"/>
      <c r="AD84" s="30"/>
      <c r="AE84" s="30"/>
      <c r="AF84" s="30"/>
      <c r="AG84" s="30"/>
      <c r="AH84" s="30"/>
      <c r="AI84" s="30"/>
      <c r="AJ84" s="31">
        <f t="shared" si="6"/>
        <v>256</v>
      </c>
      <c r="AK84" s="34">
        <f>2201600000/AJ84</f>
        <v>8600000</v>
      </c>
      <c r="AL84" s="31">
        <f t="shared" si="7"/>
        <v>240</v>
      </c>
      <c r="AM84" s="34">
        <f>499600000/AL84</f>
        <v>2081666.6666666667</v>
      </c>
      <c r="AN84" s="34"/>
      <c r="AO84" s="34">
        <f t="shared" si="5"/>
        <v>2701200000</v>
      </c>
      <c r="AP84" s="30" t="s">
        <v>1077</v>
      </c>
      <c r="AQ84" s="30" t="s">
        <v>83</v>
      </c>
      <c r="AR84" s="30"/>
      <c r="AS84" s="30"/>
      <c r="AT84" s="30"/>
      <c r="AU84" s="30"/>
      <c r="AV84" s="35">
        <v>171</v>
      </c>
      <c r="AW84" s="34">
        <v>9488187</v>
      </c>
      <c r="AX84" s="35"/>
      <c r="AY84" s="34"/>
      <c r="AZ84" s="34">
        <v>3500000000</v>
      </c>
      <c r="BA84" s="32">
        <f t="shared" si="8"/>
        <v>1622479977</v>
      </c>
      <c r="BB84" s="30" t="s">
        <v>1078</v>
      </c>
      <c r="BC84" s="30" t="s">
        <v>81</v>
      </c>
      <c r="BD84" s="30" t="s">
        <v>1079</v>
      </c>
      <c r="BE84" s="30" t="s">
        <v>83</v>
      </c>
      <c r="BF84" s="30"/>
      <c r="BG84" s="30"/>
      <c r="BH84" s="30"/>
      <c r="BI84" s="30"/>
      <c r="BJ84" s="36">
        <v>215</v>
      </c>
      <c r="BK84" s="34">
        <v>9397991</v>
      </c>
      <c r="BL84" s="36">
        <v>230</v>
      </c>
      <c r="BM84" s="34"/>
      <c r="BN84" s="34">
        <v>4000000000</v>
      </c>
      <c r="BO84" s="32">
        <f t="shared" si="9"/>
        <v>2020568065</v>
      </c>
      <c r="BP84" s="30" t="s">
        <v>1080</v>
      </c>
      <c r="BQ84" s="30" t="s">
        <v>81</v>
      </c>
      <c r="BR84" s="30" t="s">
        <v>1081</v>
      </c>
      <c r="BS84" s="30" t="s">
        <v>77</v>
      </c>
      <c r="BT84" s="30"/>
      <c r="BU84" s="30"/>
      <c r="BV84" s="30"/>
      <c r="BW84" s="30"/>
      <c r="BX84" s="36">
        <v>817</v>
      </c>
      <c r="BY84" s="34">
        <v>9000000</v>
      </c>
      <c r="BZ84" s="36"/>
      <c r="CA84" s="34"/>
      <c r="CB84" s="34">
        <v>8170000000</v>
      </c>
      <c r="CC84" s="32">
        <f t="shared" si="10"/>
        <v>7353000000</v>
      </c>
      <c r="CD84" s="30" t="s">
        <v>1082</v>
      </c>
      <c r="CE84" s="30" t="s">
        <v>81</v>
      </c>
      <c r="CF84" s="30" t="s">
        <v>1083</v>
      </c>
      <c r="CG84" s="30"/>
      <c r="CH84" s="30"/>
      <c r="CI84" s="64"/>
      <c r="CJ84" s="64"/>
      <c r="CK84" s="64"/>
      <c r="CL84" s="64"/>
    </row>
    <row r="85" spans="2:90" ht="135" customHeight="1" x14ac:dyDescent="0.25">
      <c r="B85" s="30" t="s">
        <v>1084</v>
      </c>
      <c r="C85" s="30" t="s">
        <v>1085</v>
      </c>
      <c r="D85" s="33">
        <v>45426</v>
      </c>
      <c r="E85" s="30" t="s">
        <v>1086</v>
      </c>
      <c r="F85" s="30" t="s">
        <v>200</v>
      </c>
      <c r="G85" s="30"/>
      <c r="H85" s="30" t="s">
        <v>285</v>
      </c>
      <c r="I85" s="35" t="s">
        <v>1087</v>
      </c>
      <c r="J85" s="30" t="s">
        <v>283</v>
      </c>
      <c r="K85" s="35" t="s">
        <v>1088</v>
      </c>
      <c r="L85" s="35"/>
      <c r="M85" s="30" t="s">
        <v>1089</v>
      </c>
      <c r="N85" s="30"/>
      <c r="O85" s="30"/>
      <c r="P85" s="30"/>
      <c r="Q85" s="30"/>
      <c r="R85" s="30" t="s">
        <v>1090</v>
      </c>
      <c r="S85" s="30" t="s">
        <v>1091</v>
      </c>
      <c r="T85" s="30" t="s">
        <v>1092</v>
      </c>
      <c r="U85" s="30" t="s">
        <v>1093</v>
      </c>
      <c r="V85" s="30" t="s">
        <v>1094</v>
      </c>
      <c r="W85" s="30" t="s">
        <v>72</v>
      </c>
      <c r="X85" s="30" t="s">
        <v>85</v>
      </c>
      <c r="Y85" s="30" t="s">
        <v>73</v>
      </c>
      <c r="Z85" s="33">
        <v>45386</v>
      </c>
      <c r="AA85" s="33">
        <v>45388</v>
      </c>
      <c r="AB85" s="30" t="s">
        <v>90</v>
      </c>
      <c r="AC85" s="30"/>
      <c r="AD85" s="30"/>
      <c r="AE85" s="30"/>
      <c r="AF85" s="30"/>
      <c r="AG85" s="30"/>
      <c r="AH85" s="30"/>
      <c r="AI85" s="30"/>
      <c r="AJ85" s="31" t="str">
        <f t="shared" si="6"/>
        <v>161,,35</v>
      </c>
      <c r="AK85" s="34"/>
      <c r="AL85" s="31" t="str">
        <f t="shared" si="7"/>
        <v>146,63 Ha</v>
      </c>
      <c r="AM85" s="34"/>
      <c r="AN85" s="34"/>
      <c r="AO85" s="34">
        <v>11733900000</v>
      </c>
      <c r="AP85" s="30"/>
      <c r="AQ85" s="30"/>
      <c r="AR85" s="30"/>
      <c r="AS85" s="30"/>
      <c r="AT85" s="30"/>
      <c r="AU85" s="30"/>
      <c r="AV85" s="35"/>
      <c r="AW85" s="34"/>
      <c r="AX85" s="35"/>
      <c r="AY85" s="34"/>
      <c r="AZ85" s="34"/>
      <c r="BA85" s="32">
        <f t="shared" si="8"/>
        <v>0</v>
      </c>
      <c r="BB85" s="30"/>
      <c r="BC85" s="30"/>
      <c r="BD85" s="30"/>
      <c r="BE85" s="30"/>
      <c r="BF85" s="30"/>
      <c r="BG85" s="30"/>
      <c r="BH85" s="30"/>
      <c r="BI85" s="30"/>
      <c r="BJ85" s="36"/>
      <c r="BK85" s="34"/>
      <c r="BL85" s="36"/>
      <c r="BM85" s="34"/>
      <c r="BN85" s="34"/>
      <c r="BO85" s="32">
        <f t="shared" si="9"/>
        <v>0</v>
      </c>
      <c r="BP85" s="30"/>
      <c r="BQ85" s="30"/>
      <c r="BR85" s="30"/>
      <c r="BS85" s="30"/>
      <c r="BT85" s="30"/>
      <c r="BU85" s="30"/>
      <c r="BV85" s="30"/>
      <c r="BW85" s="30"/>
      <c r="BX85" s="36"/>
      <c r="BY85" s="34"/>
      <c r="BZ85" s="36"/>
      <c r="CA85" s="34"/>
      <c r="CB85" s="34"/>
      <c r="CC85" s="32">
        <f t="shared" si="10"/>
        <v>0</v>
      </c>
      <c r="CD85" s="30"/>
      <c r="CE85" s="30"/>
      <c r="CF85" s="30"/>
      <c r="CG85" s="30"/>
      <c r="CH85" s="30"/>
      <c r="CI85" s="64"/>
      <c r="CJ85" s="64"/>
      <c r="CK85" s="64"/>
      <c r="CL85" s="64"/>
    </row>
    <row r="86" spans="2:90" ht="165" customHeight="1" x14ac:dyDescent="0.25">
      <c r="B86" s="30" t="s">
        <v>1095</v>
      </c>
      <c r="C86" s="30" t="s">
        <v>1096</v>
      </c>
      <c r="D86" s="33">
        <v>45426</v>
      </c>
      <c r="E86" s="30" t="s">
        <v>1086</v>
      </c>
      <c r="F86" s="30" t="s">
        <v>200</v>
      </c>
      <c r="G86" s="30"/>
      <c r="H86" s="30" t="s">
        <v>285</v>
      </c>
      <c r="I86" s="35" t="s">
        <v>1097</v>
      </c>
      <c r="J86" s="30" t="s">
        <v>283</v>
      </c>
      <c r="K86" s="35" t="s">
        <v>1098</v>
      </c>
      <c r="L86" s="35"/>
      <c r="M86" s="30" t="s">
        <v>1099</v>
      </c>
      <c r="N86" s="30"/>
      <c r="O86" s="30"/>
      <c r="P86" s="30"/>
      <c r="Q86" s="30"/>
      <c r="R86" s="30" t="s">
        <v>1100</v>
      </c>
      <c r="S86" s="30" t="s">
        <v>1091</v>
      </c>
      <c r="T86" s="30" t="s">
        <v>1092</v>
      </c>
      <c r="U86" s="30" t="s">
        <v>1093</v>
      </c>
      <c r="V86" s="30" t="s">
        <v>1094</v>
      </c>
      <c r="W86" s="30" t="s">
        <v>72</v>
      </c>
      <c r="X86" s="30" t="s">
        <v>85</v>
      </c>
      <c r="Y86" s="30" t="s">
        <v>73</v>
      </c>
      <c r="Z86" s="33">
        <v>45386</v>
      </c>
      <c r="AA86" s="33">
        <v>45388</v>
      </c>
      <c r="AB86" s="30" t="s">
        <v>90</v>
      </c>
      <c r="AC86" s="30"/>
      <c r="AD86" s="30"/>
      <c r="AE86" s="30"/>
      <c r="AF86" s="30"/>
      <c r="AG86" s="30"/>
      <c r="AH86" s="30"/>
      <c r="AI86" s="30"/>
      <c r="AJ86" s="31" t="str">
        <f t="shared" si="6"/>
        <v>172,89</v>
      </c>
      <c r="AK86" s="34"/>
      <c r="AL86" s="31" t="str">
        <f t="shared" si="7"/>
        <v>71,46Ha</v>
      </c>
      <c r="AM86" s="34"/>
      <c r="AN86" s="34"/>
      <c r="AO86" s="34">
        <v>5507600000</v>
      </c>
      <c r="AP86" s="30"/>
      <c r="AQ86" s="30"/>
      <c r="AR86" s="30"/>
      <c r="AS86" s="30"/>
      <c r="AT86" s="30"/>
      <c r="AU86" s="30"/>
      <c r="AV86" s="35"/>
      <c r="AW86" s="34"/>
      <c r="AX86" s="35"/>
      <c r="AY86" s="34"/>
      <c r="AZ86" s="34"/>
      <c r="BA86" s="32">
        <f t="shared" si="8"/>
        <v>0</v>
      </c>
      <c r="BB86" s="30"/>
      <c r="BC86" s="30"/>
      <c r="BD86" s="30"/>
      <c r="BE86" s="30"/>
      <c r="BF86" s="30"/>
      <c r="BG86" s="30"/>
      <c r="BH86" s="30"/>
      <c r="BI86" s="30"/>
      <c r="BJ86" s="36"/>
      <c r="BK86" s="34"/>
      <c r="BL86" s="36"/>
      <c r="BM86" s="34"/>
      <c r="BN86" s="34"/>
      <c r="BO86" s="32">
        <f t="shared" si="9"/>
        <v>0</v>
      </c>
      <c r="BP86" s="30"/>
      <c r="BQ86" s="30"/>
      <c r="BR86" s="30"/>
      <c r="BS86" s="30"/>
      <c r="BT86" s="30"/>
      <c r="BU86" s="30"/>
      <c r="BV86" s="30"/>
      <c r="BW86" s="30"/>
      <c r="BX86" s="36"/>
      <c r="BY86" s="34"/>
      <c r="BZ86" s="36"/>
      <c r="CA86" s="34"/>
      <c r="CB86" s="34"/>
      <c r="CC86" s="32">
        <f t="shared" si="10"/>
        <v>0</v>
      </c>
      <c r="CD86" s="30"/>
      <c r="CE86" s="30"/>
      <c r="CF86" s="30"/>
      <c r="CG86" s="30"/>
      <c r="CH86" s="30"/>
      <c r="CI86" s="64"/>
      <c r="CJ86" s="64"/>
      <c r="CK86" s="64"/>
      <c r="CL86" s="64"/>
    </row>
    <row r="87" spans="2:90" ht="120" x14ac:dyDescent="0.25">
      <c r="B87" s="54" t="s">
        <v>842</v>
      </c>
      <c r="C87" s="54" t="s">
        <v>1101</v>
      </c>
      <c r="D87" s="67">
        <v>45428</v>
      </c>
      <c r="E87" s="54" t="s">
        <v>844</v>
      </c>
      <c r="F87" s="54" t="s">
        <v>185</v>
      </c>
      <c r="G87" s="30"/>
      <c r="H87" s="30" t="s">
        <v>86</v>
      </c>
      <c r="I87" s="35">
        <v>2525</v>
      </c>
      <c r="J87" s="30" t="s">
        <v>70</v>
      </c>
      <c r="K87" s="35">
        <v>1305</v>
      </c>
      <c r="L87" s="35"/>
      <c r="M87" s="30" t="s">
        <v>397</v>
      </c>
      <c r="N87" s="30"/>
      <c r="O87" s="30"/>
      <c r="P87" s="30"/>
      <c r="Q87" s="30"/>
      <c r="R87" s="30" t="s">
        <v>846</v>
      </c>
      <c r="S87" s="30" t="s">
        <v>847</v>
      </c>
      <c r="T87" s="30" t="s">
        <v>241</v>
      </c>
      <c r="U87" s="30" t="s">
        <v>1102</v>
      </c>
      <c r="V87" s="30" t="s">
        <v>92</v>
      </c>
      <c r="W87" s="30" t="s">
        <v>72</v>
      </c>
      <c r="X87" s="30" t="s">
        <v>85</v>
      </c>
      <c r="Y87" s="30" t="s">
        <v>73</v>
      </c>
      <c r="Z87" s="33">
        <v>45372</v>
      </c>
      <c r="AA87" s="33">
        <v>45373</v>
      </c>
      <c r="AB87" s="30" t="s">
        <v>90</v>
      </c>
      <c r="AC87" s="30"/>
      <c r="AD87" s="30"/>
      <c r="AE87" s="30"/>
      <c r="AF87" s="30"/>
      <c r="AG87" s="30"/>
      <c r="AH87" s="30"/>
      <c r="AI87" s="30"/>
      <c r="AJ87" s="31">
        <f t="shared" si="6"/>
        <v>2525</v>
      </c>
      <c r="AK87" s="34">
        <f>4797500000/AJ87</f>
        <v>1900000</v>
      </c>
      <c r="AL87" s="31">
        <f t="shared" si="7"/>
        <v>1305</v>
      </c>
      <c r="AM87" s="34">
        <f>2612300000/AL87</f>
        <v>2001762.4521072798</v>
      </c>
      <c r="AN87" s="34">
        <v>321989000</v>
      </c>
      <c r="AO87" s="51">
        <f>(AJ87*AK87)+(AL87*AM87)+AN87+(AJ88*AK88)+(AL88*AM88)+AN88+(AJ89*AK89)+(AL89*AM89)+AN89+(AJ90*AK90)+(AL90*AM90)+AN90</f>
        <v>64353433000</v>
      </c>
      <c r="AP87" s="30" t="s">
        <v>849</v>
      </c>
      <c r="AQ87" s="30" t="s">
        <v>86</v>
      </c>
      <c r="AR87" s="30"/>
      <c r="AS87" s="30"/>
      <c r="AT87" s="30"/>
      <c r="AU87" s="30"/>
      <c r="AV87" s="35">
        <v>1580</v>
      </c>
      <c r="AW87" s="34">
        <v>1917937</v>
      </c>
      <c r="AX87" s="35">
        <v>840</v>
      </c>
      <c r="AY87" s="34"/>
      <c r="AZ87" s="34">
        <v>5100000000</v>
      </c>
      <c r="BA87" s="32">
        <f t="shared" si="8"/>
        <v>3030340460</v>
      </c>
      <c r="BB87" s="30" t="s">
        <v>850</v>
      </c>
      <c r="BC87" s="30" t="s">
        <v>81</v>
      </c>
      <c r="BD87" s="30" t="s">
        <v>851</v>
      </c>
      <c r="BE87" s="30" t="s">
        <v>77</v>
      </c>
      <c r="BF87" s="30"/>
      <c r="BG87" s="30"/>
      <c r="BH87" s="30"/>
      <c r="BI87" s="30"/>
      <c r="BJ87" s="36">
        <v>1310</v>
      </c>
      <c r="BK87" s="34">
        <v>2442748</v>
      </c>
      <c r="BL87" s="36"/>
      <c r="BM87" s="34"/>
      <c r="BN87" s="34">
        <v>4200000000</v>
      </c>
      <c r="BO87" s="32">
        <f t="shared" si="9"/>
        <v>3199999880</v>
      </c>
      <c r="BP87" s="30" t="s">
        <v>852</v>
      </c>
      <c r="BQ87" s="30" t="s">
        <v>81</v>
      </c>
      <c r="BR87" s="30" t="s">
        <v>853</v>
      </c>
      <c r="BS87" s="30" t="s">
        <v>77</v>
      </c>
      <c r="BT87" s="30"/>
      <c r="BU87" s="30"/>
      <c r="BV87" s="30"/>
      <c r="BW87" s="30"/>
      <c r="BX87" s="36">
        <v>2500</v>
      </c>
      <c r="BY87" s="34">
        <v>2700000</v>
      </c>
      <c r="BZ87" s="36"/>
      <c r="CA87" s="34"/>
      <c r="CB87" s="34">
        <v>8750000000</v>
      </c>
      <c r="CC87" s="32">
        <f t="shared" si="10"/>
        <v>6750000000</v>
      </c>
      <c r="CD87" s="30" t="s">
        <v>854</v>
      </c>
      <c r="CE87" s="30" t="s">
        <v>81</v>
      </c>
      <c r="CF87" s="30" t="s">
        <v>855</v>
      </c>
      <c r="CG87" s="30"/>
      <c r="CH87" s="30"/>
      <c r="CI87" s="64"/>
      <c r="CJ87" s="64"/>
      <c r="CK87" s="64"/>
      <c r="CL87" s="64"/>
    </row>
    <row r="88" spans="2:90" ht="150" customHeight="1" x14ac:dyDescent="0.25">
      <c r="B88" s="57"/>
      <c r="C88" s="57"/>
      <c r="D88" s="68"/>
      <c r="E88" s="57"/>
      <c r="F88" s="57"/>
      <c r="G88" s="30"/>
      <c r="H88" s="30" t="s">
        <v>86</v>
      </c>
      <c r="I88" s="35">
        <v>2914</v>
      </c>
      <c r="J88" s="30" t="s">
        <v>70</v>
      </c>
      <c r="K88" s="35">
        <v>360</v>
      </c>
      <c r="L88" s="35"/>
      <c r="M88" s="30"/>
      <c r="N88" s="30"/>
      <c r="O88" s="30"/>
      <c r="P88" s="30"/>
      <c r="Q88" s="30"/>
      <c r="R88" s="30" t="s">
        <v>856</v>
      </c>
      <c r="S88" s="30" t="s">
        <v>857</v>
      </c>
      <c r="T88" s="30" t="s">
        <v>858</v>
      </c>
      <c r="U88" s="30" t="s">
        <v>260</v>
      </c>
      <c r="V88" s="30" t="s">
        <v>92</v>
      </c>
      <c r="W88" s="30" t="s">
        <v>72</v>
      </c>
      <c r="X88" s="30" t="s">
        <v>85</v>
      </c>
      <c r="Y88" s="30" t="s">
        <v>73</v>
      </c>
      <c r="Z88" s="33">
        <v>45372</v>
      </c>
      <c r="AA88" s="33">
        <v>45373</v>
      </c>
      <c r="AB88" s="30" t="s">
        <v>90</v>
      </c>
      <c r="AC88" s="30"/>
      <c r="AD88" s="30"/>
      <c r="AE88" s="30"/>
      <c r="AF88" s="30"/>
      <c r="AG88" s="30"/>
      <c r="AH88" s="30"/>
      <c r="AI88" s="30"/>
      <c r="AJ88" s="31">
        <f t="shared" si="6"/>
        <v>2914</v>
      </c>
      <c r="AK88" s="34">
        <f>9907600000/AJ88</f>
        <v>3400000</v>
      </c>
      <c r="AL88" s="31">
        <f t="shared" si="7"/>
        <v>360</v>
      </c>
      <c r="AM88" s="34"/>
      <c r="AN88" s="34"/>
      <c r="AO88" s="52"/>
      <c r="AP88" s="30" t="s">
        <v>859</v>
      </c>
      <c r="AQ88" s="30" t="s">
        <v>77</v>
      </c>
      <c r="AR88" s="30"/>
      <c r="AS88" s="30"/>
      <c r="AT88" s="30"/>
      <c r="AU88" s="30"/>
      <c r="AV88" s="35">
        <v>4241</v>
      </c>
      <c r="AW88" s="34">
        <v>3300000</v>
      </c>
      <c r="AX88" s="35"/>
      <c r="AY88" s="34"/>
      <c r="AZ88" s="34">
        <v>16964000000</v>
      </c>
      <c r="BA88" s="32">
        <f t="shared" si="8"/>
        <v>13995300000</v>
      </c>
      <c r="BB88" s="30" t="s">
        <v>860</v>
      </c>
      <c r="BC88" s="30" t="s">
        <v>81</v>
      </c>
      <c r="BD88" s="30" t="s">
        <v>861</v>
      </c>
      <c r="BE88" s="30" t="s">
        <v>77</v>
      </c>
      <c r="BF88" s="30"/>
      <c r="BG88" s="30"/>
      <c r="BH88" s="30"/>
      <c r="BI88" s="30"/>
      <c r="BJ88" s="36">
        <v>1710</v>
      </c>
      <c r="BK88" s="34">
        <v>4200000</v>
      </c>
      <c r="BL88" s="36"/>
      <c r="BM88" s="34"/>
      <c r="BN88" s="34">
        <v>8550000000</v>
      </c>
      <c r="BO88" s="32">
        <f t="shared" si="9"/>
        <v>7182000000</v>
      </c>
      <c r="BP88" s="30" t="s">
        <v>862</v>
      </c>
      <c r="BQ88" s="30" t="s">
        <v>81</v>
      </c>
      <c r="BR88" s="30" t="s">
        <v>863</v>
      </c>
      <c r="BS88" s="30" t="s">
        <v>77</v>
      </c>
      <c r="BT88" s="30"/>
      <c r="BU88" s="30"/>
      <c r="BV88" s="30"/>
      <c r="BW88" s="30"/>
      <c r="BX88" s="36">
        <v>960</v>
      </c>
      <c r="BY88" s="34">
        <v>4166667</v>
      </c>
      <c r="BZ88" s="36"/>
      <c r="CA88" s="34"/>
      <c r="CB88" s="34">
        <v>5000000000</v>
      </c>
      <c r="CC88" s="32">
        <f t="shared" si="10"/>
        <v>4000000320</v>
      </c>
      <c r="CD88" s="30" t="s">
        <v>864</v>
      </c>
      <c r="CE88" s="30" t="s">
        <v>81</v>
      </c>
      <c r="CF88" s="30" t="s">
        <v>855</v>
      </c>
      <c r="CG88" s="30"/>
      <c r="CH88" s="30"/>
      <c r="CI88" s="64"/>
      <c r="CJ88" s="64"/>
      <c r="CK88" s="64"/>
      <c r="CL88" s="64"/>
    </row>
    <row r="89" spans="2:90" ht="105" customHeight="1" x14ac:dyDescent="0.25">
      <c r="B89" s="57"/>
      <c r="C89" s="57"/>
      <c r="D89" s="68"/>
      <c r="E89" s="57"/>
      <c r="F89" s="57"/>
      <c r="G89" s="30"/>
      <c r="H89" s="30" t="s">
        <v>86</v>
      </c>
      <c r="I89" s="35">
        <v>6575</v>
      </c>
      <c r="J89" s="30" t="s">
        <v>70</v>
      </c>
      <c r="K89" s="35">
        <v>2592</v>
      </c>
      <c r="L89" s="35"/>
      <c r="M89" s="30" t="s">
        <v>397</v>
      </c>
      <c r="N89" s="30"/>
      <c r="O89" s="30"/>
      <c r="P89" s="30"/>
      <c r="Q89" s="30"/>
      <c r="R89" s="30" t="s">
        <v>1103</v>
      </c>
      <c r="S89" s="30" t="s">
        <v>1104</v>
      </c>
      <c r="T89" s="30" t="s">
        <v>867</v>
      </c>
      <c r="U89" s="30" t="s">
        <v>260</v>
      </c>
      <c r="V89" s="30" t="s">
        <v>92</v>
      </c>
      <c r="W89" s="30" t="s">
        <v>72</v>
      </c>
      <c r="X89" s="30" t="s">
        <v>85</v>
      </c>
      <c r="Y89" s="30" t="s">
        <v>73</v>
      </c>
      <c r="Z89" s="33">
        <v>45372</v>
      </c>
      <c r="AA89" s="33">
        <v>45373</v>
      </c>
      <c r="AB89" s="30" t="s">
        <v>90</v>
      </c>
      <c r="AC89" s="30"/>
      <c r="AD89" s="30"/>
      <c r="AE89" s="30"/>
      <c r="AF89" s="30"/>
      <c r="AG89" s="30"/>
      <c r="AH89" s="30"/>
      <c r="AI89" s="30"/>
      <c r="AJ89" s="31">
        <f t="shared" si="6"/>
        <v>6575</v>
      </c>
      <c r="AK89" s="34">
        <f>7890000000/AJ89</f>
        <v>1200000</v>
      </c>
      <c r="AL89" s="31">
        <f t="shared" si="7"/>
        <v>2592</v>
      </c>
      <c r="AM89" s="34">
        <f>5342200000/AL89</f>
        <v>2061033.950617284</v>
      </c>
      <c r="AN89" s="34">
        <v>451844000</v>
      </c>
      <c r="AO89" s="52"/>
      <c r="AP89" s="30" t="s">
        <v>868</v>
      </c>
      <c r="AQ89" s="30" t="s">
        <v>77</v>
      </c>
      <c r="AR89" s="30"/>
      <c r="AS89" s="30"/>
      <c r="AT89" s="30"/>
      <c r="AU89" s="30"/>
      <c r="AV89" s="35">
        <v>19920</v>
      </c>
      <c r="AW89" s="34">
        <v>712851</v>
      </c>
      <c r="AX89" s="35"/>
      <c r="AY89" s="34"/>
      <c r="AZ89" s="34">
        <v>15936000000</v>
      </c>
      <c r="BA89" s="32">
        <f t="shared" si="8"/>
        <v>14199991920</v>
      </c>
      <c r="BB89" s="30" t="s">
        <v>869</v>
      </c>
      <c r="BC89" s="30" t="s">
        <v>81</v>
      </c>
      <c r="BD89" s="30" t="s">
        <v>870</v>
      </c>
      <c r="BE89" s="30" t="s">
        <v>77</v>
      </c>
      <c r="BF89" s="30"/>
      <c r="BG89" s="30"/>
      <c r="BH89" s="30"/>
      <c r="BI89" s="30"/>
      <c r="BJ89" s="36">
        <v>9714</v>
      </c>
      <c r="BK89" s="34">
        <v>741198</v>
      </c>
      <c r="BL89" s="36"/>
      <c r="BM89" s="34"/>
      <c r="BN89" s="34">
        <v>771200000</v>
      </c>
      <c r="BO89" s="32">
        <f t="shared" si="9"/>
        <v>7199997372</v>
      </c>
      <c r="BP89" s="30" t="s">
        <v>871</v>
      </c>
      <c r="BQ89" s="30" t="s">
        <v>81</v>
      </c>
      <c r="BR89" s="30" t="s">
        <v>872</v>
      </c>
      <c r="BS89" s="30" t="s">
        <v>77</v>
      </c>
      <c r="BT89" s="30"/>
      <c r="BU89" s="30"/>
      <c r="BV89" s="30"/>
      <c r="BW89" s="30"/>
      <c r="BX89" s="36">
        <v>1598</v>
      </c>
      <c r="BY89" s="34">
        <v>1251564</v>
      </c>
      <c r="BZ89" s="36"/>
      <c r="CA89" s="34"/>
      <c r="CB89" s="34">
        <v>2237200000</v>
      </c>
      <c r="CC89" s="32">
        <f t="shared" si="10"/>
        <v>1999999272</v>
      </c>
      <c r="CD89" s="30" t="s">
        <v>873</v>
      </c>
      <c r="CE89" s="30" t="s">
        <v>81</v>
      </c>
      <c r="CF89" s="30" t="s">
        <v>855</v>
      </c>
      <c r="CG89" s="30"/>
      <c r="CH89" s="30"/>
      <c r="CI89" s="64"/>
      <c r="CJ89" s="64"/>
      <c r="CK89" s="64"/>
      <c r="CL89" s="64"/>
    </row>
    <row r="90" spans="2:90" ht="120" customHeight="1" x14ac:dyDescent="0.25">
      <c r="B90" s="58"/>
      <c r="C90" s="58"/>
      <c r="D90" s="69"/>
      <c r="E90" s="58"/>
      <c r="F90" s="58"/>
      <c r="G90" s="30"/>
      <c r="H90" s="30" t="s">
        <v>77</v>
      </c>
      <c r="I90" s="35">
        <v>14680</v>
      </c>
      <c r="J90" s="30" t="s">
        <v>70</v>
      </c>
      <c r="K90" s="35"/>
      <c r="L90" s="35"/>
      <c r="M90" s="30"/>
      <c r="N90" s="30"/>
      <c r="O90" s="30"/>
      <c r="P90" s="30"/>
      <c r="Q90" s="30"/>
      <c r="R90" s="30" t="s">
        <v>874</v>
      </c>
      <c r="S90" s="30" t="s">
        <v>875</v>
      </c>
      <c r="T90" s="30" t="s">
        <v>251</v>
      </c>
      <c r="U90" s="30" t="s">
        <v>260</v>
      </c>
      <c r="V90" s="30" t="s">
        <v>92</v>
      </c>
      <c r="W90" s="30" t="s">
        <v>72</v>
      </c>
      <c r="X90" s="30" t="s">
        <v>85</v>
      </c>
      <c r="Y90" s="30" t="s">
        <v>73</v>
      </c>
      <c r="Z90" s="33">
        <v>45372</v>
      </c>
      <c r="AA90" s="33">
        <v>45373</v>
      </c>
      <c r="AB90" s="30" t="s">
        <v>90</v>
      </c>
      <c r="AC90" s="30"/>
      <c r="AD90" s="30"/>
      <c r="AE90" s="30"/>
      <c r="AF90" s="30"/>
      <c r="AG90" s="30"/>
      <c r="AH90" s="30"/>
      <c r="AI90" s="30"/>
      <c r="AJ90" s="31">
        <f t="shared" si="6"/>
        <v>14680</v>
      </c>
      <c r="AK90" s="34">
        <f>33030000000/AJ90</f>
        <v>2250000</v>
      </c>
      <c r="AL90" s="31">
        <f t="shared" si="7"/>
        <v>0</v>
      </c>
      <c r="AM90" s="34"/>
      <c r="AN90" s="34"/>
      <c r="AO90" s="53"/>
      <c r="AP90" s="30" t="s">
        <v>876</v>
      </c>
      <c r="AQ90" s="30" t="s">
        <v>86</v>
      </c>
      <c r="AR90" s="30"/>
      <c r="AS90" s="30"/>
      <c r="AT90" s="30"/>
      <c r="AU90" s="30"/>
      <c r="AV90" s="35">
        <v>1495</v>
      </c>
      <c r="AW90" s="34">
        <v>2428321</v>
      </c>
      <c r="AX90" s="35">
        <v>1200</v>
      </c>
      <c r="AY90" s="34"/>
      <c r="AZ90" s="34">
        <v>5681000000</v>
      </c>
      <c r="BA90" s="32">
        <f t="shared" si="8"/>
        <v>3630339895</v>
      </c>
      <c r="BB90" s="30" t="s">
        <v>877</v>
      </c>
      <c r="BC90" s="30" t="s">
        <v>81</v>
      </c>
      <c r="BD90" s="30" t="s">
        <v>876</v>
      </c>
      <c r="BE90" s="30" t="s">
        <v>77</v>
      </c>
      <c r="BF90" s="30"/>
      <c r="BG90" s="30"/>
      <c r="BH90" s="30"/>
      <c r="BI90" s="30"/>
      <c r="BJ90" s="36">
        <v>3672</v>
      </c>
      <c r="BK90" s="34">
        <v>1770153</v>
      </c>
      <c r="BL90" s="36"/>
      <c r="BM90" s="34"/>
      <c r="BN90" s="34">
        <v>7160400000</v>
      </c>
      <c r="BO90" s="32">
        <f t="shared" si="9"/>
        <v>6500001816</v>
      </c>
      <c r="BP90" s="30" t="s">
        <v>878</v>
      </c>
      <c r="BQ90" s="30" t="s">
        <v>81</v>
      </c>
      <c r="BR90" s="30" t="s">
        <v>879</v>
      </c>
      <c r="BS90" s="30" t="s">
        <v>86</v>
      </c>
      <c r="BT90" s="30"/>
      <c r="BU90" s="30"/>
      <c r="BV90" s="30"/>
      <c r="BW90" s="30"/>
      <c r="BX90" s="36">
        <v>1495</v>
      </c>
      <c r="BY90" s="34">
        <v>2143370</v>
      </c>
      <c r="BZ90" s="36">
        <v>1080</v>
      </c>
      <c r="CA90" s="34"/>
      <c r="CB90" s="34">
        <v>5980000000</v>
      </c>
      <c r="CC90" s="32">
        <f t="shared" si="10"/>
        <v>3204338150</v>
      </c>
      <c r="CD90" s="30" t="s">
        <v>880</v>
      </c>
      <c r="CE90" s="30" t="s">
        <v>81</v>
      </c>
      <c r="CF90" s="30" t="s">
        <v>855</v>
      </c>
      <c r="CG90" s="30"/>
      <c r="CH90" s="30"/>
      <c r="CI90" s="64"/>
      <c r="CJ90" s="64"/>
      <c r="CK90" s="64"/>
      <c r="CL90" s="64"/>
    </row>
    <row r="91" spans="2:90" ht="135" x14ac:dyDescent="0.25">
      <c r="B91" s="54" t="s">
        <v>1105</v>
      </c>
      <c r="C91" s="54" t="s">
        <v>1106</v>
      </c>
      <c r="D91" s="67">
        <v>45428</v>
      </c>
      <c r="E91" s="54" t="s">
        <v>1107</v>
      </c>
      <c r="F91" s="54" t="s">
        <v>93</v>
      </c>
      <c r="G91" s="30"/>
      <c r="H91" s="30" t="s">
        <v>97</v>
      </c>
      <c r="I91" s="35">
        <v>570</v>
      </c>
      <c r="J91" s="30" t="s">
        <v>70</v>
      </c>
      <c r="K91" s="35">
        <v>261</v>
      </c>
      <c r="L91" s="35"/>
      <c r="M91" s="30"/>
      <c r="N91" s="30"/>
      <c r="O91" s="30"/>
      <c r="P91" s="30"/>
      <c r="Q91" s="30"/>
      <c r="R91" s="30" t="s">
        <v>1108</v>
      </c>
      <c r="S91" s="30" t="s">
        <v>618</v>
      </c>
      <c r="T91" s="30" t="s">
        <v>193</v>
      </c>
      <c r="U91" s="30" t="s">
        <v>124</v>
      </c>
      <c r="V91" s="30" t="s">
        <v>92</v>
      </c>
      <c r="W91" s="30" t="s">
        <v>72</v>
      </c>
      <c r="X91" s="30" t="s">
        <v>85</v>
      </c>
      <c r="Y91" s="30" t="s">
        <v>73</v>
      </c>
      <c r="Z91" s="33">
        <v>45418</v>
      </c>
      <c r="AA91" s="33">
        <v>45418</v>
      </c>
      <c r="AB91" s="30" t="s">
        <v>90</v>
      </c>
      <c r="AC91" s="30"/>
      <c r="AD91" s="30"/>
      <c r="AE91" s="30"/>
      <c r="AF91" s="30"/>
      <c r="AG91" s="30"/>
      <c r="AH91" s="30"/>
      <c r="AI91" s="30"/>
      <c r="AJ91" s="31">
        <f t="shared" si="6"/>
        <v>570</v>
      </c>
      <c r="AK91" s="34">
        <f>2280000000/AJ91</f>
        <v>4000000</v>
      </c>
      <c r="AL91" s="31">
        <f t="shared" si="7"/>
        <v>261</v>
      </c>
      <c r="AM91" s="34">
        <f>228400000/AL91</f>
        <v>875095.78544061305</v>
      </c>
      <c r="AN91" s="34"/>
      <c r="AO91" s="51">
        <f>(AJ91*AK91)+(AL91*AM91)+AN91+(AJ92*AK92)+(AL92*AM92)+AN92+(AJ93*AK93)+(AL93*AM93)+AN93</f>
        <v>6082840000</v>
      </c>
      <c r="AP91" s="30" t="s">
        <v>1109</v>
      </c>
      <c r="AQ91" s="30" t="s">
        <v>83</v>
      </c>
      <c r="AR91" s="30"/>
      <c r="AS91" s="30"/>
      <c r="AT91" s="30"/>
      <c r="AU91" s="30"/>
      <c r="AV91" s="35">
        <v>81</v>
      </c>
      <c r="AW91" s="34">
        <v>4565185</v>
      </c>
      <c r="AX91" s="35">
        <v>75</v>
      </c>
      <c r="AY91" s="34"/>
      <c r="AZ91" s="34">
        <v>650000000</v>
      </c>
      <c r="BA91" s="32">
        <f t="shared" si="8"/>
        <v>369779985</v>
      </c>
      <c r="BB91" s="30" t="s">
        <v>1110</v>
      </c>
      <c r="BC91" s="30" t="s">
        <v>81</v>
      </c>
      <c r="BD91" s="30" t="s">
        <v>1109</v>
      </c>
      <c r="BE91" s="30" t="s">
        <v>94</v>
      </c>
      <c r="BF91" s="30"/>
      <c r="BG91" s="30"/>
      <c r="BH91" s="30"/>
      <c r="BI91" s="30"/>
      <c r="BJ91" s="36">
        <v>100</v>
      </c>
      <c r="BK91" s="34">
        <v>4366680</v>
      </c>
      <c r="BL91" s="36">
        <v>90</v>
      </c>
      <c r="BM91" s="34"/>
      <c r="BN91" s="34">
        <v>800000000</v>
      </c>
      <c r="BO91" s="32">
        <f t="shared" si="9"/>
        <v>436668000</v>
      </c>
      <c r="BP91" s="30" t="s">
        <v>1111</v>
      </c>
      <c r="BQ91" s="30" t="s">
        <v>81</v>
      </c>
      <c r="BR91" s="30" t="s">
        <v>1112</v>
      </c>
      <c r="BS91" s="30" t="s">
        <v>83</v>
      </c>
      <c r="BT91" s="30"/>
      <c r="BU91" s="30"/>
      <c r="BV91" s="30"/>
      <c r="BW91" s="30"/>
      <c r="BX91" s="36">
        <v>155</v>
      </c>
      <c r="BY91" s="34">
        <v>3774968</v>
      </c>
      <c r="BZ91" s="36">
        <v>55</v>
      </c>
      <c r="CA91" s="34"/>
      <c r="CB91" s="34">
        <v>700000000</v>
      </c>
      <c r="CC91" s="32">
        <f t="shared" si="10"/>
        <v>585120040</v>
      </c>
      <c r="CD91" s="30" t="s">
        <v>1113</v>
      </c>
      <c r="CE91" s="30" t="s">
        <v>81</v>
      </c>
      <c r="CF91" s="30" t="s">
        <v>294</v>
      </c>
      <c r="CG91" s="30"/>
      <c r="CH91" s="30"/>
      <c r="CI91" s="64"/>
      <c r="CJ91" s="64"/>
      <c r="CK91" s="64"/>
      <c r="CL91" s="64"/>
    </row>
    <row r="92" spans="2:90" ht="210" customHeight="1" x14ac:dyDescent="0.25">
      <c r="B92" s="57"/>
      <c r="C92" s="57"/>
      <c r="D92" s="68"/>
      <c r="E92" s="57"/>
      <c r="F92" s="57"/>
      <c r="G92" s="30"/>
      <c r="H92" s="30" t="s">
        <v>148</v>
      </c>
      <c r="I92" s="35">
        <v>438</v>
      </c>
      <c r="J92" s="30" t="s">
        <v>70</v>
      </c>
      <c r="K92" s="35">
        <v>405</v>
      </c>
      <c r="L92" s="35"/>
      <c r="M92" s="30"/>
      <c r="N92" s="30"/>
      <c r="O92" s="30"/>
      <c r="P92" s="30"/>
      <c r="Q92" s="30"/>
      <c r="R92" s="30" t="s">
        <v>1114</v>
      </c>
      <c r="S92" s="30" t="s">
        <v>1115</v>
      </c>
      <c r="T92" s="30" t="s">
        <v>299</v>
      </c>
      <c r="U92" s="30" t="s">
        <v>124</v>
      </c>
      <c r="V92" s="30" t="s">
        <v>92</v>
      </c>
      <c r="W92" s="30" t="s">
        <v>72</v>
      </c>
      <c r="X92" s="30" t="s">
        <v>85</v>
      </c>
      <c r="Y92" s="30" t="s">
        <v>73</v>
      </c>
      <c r="Z92" s="33">
        <v>45418</v>
      </c>
      <c r="AA92" s="33">
        <v>45418</v>
      </c>
      <c r="AB92" s="30" t="s">
        <v>90</v>
      </c>
      <c r="AC92" s="30"/>
      <c r="AD92" s="30"/>
      <c r="AE92" s="30"/>
      <c r="AF92" s="30"/>
      <c r="AG92" s="30"/>
      <c r="AH92" s="30"/>
      <c r="AI92" s="30"/>
      <c r="AJ92" s="31">
        <f t="shared" si="6"/>
        <v>438</v>
      </c>
      <c r="AK92" s="34">
        <f>1138800000/AJ92</f>
        <v>2600000</v>
      </c>
      <c r="AL92" s="31">
        <f t="shared" si="7"/>
        <v>405</v>
      </c>
      <c r="AM92" s="34">
        <f>1011500000/AL92</f>
        <v>2497530.8641975308</v>
      </c>
      <c r="AN92" s="34"/>
      <c r="AO92" s="52"/>
      <c r="AP92" s="30" t="s">
        <v>1116</v>
      </c>
      <c r="AQ92" s="30" t="s">
        <v>1117</v>
      </c>
      <c r="AR92" s="30"/>
      <c r="AS92" s="30"/>
      <c r="AT92" s="30"/>
      <c r="AU92" s="30"/>
      <c r="AV92" s="35">
        <v>635</v>
      </c>
      <c r="AW92" s="34">
        <v>2600000</v>
      </c>
      <c r="AX92" s="35"/>
      <c r="AY92" s="34"/>
      <c r="AZ92" s="34">
        <v>1905000000</v>
      </c>
      <c r="BA92" s="32">
        <f t="shared" si="8"/>
        <v>1651000000</v>
      </c>
      <c r="BB92" s="30" t="s">
        <v>1118</v>
      </c>
      <c r="BC92" s="30" t="s">
        <v>81</v>
      </c>
      <c r="BD92" s="30" t="s">
        <v>1116</v>
      </c>
      <c r="BE92" s="30" t="s">
        <v>83</v>
      </c>
      <c r="BF92" s="30"/>
      <c r="BG92" s="30"/>
      <c r="BH92" s="30"/>
      <c r="BI92" s="30"/>
      <c r="BJ92" s="36">
        <v>100</v>
      </c>
      <c r="BK92" s="34">
        <v>2671238</v>
      </c>
      <c r="BL92" s="36">
        <v>65</v>
      </c>
      <c r="BM92" s="34"/>
      <c r="BN92" s="34">
        <v>450000000</v>
      </c>
      <c r="BO92" s="32">
        <f t="shared" si="9"/>
        <v>267123800</v>
      </c>
      <c r="BP92" s="30" t="s">
        <v>1119</v>
      </c>
      <c r="BQ92" s="30" t="s">
        <v>81</v>
      </c>
      <c r="BR92" s="30" t="s">
        <v>1120</v>
      </c>
      <c r="BS92" s="30" t="s">
        <v>77</v>
      </c>
      <c r="BT92" s="30"/>
      <c r="BU92" s="30"/>
      <c r="BV92" s="30"/>
      <c r="BW92" s="30"/>
      <c r="BX92" s="36">
        <v>185</v>
      </c>
      <c r="BY92" s="34">
        <v>3027027</v>
      </c>
      <c r="BZ92" s="36"/>
      <c r="CA92" s="34"/>
      <c r="CB92" s="34">
        <v>700000000</v>
      </c>
      <c r="CC92" s="32">
        <f t="shared" si="10"/>
        <v>559999995</v>
      </c>
      <c r="CD92" s="30" t="s">
        <v>1121</v>
      </c>
      <c r="CE92" s="30" t="s">
        <v>81</v>
      </c>
      <c r="CF92" s="30" t="s">
        <v>294</v>
      </c>
      <c r="CG92" s="30"/>
      <c r="CH92" s="30"/>
      <c r="CI92" s="64"/>
      <c r="CJ92" s="64"/>
      <c r="CK92" s="64"/>
      <c r="CL92" s="64"/>
    </row>
    <row r="93" spans="2:90" ht="120" x14ac:dyDescent="0.25">
      <c r="B93" s="58"/>
      <c r="C93" s="58"/>
      <c r="D93" s="69"/>
      <c r="E93" s="58"/>
      <c r="F93" s="58"/>
      <c r="G93" s="30"/>
      <c r="H93" s="30" t="s">
        <v>113</v>
      </c>
      <c r="I93" s="35">
        <v>214</v>
      </c>
      <c r="J93" s="30" t="s">
        <v>70</v>
      </c>
      <c r="K93" s="35">
        <v>264</v>
      </c>
      <c r="L93" s="35"/>
      <c r="M93" s="30"/>
      <c r="N93" s="30"/>
      <c r="O93" s="30"/>
      <c r="P93" s="30"/>
      <c r="Q93" s="30"/>
      <c r="R93" s="30" t="s">
        <v>1122</v>
      </c>
      <c r="S93" s="30" t="s">
        <v>1115</v>
      </c>
      <c r="T93" s="30" t="s">
        <v>299</v>
      </c>
      <c r="U93" s="30" t="s">
        <v>124</v>
      </c>
      <c r="V93" s="30" t="s">
        <v>92</v>
      </c>
      <c r="W93" s="30" t="s">
        <v>72</v>
      </c>
      <c r="X93" s="30" t="s">
        <v>85</v>
      </c>
      <c r="Y93" s="30" t="s">
        <v>73</v>
      </c>
      <c r="Z93" s="33">
        <v>45418</v>
      </c>
      <c r="AA93" s="33">
        <v>45418</v>
      </c>
      <c r="AB93" s="30" t="s">
        <v>90</v>
      </c>
      <c r="AC93" s="30"/>
      <c r="AD93" s="30"/>
      <c r="AE93" s="30"/>
      <c r="AF93" s="30"/>
      <c r="AG93" s="30"/>
      <c r="AH93" s="30"/>
      <c r="AI93" s="30"/>
      <c r="AJ93" s="31">
        <f t="shared" si="6"/>
        <v>214</v>
      </c>
      <c r="AK93" s="34">
        <f>569240000/AJ93</f>
        <v>2660000</v>
      </c>
      <c r="AL93" s="31">
        <f t="shared" si="7"/>
        <v>264</v>
      </c>
      <c r="AM93" s="34">
        <f>854900000/AL93</f>
        <v>3238257.5757575757</v>
      </c>
      <c r="AN93" s="34"/>
      <c r="AO93" s="53"/>
      <c r="AP93" s="30" t="s">
        <v>1116</v>
      </c>
      <c r="AQ93" s="30" t="s">
        <v>1117</v>
      </c>
      <c r="AR93" s="30"/>
      <c r="AS93" s="30"/>
      <c r="AT93" s="30"/>
      <c r="AU93" s="30"/>
      <c r="AV93" s="35">
        <v>635</v>
      </c>
      <c r="AW93" s="34">
        <v>2600000</v>
      </c>
      <c r="AX93" s="35"/>
      <c r="AY93" s="34"/>
      <c r="AZ93" s="34">
        <v>1905000000</v>
      </c>
      <c r="BA93" s="32">
        <f t="shared" si="8"/>
        <v>1651000000</v>
      </c>
      <c r="BB93" s="30" t="s">
        <v>1118</v>
      </c>
      <c r="BC93" s="30" t="s">
        <v>81</v>
      </c>
      <c r="BD93" s="30" t="s">
        <v>1116</v>
      </c>
      <c r="BE93" s="30" t="s">
        <v>83</v>
      </c>
      <c r="BF93" s="30"/>
      <c r="BG93" s="30"/>
      <c r="BH93" s="30"/>
      <c r="BI93" s="30"/>
      <c r="BJ93" s="36">
        <v>100</v>
      </c>
      <c r="BK93" s="34">
        <v>2671238</v>
      </c>
      <c r="BL93" s="36">
        <v>65</v>
      </c>
      <c r="BM93" s="34"/>
      <c r="BN93" s="34">
        <v>450000000</v>
      </c>
      <c r="BO93" s="32">
        <f t="shared" si="9"/>
        <v>267123800</v>
      </c>
      <c r="BP93" s="30" t="s">
        <v>1119</v>
      </c>
      <c r="BQ93" s="30" t="s">
        <v>81</v>
      </c>
      <c r="BR93" s="30" t="s">
        <v>1120</v>
      </c>
      <c r="BS93" s="30" t="s">
        <v>77</v>
      </c>
      <c r="BT93" s="30"/>
      <c r="BU93" s="30"/>
      <c r="BV93" s="30"/>
      <c r="BW93" s="30"/>
      <c r="BX93" s="36">
        <v>185</v>
      </c>
      <c r="BY93" s="34">
        <v>3027027</v>
      </c>
      <c r="BZ93" s="36"/>
      <c r="CA93" s="34"/>
      <c r="CB93" s="34">
        <v>700000000</v>
      </c>
      <c r="CC93" s="32">
        <f t="shared" si="10"/>
        <v>559999995</v>
      </c>
      <c r="CD93" s="30" t="s">
        <v>1121</v>
      </c>
      <c r="CE93" s="30" t="s">
        <v>81</v>
      </c>
      <c r="CF93" s="30" t="s">
        <v>294</v>
      </c>
      <c r="CG93" s="30"/>
      <c r="CH93" s="30"/>
      <c r="CI93" s="64"/>
      <c r="CJ93" s="64"/>
      <c r="CK93" s="64"/>
      <c r="CL93" s="64"/>
    </row>
    <row r="94" spans="2:90" ht="90" x14ac:dyDescent="0.25">
      <c r="B94" s="30" t="s">
        <v>1123</v>
      </c>
      <c r="C94" s="30" t="s">
        <v>1124</v>
      </c>
      <c r="D94" s="33">
        <v>45433</v>
      </c>
      <c r="E94" s="30" t="s">
        <v>1125</v>
      </c>
      <c r="F94" s="30" t="s">
        <v>1125</v>
      </c>
      <c r="G94" s="30"/>
      <c r="H94" s="30" t="s">
        <v>148</v>
      </c>
      <c r="I94" s="35">
        <v>12000</v>
      </c>
      <c r="J94" s="30" t="s">
        <v>70</v>
      </c>
      <c r="K94" s="35">
        <v>2424</v>
      </c>
      <c r="L94" s="35"/>
      <c r="M94" s="30" t="s">
        <v>397</v>
      </c>
      <c r="N94" s="30"/>
      <c r="O94" s="30"/>
      <c r="P94" s="30"/>
      <c r="Q94" s="30"/>
      <c r="R94" s="30" t="s">
        <v>1126</v>
      </c>
      <c r="S94" s="30" t="s">
        <v>1127</v>
      </c>
      <c r="T94" s="30" t="s">
        <v>1128</v>
      </c>
      <c r="U94" s="30" t="s">
        <v>1129</v>
      </c>
      <c r="V94" s="30" t="s">
        <v>288</v>
      </c>
      <c r="W94" s="30" t="s">
        <v>72</v>
      </c>
      <c r="X94" s="30" t="s">
        <v>131</v>
      </c>
      <c r="Y94" s="30" t="s">
        <v>73</v>
      </c>
      <c r="Z94" s="33">
        <v>45387</v>
      </c>
      <c r="AA94" s="33">
        <v>45388</v>
      </c>
      <c r="AB94" s="30" t="s">
        <v>90</v>
      </c>
      <c r="AC94" s="30"/>
      <c r="AD94" s="30"/>
      <c r="AE94" s="30"/>
      <c r="AF94" s="30"/>
      <c r="AG94" s="30"/>
      <c r="AH94" s="30"/>
      <c r="AI94" s="30"/>
      <c r="AJ94" s="31">
        <f t="shared" si="6"/>
        <v>12000</v>
      </c>
      <c r="AK94" s="34">
        <f>7920000000/AJ94</f>
        <v>660000</v>
      </c>
      <c r="AL94" s="31">
        <f t="shared" si="7"/>
        <v>2424</v>
      </c>
      <c r="AM94" s="34">
        <f>4250000000/AL94</f>
        <v>1753300.3300330034</v>
      </c>
      <c r="AN94" s="34">
        <v>400990000</v>
      </c>
      <c r="AO94" s="34">
        <f t="shared" ref="AO94:AO149" si="11">(AJ94*AK94)+(AL94*AM94)+AN94</f>
        <v>12570990000</v>
      </c>
      <c r="AP94" s="30" t="s">
        <v>1130</v>
      </c>
      <c r="AQ94" s="30" t="s">
        <v>97</v>
      </c>
      <c r="AR94" s="30"/>
      <c r="AS94" s="30"/>
      <c r="AT94" s="30"/>
      <c r="AU94" s="30"/>
      <c r="AV94" s="35">
        <v>14244</v>
      </c>
      <c r="AW94" s="34">
        <v>652064</v>
      </c>
      <c r="AX94" s="35">
        <v>5000</v>
      </c>
      <c r="AY94" s="34"/>
      <c r="AZ94" s="34">
        <v>15000000000</v>
      </c>
      <c r="BA94" s="32">
        <f t="shared" si="8"/>
        <v>9287999616</v>
      </c>
      <c r="BB94" s="30" t="s">
        <v>1131</v>
      </c>
      <c r="BC94" s="30" t="s">
        <v>81</v>
      </c>
      <c r="BD94" s="30" t="s">
        <v>1130</v>
      </c>
      <c r="BE94" s="30" t="s">
        <v>77</v>
      </c>
      <c r="BF94" s="30"/>
      <c r="BG94" s="30"/>
      <c r="BH94" s="30"/>
      <c r="BI94" s="30"/>
      <c r="BJ94" s="36">
        <v>16000</v>
      </c>
      <c r="BK94" s="34">
        <v>450000</v>
      </c>
      <c r="BL94" s="36"/>
      <c r="BM94" s="34"/>
      <c r="BN94" s="34">
        <v>8000000000</v>
      </c>
      <c r="BO94" s="32">
        <f t="shared" si="9"/>
        <v>7200000000</v>
      </c>
      <c r="BP94" s="30" t="s">
        <v>1132</v>
      </c>
      <c r="BQ94" s="30" t="s">
        <v>81</v>
      </c>
      <c r="BR94" s="30" t="s">
        <v>1130</v>
      </c>
      <c r="BS94" s="30" t="s">
        <v>77</v>
      </c>
      <c r="BT94" s="30"/>
      <c r="BU94" s="30"/>
      <c r="BV94" s="30"/>
      <c r="BW94" s="30"/>
      <c r="BX94" s="36">
        <v>4000</v>
      </c>
      <c r="BY94" s="34">
        <v>630000</v>
      </c>
      <c r="BZ94" s="36"/>
      <c r="CA94" s="34"/>
      <c r="CB94" s="34">
        <v>3000000000</v>
      </c>
      <c r="CC94" s="32">
        <f t="shared" si="10"/>
        <v>2520000000</v>
      </c>
      <c r="CD94" s="30" t="s">
        <v>1133</v>
      </c>
      <c r="CE94" s="30" t="s">
        <v>81</v>
      </c>
      <c r="CF94" s="30" t="s">
        <v>196</v>
      </c>
      <c r="CG94" s="30"/>
      <c r="CH94" s="30"/>
      <c r="CI94" s="64"/>
      <c r="CJ94" s="64"/>
      <c r="CK94" s="64"/>
      <c r="CL94" s="64"/>
    </row>
    <row r="95" spans="2:90" ht="150" customHeight="1" x14ac:dyDescent="0.25">
      <c r="B95" s="30" t="s">
        <v>1134</v>
      </c>
      <c r="C95" s="30" t="s">
        <v>1135</v>
      </c>
      <c r="D95" s="33">
        <v>45433</v>
      </c>
      <c r="E95" s="30" t="s">
        <v>1125</v>
      </c>
      <c r="F95" s="30" t="s">
        <v>1125</v>
      </c>
      <c r="G95" s="30"/>
      <c r="H95" s="30" t="s">
        <v>148</v>
      </c>
      <c r="I95" s="35">
        <v>6970</v>
      </c>
      <c r="J95" s="30" t="s">
        <v>70</v>
      </c>
      <c r="K95" s="35">
        <v>4493</v>
      </c>
      <c r="L95" s="35"/>
      <c r="M95" s="30" t="s">
        <v>397</v>
      </c>
      <c r="N95" s="30"/>
      <c r="O95" s="30"/>
      <c r="P95" s="30"/>
      <c r="Q95" s="30"/>
      <c r="R95" s="30" t="s">
        <v>1126</v>
      </c>
      <c r="S95" s="30" t="s">
        <v>1127</v>
      </c>
      <c r="T95" s="30" t="s">
        <v>1128</v>
      </c>
      <c r="U95" s="30" t="s">
        <v>1129</v>
      </c>
      <c r="V95" s="30" t="s">
        <v>288</v>
      </c>
      <c r="W95" s="30" t="s">
        <v>72</v>
      </c>
      <c r="X95" s="30" t="s">
        <v>131</v>
      </c>
      <c r="Y95" s="30" t="s">
        <v>73</v>
      </c>
      <c r="Z95" s="33">
        <v>45387</v>
      </c>
      <c r="AA95" s="33">
        <v>45388</v>
      </c>
      <c r="AB95" s="30" t="s">
        <v>90</v>
      </c>
      <c r="AC95" s="30"/>
      <c r="AD95" s="30"/>
      <c r="AE95" s="30"/>
      <c r="AF95" s="30"/>
      <c r="AG95" s="30"/>
      <c r="AH95" s="30"/>
      <c r="AI95" s="30"/>
      <c r="AJ95" s="31">
        <f t="shared" si="6"/>
        <v>6970</v>
      </c>
      <c r="AK95" s="34">
        <f>4948700000/AJ95</f>
        <v>710000</v>
      </c>
      <c r="AL95" s="31">
        <f t="shared" si="7"/>
        <v>4493</v>
      </c>
      <c r="AM95" s="34">
        <f>8573400000/AL95</f>
        <v>1908168.2617404852</v>
      </c>
      <c r="AN95" s="34">
        <v>398670000</v>
      </c>
      <c r="AO95" s="34">
        <f t="shared" si="11"/>
        <v>13920770000</v>
      </c>
      <c r="AP95" s="30" t="s">
        <v>1130</v>
      </c>
      <c r="AQ95" s="30" t="s">
        <v>97</v>
      </c>
      <c r="AR95" s="30"/>
      <c r="AS95" s="30"/>
      <c r="AT95" s="30"/>
      <c r="AU95" s="30"/>
      <c r="AV95" s="35">
        <v>14244</v>
      </c>
      <c r="AW95" s="34">
        <v>652064</v>
      </c>
      <c r="AX95" s="35">
        <v>5000</v>
      </c>
      <c r="AY95" s="34"/>
      <c r="AZ95" s="34">
        <v>15000000000</v>
      </c>
      <c r="BA95" s="32">
        <f t="shared" si="8"/>
        <v>9287999616</v>
      </c>
      <c r="BB95" s="30" t="s">
        <v>1131</v>
      </c>
      <c r="BC95" s="30" t="s">
        <v>81</v>
      </c>
      <c r="BD95" s="30" t="s">
        <v>1130</v>
      </c>
      <c r="BE95" s="30" t="s">
        <v>77</v>
      </c>
      <c r="BF95" s="30"/>
      <c r="BG95" s="30"/>
      <c r="BH95" s="30"/>
      <c r="BI95" s="30"/>
      <c r="BJ95" s="36">
        <v>16000</v>
      </c>
      <c r="BK95" s="34">
        <v>450000</v>
      </c>
      <c r="BL95" s="36"/>
      <c r="BM95" s="34"/>
      <c r="BN95" s="34">
        <v>8000000000</v>
      </c>
      <c r="BO95" s="32">
        <f t="shared" si="9"/>
        <v>7200000000</v>
      </c>
      <c r="BP95" s="30" t="s">
        <v>1132</v>
      </c>
      <c r="BQ95" s="30" t="s">
        <v>81</v>
      </c>
      <c r="BR95" s="30" t="s">
        <v>1130</v>
      </c>
      <c r="BS95" s="30" t="s">
        <v>77</v>
      </c>
      <c r="BT95" s="30"/>
      <c r="BU95" s="30"/>
      <c r="BV95" s="30"/>
      <c r="BW95" s="30"/>
      <c r="BX95" s="36">
        <v>4000</v>
      </c>
      <c r="BY95" s="34">
        <v>670000</v>
      </c>
      <c r="BZ95" s="36"/>
      <c r="CA95" s="34"/>
      <c r="CB95" s="34">
        <v>3000000000</v>
      </c>
      <c r="CC95" s="32">
        <f t="shared" si="10"/>
        <v>2680000000</v>
      </c>
      <c r="CD95" s="30" t="s">
        <v>1133</v>
      </c>
      <c r="CE95" s="30" t="s">
        <v>81</v>
      </c>
      <c r="CF95" s="30" t="s">
        <v>196</v>
      </c>
      <c r="CG95" s="30"/>
      <c r="CH95" s="30"/>
      <c r="CI95" s="64"/>
      <c r="CJ95" s="64"/>
      <c r="CK95" s="64"/>
      <c r="CL95" s="64"/>
    </row>
    <row r="96" spans="2:90" ht="210" customHeight="1" x14ac:dyDescent="0.25">
      <c r="B96" s="30" t="s">
        <v>1136</v>
      </c>
      <c r="C96" s="30" t="s">
        <v>1137</v>
      </c>
      <c r="D96" s="33">
        <v>45442</v>
      </c>
      <c r="E96" s="30" t="s">
        <v>1138</v>
      </c>
      <c r="F96" s="30" t="s">
        <v>1138</v>
      </c>
      <c r="G96" s="30"/>
      <c r="H96" s="30" t="s">
        <v>1139</v>
      </c>
      <c r="I96" s="35"/>
      <c r="J96" s="30"/>
      <c r="K96" s="35">
        <v>11650</v>
      </c>
      <c r="L96" s="35"/>
      <c r="M96" s="30" t="s">
        <v>1140</v>
      </c>
      <c r="N96" s="30"/>
      <c r="O96" s="30"/>
      <c r="P96" s="30"/>
      <c r="Q96" s="30" t="s">
        <v>1141</v>
      </c>
      <c r="R96" s="30"/>
      <c r="S96" s="30" t="s">
        <v>1142</v>
      </c>
      <c r="T96" s="30" t="s">
        <v>345</v>
      </c>
      <c r="U96" s="30" t="s">
        <v>346</v>
      </c>
      <c r="V96" s="30" t="s">
        <v>284</v>
      </c>
      <c r="W96" s="30" t="s">
        <v>72</v>
      </c>
      <c r="X96" s="30" t="s">
        <v>131</v>
      </c>
      <c r="Y96" s="30" t="s">
        <v>73</v>
      </c>
      <c r="Z96" s="33">
        <v>45424</v>
      </c>
      <c r="AA96" s="33">
        <v>45428</v>
      </c>
      <c r="AB96" s="30" t="s">
        <v>90</v>
      </c>
      <c r="AC96" s="30"/>
      <c r="AD96" s="30"/>
      <c r="AE96" s="30"/>
      <c r="AF96" s="30"/>
      <c r="AG96" s="30"/>
      <c r="AH96" s="30"/>
      <c r="AI96" s="30"/>
      <c r="AJ96" s="31">
        <f t="shared" si="6"/>
        <v>0</v>
      </c>
      <c r="AK96" s="34"/>
      <c r="AL96" s="31">
        <f t="shared" si="7"/>
        <v>11650</v>
      </c>
      <c r="AM96" s="34">
        <f>19160200000/AL96</f>
        <v>1644652.3605150215</v>
      </c>
      <c r="AN96" s="34">
        <f>690014000+6820530000</f>
        <v>7510544000</v>
      </c>
      <c r="AO96" s="34">
        <f t="shared" si="11"/>
        <v>26670744000</v>
      </c>
      <c r="AP96" s="30"/>
      <c r="AQ96" s="30"/>
      <c r="AR96" s="30"/>
      <c r="AS96" s="30"/>
      <c r="AT96" s="30"/>
      <c r="AU96" s="30"/>
      <c r="AV96" s="35"/>
      <c r="AW96" s="34"/>
      <c r="AX96" s="35"/>
      <c r="AY96" s="34"/>
      <c r="AZ96" s="34"/>
      <c r="BA96" s="32">
        <f t="shared" si="8"/>
        <v>0</v>
      </c>
      <c r="BB96" s="30"/>
      <c r="BC96" s="30"/>
      <c r="BD96" s="30"/>
      <c r="BE96" s="30"/>
      <c r="BF96" s="30"/>
      <c r="BG96" s="30"/>
      <c r="BH96" s="30"/>
      <c r="BI96" s="30"/>
      <c r="BJ96" s="36"/>
      <c r="BK96" s="34"/>
      <c r="BL96" s="36"/>
      <c r="BM96" s="34"/>
      <c r="BN96" s="34"/>
      <c r="BO96" s="32">
        <f t="shared" si="9"/>
        <v>0</v>
      </c>
      <c r="BP96" s="30"/>
      <c r="BQ96" s="30"/>
      <c r="BR96" s="30"/>
      <c r="BS96" s="30"/>
      <c r="BT96" s="30"/>
      <c r="BU96" s="30"/>
      <c r="BV96" s="30"/>
      <c r="BW96" s="30"/>
      <c r="BX96" s="36"/>
      <c r="BY96" s="34"/>
      <c r="BZ96" s="36"/>
      <c r="CA96" s="34"/>
      <c r="CB96" s="34"/>
      <c r="CC96" s="32">
        <f t="shared" si="10"/>
        <v>0</v>
      </c>
      <c r="CD96" s="30"/>
      <c r="CE96" s="30"/>
      <c r="CF96" s="30"/>
      <c r="CG96" s="30"/>
      <c r="CH96" s="30"/>
      <c r="CI96" s="64"/>
      <c r="CJ96" s="64"/>
      <c r="CK96" s="64"/>
      <c r="CL96" s="64"/>
    </row>
    <row r="97" spans="2:90" ht="135" customHeight="1" x14ac:dyDescent="0.25">
      <c r="B97" s="30" t="s">
        <v>1143</v>
      </c>
      <c r="C97" s="30" t="s">
        <v>1144</v>
      </c>
      <c r="D97" s="33">
        <v>45450</v>
      </c>
      <c r="E97" s="30" t="s">
        <v>204</v>
      </c>
      <c r="F97" s="30" t="s">
        <v>204</v>
      </c>
      <c r="G97" s="30"/>
      <c r="H97" s="30" t="s">
        <v>1145</v>
      </c>
      <c r="I97" s="35"/>
      <c r="J97" s="30"/>
      <c r="K97" s="35">
        <v>10512</v>
      </c>
      <c r="L97" s="35"/>
      <c r="M97" s="30" t="s">
        <v>397</v>
      </c>
      <c r="N97" s="30"/>
      <c r="O97" s="30"/>
      <c r="P97" s="30"/>
      <c r="Q97" s="30"/>
      <c r="R97" s="30" t="s">
        <v>1146</v>
      </c>
      <c r="S97" s="30" t="s">
        <v>1147</v>
      </c>
      <c r="T97" s="30" t="s">
        <v>1148</v>
      </c>
      <c r="U97" s="30" t="s">
        <v>359</v>
      </c>
      <c r="V97" s="30" t="s">
        <v>92</v>
      </c>
      <c r="W97" s="30" t="s">
        <v>72</v>
      </c>
      <c r="X97" s="30" t="s">
        <v>85</v>
      </c>
      <c r="Y97" s="30" t="s">
        <v>73</v>
      </c>
      <c r="Z97" s="33">
        <v>45408</v>
      </c>
      <c r="AA97" s="33">
        <v>45409</v>
      </c>
      <c r="AB97" s="30" t="s">
        <v>90</v>
      </c>
      <c r="AC97" s="30"/>
      <c r="AD97" s="30"/>
      <c r="AE97" s="30"/>
      <c r="AF97" s="30"/>
      <c r="AG97" s="30"/>
      <c r="AH97" s="30"/>
      <c r="AI97" s="30"/>
      <c r="AJ97" s="31">
        <f t="shared" si="6"/>
        <v>0</v>
      </c>
      <c r="AK97" s="34"/>
      <c r="AL97" s="31">
        <f t="shared" si="7"/>
        <v>10512</v>
      </c>
      <c r="AM97" s="34">
        <f>93208000000/AL97</f>
        <v>8866818.8736681882</v>
      </c>
      <c r="AN97" s="34">
        <v>8259366000</v>
      </c>
      <c r="AO97" s="51">
        <f>(AJ97*AK97)+(AL97*AM97)+AN97+(AJ98*AK98)+(AL98*AM98)+AN98</f>
        <v>146843866000</v>
      </c>
      <c r="AP97" s="30"/>
      <c r="AQ97" s="30"/>
      <c r="AR97" s="30"/>
      <c r="AS97" s="30"/>
      <c r="AT97" s="30"/>
      <c r="AU97" s="30"/>
      <c r="AV97" s="35"/>
      <c r="AW97" s="34"/>
      <c r="AX97" s="35"/>
      <c r="AY97" s="34"/>
      <c r="AZ97" s="34"/>
      <c r="BA97" s="32">
        <f t="shared" si="8"/>
        <v>0</v>
      </c>
      <c r="BB97" s="30"/>
      <c r="BC97" s="30"/>
      <c r="BD97" s="30"/>
      <c r="BE97" s="30"/>
      <c r="BF97" s="30"/>
      <c r="BG97" s="30"/>
      <c r="BH97" s="30"/>
      <c r="BI97" s="30"/>
      <c r="BJ97" s="36"/>
      <c r="BK97" s="34"/>
      <c r="BL97" s="36"/>
      <c r="BM97" s="34"/>
      <c r="BN97" s="34"/>
      <c r="BO97" s="32">
        <f t="shared" si="9"/>
        <v>0</v>
      </c>
      <c r="BP97" s="30"/>
      <c r="BQ97" s="30"/>
      <c r="BR97" s="30"/>
      <c r="BS97" s="30"/>
      <c r="BT97" s="30"/>
      <c r="BU97" s="30"/>
      <c r="BV97" s="30"/>
      <c r="BW97" s="30"/>
      <c r="BX97" s="36"/>
      <c r="BY97" s="34"/>
      <c r="BZ97" s="36"/>
      <c r="CA97" s="34"/>
      <c r="CB97" s="34"/>
      <c r="CC97" s="32">
        <f t="shared" si="10"/>
        <v>0</v>
      </c>
      <c r="CD97" s="30"/>
      <c r="CE97" s="30"/>
      <c r="CF97" s="30"/>
      <c r="CG97" s="30"/>
      <c r="CH97" s="30"/>
      <c r="CI97" s="64"/>
      <c r="CJ97" s="64"/>
      <c r="CK97" s="64"/>
      <c r="CL97" s="64"/>
    </row>
    <row r="98" spans="2:90" ht="135" customHeight="1" x14ac:dyDescent="0.25">
      <c r="B98" s="30" t="s">
        <v>1143</v>
      </c>
      <c r="C98" s="30" t="s">
        <v>1144</v>
      </c>
      <c r="D98" s="33">
        <v>45450</v>
      </c>
      <c r="E98" s="30" t="s">
        <v>204</v>
      </c>
      <c r="F98" s="30" t="s">
        <v>204</v>
      </c>
      <c r="G98" s="30"/>
      <c r="H98" s="30" t="s">
        <v>77</v>
      </c>
      <c r="I98" s="35">
        <v>2685</v>
      </c>
      <c r="J98" s="30" t="s">
        <v>70</v>
      </c>
      <c r="K98" s="35"/>
      <c r="L98" s="35"/>
      <c r="M98" s="30"/>
      <c r="N98" s="30"/>
      <c r="O98" s="30"/>
      <c r="P98" s="30"/>
      <c r="Q98" s="30"/>
      <c r="R98" s="30" t="s">
        <v>1146</v>
      </c>
      <c r="S98" s="30" t="s">
        <v>1147</v>
      </c>
      <c r="T98" s="30" t="s">
        <v>1148</v>
      </c>
      <c r="U98" s="30" t="s">
        <v>359</v>
      </c>
      <c r="V98" s="30" t="s">
        <v>92</v>
      </c>
      <c r="W98" s="30" t="s">
        <v>72</v>
      </c>
      <c r="X98" s="30" t="s">
        <v>85</v>
      </c>
      <c r="Y98" s="30" t="s">
        <v>73</v>
      </c>
      <c r="Z98" s="33">
        <v>45408</v>
      </c>
      <c r="AA98" s="33">
        <v>45409</v>
      </c>
      <c r="AB98" s="30" t="s">
        <v>90</v>
      </c>
      <c r="AC98" s="30"/>
      <c r="AD98" s="30"/>
      <c r="AE98" s="30"/>
      <c r="AF98" s="30"/>
      <c r="AG98" s="30"/>
      <c r="AH98" s="30"/>
      <c r="AI98" s="30"/>
      <c r="AJ98" s="31">
        <f t="shared" si="6"/>
        <v>2685</v>
      </c>
      <c r="AK98" s="34">
        <f>45376500000/AJ98</f>
        <v>16900000</v>
      </c>
      <c r="AL98" s="31">
        <f t="shared" si="7"/>
        <v>0</v>
      </c>
      <c r="AM98" s="34"/>
      <c r="AN98" s="34"/>
      <c r="AO98" s="53"/>
      <c r="AP98" s="30" t="s">
        <v>1149</v>
      </c>
      <c r="AQ98" s="30" t="s">
        <v>97</v>
      </c>
      <c r="AR98" s="30"/>
      <c r="AS98" s="30"/>
      <c r="AT98" s="30"/>
      <c r="AU98" s="30"/>
      <c r="AV98" s="35">
        <v>735</v>
      </c>
      <c r="AW98" s="34">
        <v>17856776</v>
      </c>
      <c r="AX98" s="35">
        <v>300</v>
      </c>
      <c r="AY98" s="34"/>
      <c r="AZ98" s="34">
        <v>15000000000</v>
      </c>
      <c r="BA98" s="32">
        <f t="shared" si="8"/>
        <v>13124730360</v>
      </c>
      <c r="BB98" s="30" t="s">
        <v>1150</v>
      </c>
      <c r="BC98" s="30" t="s">
        <v>81</v>
      </c>
      <c r="BD98" s="30" t="s">
        <v>1151</v>
      </c>
      <c r="BE98" s="30" t="s">
        <v>97</v>
      </c>
      <c r="BF98" s="30"/>
      <c r="BG98" s="30"/>
      <c r="BH98" s="30"/>
      <c r="BI98" s="30"/>
      <c r="BJ98" s="36">
        <v>2156</v>
      </c>
      <c r="BK98" s="34">
        <v>18638404</v>
      </c>
      <c r="BL98" s="36">
        <v>2400</v>
      </c>
      <c r="BM98" s="34"/>
      <c r="BN98" s="34">
        <v>60000000000</v>
      </c>
      <c r="BO98" s="32">
        <f t="shared" si="9"/>
        <v>40184399024</v>
      </c>
      <c r="BP98" s="30" t="s">
        <v>1152</v>
      </c>
      <c r="BQ98" s="30" t="s">
        <v>81</v>
      </c>
      <c r="BR98" s="30" t="s">
        <v>1151</v>
      </c>
      <c r="BS98" s="30" t="s">
        <v>77</v>
      </c>
      <c r="BT98" s="30"/>
      <c r="BU98" s="30"/>
      <c r="BV98" s="30"/>
      <c r="BW98" s="30"/>
      <c r="BX98" s="36">
        <v>2700</v>
      </c>
      <c r="BY98" s="34">
        <v>18500000</v>
      </c>
      <c r="BZ98" s="36"/>
      <c r="CA98" s="34"/>
      <c r="CB98" s="34">
        <v>60750000000</v>
      </c>
      <c r="CC98" s="32">
        <f t="shared" si="10"/>
        <v>49950000000</v>
      </c>
      <c r="CD98" s="30" t="s">
        <v>1153</v>
      </c>
      <c r="CE98" s="30" t="s">
        <v>81</v>
      </c>
      <c r="CF98" s="30" t="s">
        <v>1154</v>
      </c>
      <c r="CG98" s="30"/>
      <c r="CH98" s="30"/>
      <c r="CI98" s="64"/>
      <c r="CJ98" s="64"/>
      <c r="CK98" s="64"/>
      <c r="CL98" s="64"/>
    </row>
    <row r="99" spans="2:90" ht="135" customHeight="1" x14ac:dyDescent="0.25">
      <c r="B99" s="30" t="s">
        <v>1155</v>
      </c>
      <c r="C99" s="30" t="s">
        <v>1156</v>
      </c>
      <c r="D99" s="33">
        <v>45450</v>
      </c>
      <c r="E99" s="30" t="s">
        <v>1157</v>
      </c>
      <c r="F99" s="30" t="s">
        <v>1157</v>
      </c>
      <c r="G99" s="30"/>
      <c r="H99" s="30" t="s">
        <v>97</v>
      </c>
      <c r="I99" s="35">
        <v>812</v>
      </c>
      <c r="J99" s="30" t="s">
        <v>70</v>
      </c>
      <c r="K99" s="35">
        <v>568</v>
      </c>
      <c r="L99" s="35"/>
      <c r="M99" s="30"/>
      <c r="N99" s="30"/>
      <c r="O99" s="30"/>
      <c r="P99" s="30"/>
      <c r="Q99" s="30"/>
      <c r="R99" s="30" t="s">
        <v>1158</v>
      </c>
      <c r="S99" s="30" t="s">
        <v>1159</v>
      </c>
      <c r="T99" s="30" t="s">
        <v>1160</v>
      </c>
      <c r="U99" s="30" t="s">
        <v>1161</v>
      </c>
      <c r="V99" s="30" t="s">
        <v>126</v>
      </c>
      <c r="W99" s="30" t="s">
        <v>72</v>
      </c>
      <c r="X99" s="30" t="s">
        <v>131</v>
      </c>
      <c r="Y99" s="30" t="s">
        <v>73</v>
      </c>
      <c r="Z99" s="33">
        <v>45427</v>
      </c>
      <c r="AA99" s="33">
        <v>45428</v>
      </c>
      <c r="AB99" s="30" t="s">
        <v>90</v>
      </c>
      <c r="AC99" s="30"/>
      <c r="AD99" s="30"/>
      <c r="AE99" s="30"/>
      <c r="AF99" s="30"/>
      <c r="AG99" s="30"/>
      <c r="AH99" s="30"/>
      <c r="AI99" s="30"/>
      <c r="AJ99" s="31">
        <f t="shared" si="6"/>
        <v>812</v>
      </c>
      <c r="AK99" s="34">
        <f>20543600000/AJ99</f>
        <v>25300000</v>
      </c>
      <c r="AL99" s="31">
        <f t="shared" si="7"/>
        <v>568</v>
      </c>
      <c r="AM99" s="34">
        <f>819600000/AL99</f>
        <v>1442957.7464788733</v>
      </c>
      <c r="AN99" s="34"/>
      <c r="AO99" s="34">
        <f t="shared" si="11"/>
        <v>21363200000</v>
      </c>
      <c r="AP99" s="30" t="s">
        <v>1162</v>
      </c>
      <c r="AQ99" s="30" t="s">
        <v>932</v>
      </c>
      <c r="AR99" s="30"/>
      <c r="AS99" s="30"/>
      <c r="AT99" s="30"/>
      <c r="AU99" s="30"/>
      <c r="AV99" s="35">
        <v>590</v>
      </c>
      <c r="AW99" s="34">
        <v>26430949</v>
      </c>
      <c r="AX99" s="35">
        <v>400</v>
      </c>
      <c r="AY99" s="34"/>
      <c r="AZ99" s="34">
        <v>19900000000</v>
      </c>
      <c r="BA99" s="32">
        <f t="shared" si="8"/>
        <v>15594259910</v>
      </c>
      <c r="BB99" s="30" t="s">
        <v>1163</v>
      </c>
      <c r="BC99" s="30" t="s">
        <v>81</v>
      </c>
      <c r="BD99" s="30" t="s">
        <v>1164</v>
      </c>
      <c r="BE99" s="30" t="s">
        <v>83</v>
      </c>
      <c r="BF99" s="30"/>
      <c r="BG99" s="30"/>
      <c r="BH99" s="30"/>
      <c r="BI99" s="30"/>
      <c r="BJ99" s="36">
        <v>524</v>
      </c>
      <c r="BK99" s="34">
        <v>22872853</v>
      </c>
      <c r="BL99" s="36">
        <v>250</v>
      </c>
      <c r="BM99" s="34"/>
      <c r="BN99" s="34">
        <v>14500000000</v>
      </c>
      <c r="BO99" s="32">
        <f t="shared" si="9"/>
        <v>11985374972</v>
      </c>
      <c r="BP99" s="30" t="s">
        <v>1165</v>
      </c>
      <c r="BQ99" s="30" t="s">
        <v>81</v>
      </c>
      <c r="BR99" s="30" t="s">
        <v>1166</v>
      </c>
      <c r="BS99" s="30" t="s">
        <v>83</v>
      </c>
      <c r="BT99" s="30"/>
      <c r="BU99" s="30"/>
      <c r="BV99" s="30"/>
      <c r="BW99" s="30"/>
      <c r="BX99" s="36">
        <v>557</v>
      </c>
      <c r="BY99" s="34">
        <v>24210727</v>
      </c>
      <c r="BZ99" s="36">
        <v>250</v>
      </c>
      <c r="CA99" s="34"/>
      <c r="CB99" s="34">
        <v>16500000000</v>
      </c>
      <c r="CC99" s="32">
        <f t="shared" si="10"/>
        <v>13485374939</v>
      </c>
      <c r="CD99" s="30" t="s">
        <v>1167</v>
      </c>
      <c r="CE99" s="30" t="s">
        <v>81</v>
      </c>
      <c r="CF99" s="30" t="s">
        <v>196</v>
      </c>
      <c r="CG99" s="30"/>
      <c r="CH99" s="30"/>
      <c r="CI99" s="64"/>
      <c r="CJ99" s="64"/>
      <c r="CK99" s="64"/>
      <c r="CL99" s="64"/>
    </row>
    <row r="100" spans="2:90" ht="135" customHeight="1" x14ac:dyDescent="0.25">
      <c r="B100" s="30" t="s">
        <v>1168</v>
      </c>
      <c r="C100" s="30" t="s">
        <v>1169</v>
      </c>
      <c r="D100" s="33">
        <v>45450</v>
      </c>
      <c r="E100" s="30" t="s">
        <v>1170</v>
      </c>
      <c r="F100" s="30" t="s">
        <v>1170</v>
      </c>
      <c r="G100" s="30"/>
      <c r="H100" s="30" t="s">
        <v>77</v>
      </c>
      <c r="I100" s="35">
        <v>6424</v>
      </c>
      <c r="J100" s="30" t="s">
        <v>70</v>
      </c>
      <c r="K100" s="35"/>
      <c r="L100" s="35"/>
      <c r="M100" s="30"/>
      <c r="N100" s="30"/>
      <c r="O100" s="30"/>
      <c r="P100" s="30"/>
      <c r="Q100" s="30"/>
      <c r="R100" s="30" t="s">
        <v>1171</v>
      </c>
      <c r="S100" s="30" t="s">
        <v>1172</v>
      </c>
      <c r="T100" s="30" t="s">
        <v>1173</v>
      </c>
      <c r="U100" s="30" t="s">
        <v>1174</v>
      </c>
      <c r="V100" s="30" t="s">
        <v>126</v>
      </c>
      <c r="W100" s="30" t="s">
        <v>72</v>
      </c>
      <c r="X100" s="30" t="s">
        <v>131</v>
      </c>
      <c r="Y100" s="30" t="s">
        <v>73</v>
      </c>
      <c r="Z100" s="33">
        <v>45427</v>
      </c>
      <c r="AA100" s="33">
        <v>45428</v>
      </c>
      <c r="AB100" s="30" t="s">
        <v>90</v>
      </c>
      <c r="AC100" s="30"/>
      <c r="AD100" s="30"/>
      <c r="AE100" s="30"/>
      <c r="AF100" s="30"/>
      <c r="AG100" s="30"/>
      <c r="AH100" s="30"/>
      <c r="AI100" s="30"/>
      <c r="AJ100" s="31">
        <f t="shared" si="6"/>
        <v>6424</v>
      </c>
      <c r="AK100" s="34">
        <f>8094240000/AJ100</f>
        <v>1260000</v>
      </c>
      <c r="AL100" s="31">
        <f t="shared" si="7"/>
        <v>0</v>
      </c>
      <c r="AM100" s="34"/>
      <c r="AN100" s="34"/>
      <c r="AO100" s="34">
        <f t="shared" si="11"/>
        <v>8094240000</v>
      </c>
      <c r="AP100" s="30" t="s">
        <v>1175</v>
      </c>
      <c r="AQ100" s="30" t="s">
        <v>77</v>
      </c>
      <c r="AR100" s="30"/>
      <c r="AS100" s="30"/>
      <c r="AT100" s="30"/>
      <c r="AU100" s="30"/>
      <c r="AV100" s="35">
        <v>1427</v>
      </c>
      <c r="AW100" s="34">
        <v>1450000</v>
      </c>
      <c r="AX100" s="70"/>
      <c r="AY100" s="34"/>
      <c r="AZ100" s="34">
        <v>2425900000</v>
      </c>
      <c r="BA100" s="32">
        <f t="shared" si="8"/>
        <v>2069150000</v>
      </c>
      <c r="BB100" s="46" t="s">
        <v>1176</v>
      </c>
      <c r="BC100" s="46" t="s">
        <v>81</v>
      </c>
      <c r="BD100" s="30" t="s">
        <v>1177</v>
      </c>
      <c r="BE100" s="30" t="s">
        <v>77</v>
      </c>
      <c r="BF100" s="30"/>
      <c r="BG100" s="30"/>
      <c r="BH100" s="30"/>
      <c r="BI100" s="30"/>
      <c r="BJ100" s="36">
        <v>1039</v>
      </c>
      <c r="BK100" s="34">
        <v>1350000</v>
      </c>
      <c r="BL100" s="36"/>
      <c r="BM100" s="34"/>
      <c r="BN100" s="34">
        <v>1558500000</v>
      </c>
      <c r="BO100" s="32">
        <f t="shared" si="9"/>
        <v>1402650000</v>
      </c>
      <c r="BP100" s="30" t="s">
        <v>1178</v>
      </c>
      <c r="BQ100" s="30" t="s">
        <v>81</v>
      </c>
      <c r="BR100" s="30" t="s">
        <v>1177</v>
      </c>
      <c r="BS100" s="30" t="s">
        <v>77</v>
      </c>
      <c r="BT100" s="30"/>
      <c r="BU100" s="30"/>
      <c r="BV100" s="30"/>
      <c r="BW100" s="30"/>
      <c r="BX100" s="36">
        <v>835</v>
      </c>
      <c r="BY100" s="34">
        <v>1700000</v>
      </c>
      <c r="BZ100" s="36"/>
      <c r="CA100" s="34"/>
      <c r="CB100" s="34">
        <v>1670000000</v>
      </c>
      <c r="CC100" s="32">
        <f t="shared" si="10"/>
        <v>1419500000</v>
      </c>
      <c r="CD100" s="30" t="s">
        <v>1179</v>
      </c>
      <c r="CE100" s="30" t="s">
        <v>81</v>
      </c>
      <c r="CF100" s="30" t="s">
        <v>196</v>
      </c>
      <c r="CG100" s="30"/>
      <c r="CH100" s="30"/>
      <c r="CI100" s="64"/>
      <c r="CJ100" s="64"/>
      <c r="CK100" s="64"/>
      <c r="CL100" s="64"/>
    </row>
    <row r="101" spans="2:90" ht="195" x14ac:dyDescent="0.25">
      <c r="B101" s="54" t="s">
        <v>1180</v>
      </c>
      <c r="C101" s="54" t="s">
        <v>1181</v>
      </c>
      <c r="D101" s="67">
        <v>45453</v>
      </c>
      <c r="E101" s="54" t="s">
        <v>204</v>
      </c>
      <c r="F101" s="54" t="s">
        <v>204</v>
      </c>
      <c r="G101" s="30"/>
      <c r="H101" s="30" t="s">
        <v>83</v>
      </c>
      <c r="I101" s="35">
        <v>150</v>
      </c>
      <c r="J101" s="30" t="s">
        <v>70</v>
      </c>
      <c r="K101" s="35">
        <v>193</v>
      </c>
      <c r="L101" s="35"/>
      <c r="M101" s="30"/>
      <c r="N101" s="30"/>
      <c r="O101" s="30"/>
      <c r="P101" s="30"/>
      <c r="Q101" s="30" t="s">
        <v>205</v>
      </c>
      <c r="R101" s="30" t="s">
        <v>1182</v>
      </c>
      <c r="S101" s="30" t="s">
        <v>206</v>
      </c>
      <c r="T101" s="30" t="s">
        <v>1183</v>
      </c>
      <c r="U101" s="30" t="s">
        <v>124</v>
      </c>
      <c r="V101" s="30" t="s">
        <v>92</v>
      </c>
      <c r="W101" s="30" t="s">
        <v>72</v>
      </c>
      <c r="X101" s="30" t="s">
        <v>85</v>
      </c>
      <c r="Y101" s="30" t="s">
        <v>73</v>
      </c>
      <c r="Z101" s="33">
        <v>45433</v>
      </c>
      <c r="AA101" s="33">
        <v>45433</v>
      </c>
      <c r="AB101" s="30" t="s">
        <v>90</v>
      </c>
      <c r="AC101" s="30"/>
      <c r="AD101" s="30"/>
      <c r="AE101" s="30"/>
      <c r="AF101" s="30"/>
      <c r="AG101" s="30"/>
      <c r="AH101" s="30"/>
      <c r="AI101" s="30"/>
      <c r="AJ101" s="31">
        <f t="shared" si="6"/>
        <v>150</v>
      </c>
      <c r="AK101" s="34">
        <f>810000000/AJ101</f>
        <v>5400000</v>
      </c>
      <c r="AL101" s="31">
        <f t="shared" si="7"/>
        <v>193</v>
      </c>
      <c r="AM101" s="34">
        <f>310900000/AL101</f>
        <v>1610880.8290155442</v>
      </c>
      <c r="AN101" s="34"/>
      <c r="AO101" s="51">
        <f>(AJ101*AK101)+(AL101*AM101)+AN101+(AJ102*AK102)+(AL102*AM102)+AN102+(AJ103*AK103)+(AL103*AM103)+AN103+2000000000+(AJ105*AK105)+(AL105*AM105)+AN105+(AJ106*AK106)+(AL106*AM106)+AN106</f>
        <v>15017553500</v>
      </c>
      <c r="AP101" s="30" t="s">
        <v>1184</v>
      </c>
      <c r="AQ101" s="30" t="s">
        <v>83</v>
      </c>
      <c r="AR101" s="30"/>
      <c r="AS101" s="30"/>
      <c r="AT101" s="30"/>
      <c r="AU101" s="30"/>
      <c r="AV101" s="35">
        <v>138</v>
      </c>
      <c r="AW101" s="34">
        <v>5338917</v>
      </c>
      <c r="AX101" s="35">
        <v>155</v>
      </c>
      <c r="AY101" s="34"/>
      <c r="AZ101" s="34">
        <v>1600000000</v>
      </c>
      <c r="BA101" s="32">
        <f t="shared" si="8"/>
        <v>736770546</v>
      </c>
      <c r="BB101" s="30" t="s">
        <v>1185</v>
      </c>
      <c r="BC101" s="30" t="s">
        <v>81</v>
      </c>
      <c r="BD101" s="30" t="s">
        <v>1186</v>
      </c>
      <c r="BE101" s="30" t="s">
        <v>83</v>
      </c>
      <c r="BF101" s="30"/>
      <c r="BG101" s="30"/>
      <c r="BH101" s="30"/>
      <c r="BI101" s="30"/>
      <c r="BJ101" s="36">
        <v>104</v>
      </c>
      <c r="BK101" s="34">
        <v>5387317</v>
      </c>
      <c r="BL101" s="36">
        <v>90</v>
      </c>
      <c r="BM101" s="34"/>
      <c r="BN101" s="34">
        <v>950000000</v>
      </c>
      <c r="BO101" s="32">
        <f t="shared" si="9"/>
        <v>560280968</v>
      </c>
      <c r="BP101" s="30" t="s">
        <v>1187</v>
      </c>
      <c r="BQ101" s="30" t="s">
        <v>81</v>
      </c>
      <c r="BR101" s="30" t="s">
        <v>1188</v>
      </c>
      <c r="BS101" s="30" t="s">
        <v>83</v>
      </c>
      <c r="BT101" s="30"/>
      <c r="BU101" s="30"/>
      <c r="BV101" s="30"/>
      <c r="BW101" s="30"/>
      <c r="BX101" s="36">
        <v>96</v>
      </c>
      <c r="BY101" s="34">
        <v>5716171</v>
      </c>
      <c r="BZ101" s="36">
        <v>136</v>
      </c>
      <c r="CA101" s="34"/>
      <c r="CB101" s="34">
        <v>1200000000</v>
      </c>
      <c r="CC101" s="32">
        <f t="shared" si="10"/>
        <v>548752416</v>
      </c>
      <c r="CD101" s="30" t="s">
        <v>207</v>
      </c>
      <c r="CE101" s="30" t="s">
        <v>81</v>
      </c>
      <c r="CF101" s="30" t="s">
        <v>746</v>
      </c>
      <c r="CG101" s="30"/>
      <c r="CH101" s="30"/>
      <c r="CI101" s="64"/>
      <c r="CJ101" s="64"/>
      <c r="CK101" s="64"/>
      <c r="CL101" s="64"/>
    </row>
    <row r="102" spans="2:90" ht="195" x14ac:dyDescent="0.25">
      <c r="B102" s="57"/>
      <c r="C102" s="57"/>
      <c r="D102" s="68"/>
      <c r="E102" s="57"/>
      <c r="F102" s="57"/>
      <c r="G102" s="30"/>
      <c r="H102" s="30" t="s">
        <v>83</v>
      </c>
      <c r="I102" s="35">
        <v>1291</v>
      </c>
      <c r="J102" s="30" t="s">
        <v>70</v>
      </c>
      <c r="K102" s="35">
        <v>620</v>
      </c>
      <c r="L102" s="35"/>
      <c r="M102" s="30" t="s">
        <v>397</v>
      </c>
      <c r="N102" s="30"/>
      <c r="O102" s="30"/>
      <c r="P102" s="30"/>
      <c r="Q102" s="30"/>
      <c r="R102" s="30" t="s">
        <v>1189</v>
      </c>
      <c r="S102" s="30" t="s">
        <v>206</v>
      </c>
      <c r="T102" s="30" t="s">
        <v>1183</v>
      </c>
      <c r="U102" s="30" t="s">
        <v>124</v>
      </c>
      <c r="V102" s="30" t="s">
        <v>92</v>
      </c>
      <c r="W102" s="30" t="s">
        <v>72</v>
      </c>
      <c r="X102" s="30" t="s">
        <v>85</v>
      </c>
      <c r="Y102" s="30" t="s">
        <v>73</v>
      </c>
      <c r="Z102" s="33">
        <v>45433</v>
      </c>
      <c r="AA102" s="33">
        <v>45433</v>
      </c>
      <c r="AB102" s="30" t="s">
        <v>90</v>
      </c>
      <c r="AC102" s="30"/>
      <c r="AD102" s="30"/>
      <c r="AE102" s="30"/>
      <c r="AF102" s="30"/>
      <c r="AG102" s="30"/>
      <c r="AH102" s="30"/>
      <c r="AI102" s="30"/>
      <c r="AJ102" s="31">
        <f t="shared" si="6"/>
        <v>1291</v>
      </c>
      <c r="AK102" s="34">
        <f>5034900000/AJ102</f>
        <v>3900000</v>
      </c>
      <c r="AL102" s="31">
        <f t="shared" si="7"/>
        <v>620</v>
      </c>
      <c r="AM102" s="34">
        <f>903200000/AL102</f>
        <v>1456774.1935483871</v>
      </c>
      <c r="AN102" s="34">
        <v>49753500</v>
      </c>
      <c r="AO102" s="52"/>
      <c r="AP102" s="30" t="s">
        <v>1184</v>
      </c>
      <c r="AQ102" s="30" t="s">
        <v>83</v>
      </c>
      <c r="AR102" s="30"/>
      <c r="AS102" s="30"/>
      <c r="AT102" s="30"/>
      <c r="AU102" s="30"/>
      <c r="AV102" s="35">
        <v>138</v>
      </c>
      <c r="AW102" s="34">
        <v>5338917</v>
      </c>
      <c r="AX102" s="35">
        <v>155</v>
      </c>
      <c r="AY102" s="34"/>
      <c r="AZ102" s="34">
        <v>1600000000</v>
      </c>
      <c r="BA102" s="32">
        <f t="shared" si="8"/>
        <v>736770546</v>
      </c>
      <c r="BB102" s="30" t="s">
        <v>1185</v>
      </c>
      <c r="BC102" s="30" t="s">
        <v>81</v>
      </c>
      <c r="BD102" s="30" t="s">
        <v>1186</v>
      </c>
      <c r="BE102" s="30" t="s">
        <v>83</v>
      </c>
      <c r="BF102" s="30"/>
      <c r="BG102" s="30"/>
      <c r="BH102" s="30"/>
      <c r="BI102" s="30"/>
      <c r="BJ102" s="36">
        <v>104</v>
      </c>
      <c r="BK102" s="34">
        <v>5387317</v>
      </c>
      <c r="BL102" s="36">
        <v>90</v>
      </c>
      <c r="BM102" s="34"/>
      <c r="BN102" s="34">
        <v>950000000</v>
      </c>
      <c r="BO102" s="32">
        <f t="shared" si="9"/>
        <v>560280968</v>
      </c>
      <c r="BP102" s="30" t="s">
        <v>1187</v>
      </c>
      <c r="BQ102" s="30" t="s">
        <v>81</v>
      </c>
      <c r="BR102" s="30" t="s">
        <v>1188</v>
      </c>
      <c r="BS102" s="30" t="s">
        <v>83</v>
      </c>
      <c r="BT102" s="30"/>
      <c r="BU102" s="30"/>
      <c r="BV102" s="30"/>
      <c r="BW102" s="30"/>
      <c r="BX102" s="36">
        <v>96</v>
      </c>
      <c r="BY102" s="34">
        <v>5716171</v>
      </c>
      <c r="BZ102" s="36">
        <v>136</v>
      </c>
      <c r="CA102" s="34"/>
      <c r="CB102" s="34">
        <v>1200000000</v>
      </c>
      <c r="CC102" s="32">
        <f t="shared" si="10"/>
        <v>548752416</v>
      </c>
      <c r="CD102" s="30" t="s">
        <v>207</v>
      </c>
      <c r="CE102" s="30" t="s">
        <v>81</v>
      </c>
      <c r="CF102" s="30" t="s">
        <v>746</v>
      </c>
      <c r="CG102" s="30"/>
      <c r="CH102" s="30"/>
      <c r="CI102" s="64"/>
      <c r="CJ102" s="64"/>
      <c r="CK102" s="64"/>
      <c r="CL102" s="64"/>
    </row>
    <row r="103" spans="2:90" ht="180" x14ac:dyDescent="0.25">
      <c r="B103" s="57"/>
      <c r="C103" s="57"/>
      <c r="D103" s="68"/>
      <c r="E103" s="57"/>
      <c r="F103" s="57"/>
      <c r="G103" s="30"/>
      <c r="H103" s="30" t="s">
        <v>83</v>
      </c>
      <c r="I103" s="35">
        <v>135</v>
      </c>
      <c r="J103" s="30" t="s">
        <v>70</v>
      </c>
      <c r="K103" s="35">
        <v>207</v>
      </c>
      <c r="L103" s="35"/>
      <c r="M103" s="30"/>
      <c r="N103" s="30"/>
      <c r="O103" s="30"/>
      <c r="P103" s="30"/>
      <c r="Q103" s="30" t="s">
        <v>208</v>
      </c>
      <c r="R103" s="30" t="s">
        <v>1190</v>
      </c>
      <c r="S103" s="30" t="s">
        <v>206</v>
      </c>
      <c r="T103" s="30" t="s">
        <v>1183</v>
      </c>
      <c r="U103" s="30" t="s">
        <v>124</v>
      </c>
      <c r="V103" s="30" t="s">
        <v>92</v>
      </c>
      <c r="W103" s="30" t="s">
        <v>72</v>
      </c>
      <c r="X103" s="30" t="s">
        <v>85</v>
      </c>
      <c r="Y103" s="30" t="s">
        <v>73</v>
      </c>
      <c r="Z103" s="33">
        <v>45433</v>
      </c>
      <c r="AA103" s="33">
        <v>45433</v>
      </c>
      <c r="AB103" s="30" t="s">
        <v>90</v>
      </c>
      <c r="AC103" s="30"/>
      <c r="AD103" s="30"/>
      <c r="AE103" s="30"/>
      <c r="AF103" s="30"/>
      <c r="AG103" s="30"/>
      <c r="AH103" s="30"/>
      <c r="AI103" s="30"/>
      <c r="AJ103" s="31">
        <f t="shared" si="6"/>
        <v>135</v>
      </c>
      <c r="AK103" s="34">
        <f>823500000/AJ103</f>
        <v>6100000</v>
      </c>
      <c r="AL103" s="31">
        <f t="shared" si="7"/>
        <v>207</v>
      </c>
      <c r="AM103" s="34">
        <f>696900000/AL103</f>
        <v>3366666.6666666665</v>
      </c>
      <c r="AN103" s="34"/>
      <c r="AO103" s="52"/>
      <c r="AP103" s="30" t="s">
        <v>1191</v>
      </c>
      <c r="AQ103" s="30" t="s">
        <v>83</v>
      </c>
      <c r="AR103" s="30"/>
      <c r="AS103" s="30"/>
      <c r="AT103" s="30"/>
      <c r="AU103" s="30"/>
      <c r="AV103" s="35">
        <v>270</v>
      </c>
      <c r="AW103" s="34">
        <v>6027425</v>
      </c>
      <c r="AX103" s="35">
        <v>316</v>
      </c>
      <c r="AY103" s="34"/>
      <c r="AZ103" s="34">
        <v>3500000000</v>
      </c>
      <c r="BA103" s="32">
        <f t="shared" si="8"/>
        <v>1627404750</v>
      </c>
      <c r="BB103" s="30" t="s">
        <v>1192</v>
      </c>
      <c r="BC103" s="30" t="s">
        <v>81</v>
      </c>
      <c r="BD103" s="30" t="s">
        <v>1193</v>
      </c>
      <c r="BE103" s="30" t="s">
        <v>83</v>
      </c>
      <c r="BF103" s="30"/>
      <c r="BG103" s="30"/>
      <c r="BH103" s="30"/>
      <c r="BI103" s="30"/>
      <c r="BJ103" s="36">
        <v>135</v>
      </c>
      <c r="BK103" s="34">
        <v>6132586</v>
      </c>
      <c r="BL103" s="36">
        <v>129</v>
      </c>
      <c r="BM103" s="34"/>
      <c r="BN103" s="34">
        <v>1500000000</v>
      </c>
      <c r="BO103" s="32">
        <f t="shared" si="9"/>
        <v>827899110</v>
      </c>
      <c r="BP103" s="30" t="s">
        <v>1194</v>
      </c>
      <c r="BQ103" s="30" t="s">
        <v>81</v>
      </c>
      <c r="BR103" s="30" t="s">
        <v>1195</v>
      </c>
      <c r="BS103" s="30" t="s">
        <v>83</v>
      </c>
      <c r="BT103" s="30"/>
      <c r="BU103" s="30"/>
      <c r="BV103" s="30"/>
      <c r="BW103" s="30"/>
      <c r="BX103" s="36">
        <v>210</v>
      </c>
      <c r="BY103" s="34">
        <v>5983162</v>
      </c>
      <c r="BZ103" s="36">
        <v>160</v>
      </c>
      <c r="CA103" s="34"/>
      <c r="CB103" s="34">
        <v>2200000000</v>
      </c>
      <c r="CC103" s="32">
        <f t="shared" si="10"/>
        <v>1256464020</v>
      </c>
      <c r="CD103" s="30" t="s">
        <v>1196</v>
      </c>
      <c r="CE103" s="30" t="s">
        <v>81</v>
      </c>
      <c r="CF103" s="30" t="s">
        <v>746</v>
      </c>
      <c r="CG103" s="30"/>
      <c r="CH103" s="30"/>
      <c r="CI103" s="64"/>
      <c r="CJ103" s="64"/>
      <c r="CK103" s="64"/>
      <c r="CL103" s="64"/>
    </row>
    <row r="104" spans="2:90" ht="150" x14ac:dyDescent="0.25">
      <c r="B104" s="57"/>
      <c r="C104" s="57"/>
      <c r="D104" s="68"/>
      <c r="E104" s="57"/>
      <c r="F104" s="57"/>
      <c r="G104" s="30"/>
      <c r="H104" s="30" t="s">
        <v>101</v>
      </c>
      <c r="I104" s="35">
        <v>90</v>
      </c>
      <c r="J104" s="30" t="s">
        <v>70</v>
      </c>
      <c r="K104" s="35">
        <v>173</v>
      </c>
      <c r="L104" s="35"/>
      <c r="M104" s="30"/>
      <c r="N104" s="30"/>
      <c r="O104" s="30"/>
      <c r="P104" s="30"/>
      <c r="Q104" s="30" t="s">
        <v>1197</v>
      </c>
      <c r="R104" s="30" t="s">
        <v>1198</v>
      </c>
      <c r="S104" s="30" t="s">
        <v>209</v>
      </c>
      <c r="T104" s="30" t="s">
        <v>1183</v>
      </c>
      <c r="U104" s="30" t="s">
        <v>124</v>
      </c>
      <c r="V104" s="30" t="s">
        <v>92</v>
      </c>
      <c r="W104" s="30" t="s">
        <v>72</v>
      </c>
      <c r="X104" s="30" t="s">
        <v>85</v>
      </c>
      <c r="Y104" s="30" t="s">
        <v>73</v>
      </c>
      <c r="Z104" s="33">
        <v>45433</v>
      </c>
      <c r="AA104" s="33">
        <v>45433</v>
      </c>
      <c r="AB104" s="30" t="s">
        <v>90</v>
      </c>
      <c r="AC104" s="30"/>
      <c r="AD104" s="30"/>
      <c r="AE104" s="30"/>
      <c r="AF104" s="30"/>
      <c r="AG104" s="30"/>
      <c r="AH104" s="30"/>
      <c r="AI104" s="30"/>
      <c r="AJ104" s="31">
        <f t="shared" si="6"/>
        <v>90</v>
      </c>
      <c r="AK104" s="34"/>
      <c r="AL104" s="31">
        <f t="shared" si="7"/>
        <v>173</v>
      </c>
      <c r="AM104" s="34">
        <v>11556497</v>
      </c>
      <c r="AN104" s="34"/>
      <c r="AO104" s="52"/>
      <c r="AP104" s="30" t="s">
        <v>1199</v>
      </c>
      <c r="AQ104" s="30" t="s">
        <v>101</v>
      </c>
      <c r="AR104" s="30"/>
      <c r="AS104" s="30"/>
      <c r="AT104" s="30"/>
      <c r="AU104" s="30"/>
      <c r="AV104" s="35">
        <v>90</v>
      </c>
      <c r="AW104" s="34">
        <v>10404624</v>
      </c>
      <c r="AX104" s="35">
        <v>173</v>
      </c>
      <c r="AY104" s="34"/>
      <c r="AZ104" s="34">
        <v>1900000000</v>
      </c>
      <c r="BA104" s="32">
        <f t="shared" si="8"/>
        <v>936416160</v>
      </c>
      <c r="BB104" s="30" t="s">
        <v>1200</v>
      </c>
      <c r="BC104" s="30" t="s">
        <v>81</v>
      </c>
      <c r="BD104" s="30" t="s">
        <v>1201</v>
      </c>
      <c r="BE104" s="30" t="s">
        <v>101</v>
      </c>
      <c r="BF104" s="30"/>
      <c r="BG104" s="30"/>
      <c r="BH104" s="30"/>
      <c r="BI104" s="30"/>
      <c r="BJ104" s="36">
        <v>100</v>
      </c>
      <c r="BK104" s="34">
        <v>12631579</v>
      </c>
      <c r="BL104" s="36">
        <v>190</v>
      </c>
      <c r="BM104" s="34"/>
      <c r="BN104" s="34">
        <v>2600000000</v>
      </c>
      <c r="BO104" s="32">
        <f t="shared" si="9"/>
        <v>1263157900</v>
      </c>
      <c r="BP104" s="30" t="s">
        <v>1202</v>
      </c>
      <c r="BQ104" s="30" t="s">
        <v>81</v>
      </c>
      <c r="BR104" s="30" t="s">
        <v>1203</v>
      </c>
      <c r="BS104" s="30" t="s">
        <v>1204</v>
      </c>
      <c r="BT104" s="30"/>
      <c r="BU104" s="30"/>
      <c r="BV104" s="30"/>
      <c r="BW104" s="30"/>
      <c r="BX104" s="36">
        <v>160</v>
      </c>
      <c r="BY104" s="34">
        <v>12962963</v>
      </c>
      <c r="BZ104" s="36">
        <v>108</v>
      </c>
      <c r="CA104" s="34"/>
      <c r="CB104" s="34">
        <v>1900000000</v>
      </c>
      <c r="CC104" s="32">
        <f t="shared" si="10"/>
        <v>2074074080</v>
      </c>
      <c r="CD104" s="30" t="s">
        <v>1205</v>
      </c>
      <c r="CE104" s="30" t="s">
        <v>81</v>
      </c>
      <c r="CF104" s="30" t="s">
        <v>746</v>
      </c>
      <c r="CG104" s="30"/>
      <c r="CH104" s="30"/>
      <c r="CI104" s="64"/>
      <c r="CJ104" s="64"/>
      <c r="CK104" s="64"/>
      <c r="CL104" s="64"/>
    </row>
    <row r="105" spans="2:90" ht="135" customHeight="1" x14ac:dyDescent="0.25">
      <c r="B105" s="57"/>
      <c r="C105" s="57"/>
      <c r="D105" s="68"/>
      <c r="E105" s="57"/>
      <c r="F105" s="57"/>
      <c r="G105" s="30"/>
      <c r="H105" s="30" t="s">
        <v>83</v>
      </c>
      <c r="I105" s="35">
        <v>135</v>
      </c>
      <c r="J105" s="30" t="s">
        <v>70</v>
      </c>
      <c r="K105" s="35">
        <v>184</v>
      </c>
      <c r="L105" s="35"/>
      <c r="M105" s="30"/>
      <c r="N105" s="30"/>
      <c r="O105" s="30"/>
      <c r="P105" s="30"/>
      <c r="Q105" s="30" t="s">
        <v>208</v>
      </c>
      <c r="R105" s="30" t="s">
        <v>1206</v>
      </c>
      <c r="S105" s="30" t="s">
        <v>210</v>
      </c>
      <c r="T105" s="30" t="s">
        <v>1183</v>
      </c>
      <c r="U105" s="30" t="s">
        <v>124</v>
      </c>
      <c r="V105" s="30" t="s">
        <v>92</v>
      </c>
      <c r="W105" s="30" t="s">
        <v>72</v>
      </c>
      <c r="X105" s="30" t="s">
        <v>85</v>
      </c>
      <c r="Y105" s="30" t="s">
        <v>73</v>
      </c>
      <c r="Z105" s="33">
        <v>45433</v>
      </c>
      <c r="AA105" s="33">
        <v>45433</v>
      </c>
      <c r="AB105" s="30" t="s">
        <v>90</v>
      </c>
      <c r="AC105" s="30"/>
      <c r="AD105" s="30"/>
      <c r="AE105" s="30"/>
      <c r="AF105" s="30"/>
      <c r="AG105" s="30"/>
      <c r="AH105" s="30"/>
      <c r="AI105" s="30"/>
      <c r="AJ105" s="31">
        <f t="shared" si="6"/>
        <v>135</v>
      </c>
      <c r="AK105" s="34">
        <f>823500000/AJ105</f>
        <v>6100000</v>
      </c>
      <c r="AL105" s="31">
        <f t="shared" si="7"/>
        <v>184</v>
      </c>
      <c r="AM105" s="34">
        <f>763100000/AL105</f>
        <v>4147282.6086956523</v>
      </c>
      <c r="AN105" s="34"/>
      <c r="AO105" s="52"/>
      <c r="AP105" s="30" t="s">
        <v>1191</v>
      </c>
      <c r="AQ105" s="30" t="s">
        <v>83</v>
      </c>
      <c r="AR105" s="30"/>
      <c r="AS105" s="30"/>
      <c r="AT105" s="30"/>
      <c r="AU105" s="30"/>
      <c r="AV105" s="35">
        <v>270</v>
      </c>
      <c r="AW105" s="34">
        <v>6027425</v>
      </c>
      <c r="AX105" s="35">
        <v>316</v>
      </c>
      <c r="AY105" s="34"/>
      <c r="AZ105" s="34">
        <v>3500000000</v>
      </c>
      <c r="BA105" s="32">
        <f t="shared" si="8"/>
        <v>1627404750</v>
      </c>
      <c r="BB105" s="30" t="s">
        <v>1192</v>
      </c>
      <c r="BC105" s="30" t="s">
        <v>81</v>
      </c>
      <c r="BD105" s="30" t="s">
        <v>1193</v>
      </c>
      <c r="BE105" s="30" t="s">
        <v>83</v>
      </c>
      <c r="BF105" s="30"/>
      <c r="BG105" s="30"/>
      <c r="BH105" s="30"/>
      <c r="BI105" s="30"/>
      <c r="BJ105" s="36">
        <v>135</v>
      </c>
      <c r="BK105" s="34">
        <v>6132586</v>
      </c>
      <c r="BL105" s="36">
        <v>129</v>
      </c>
      <c r="BM105" s="34"/>
      <c r="BN105" s="34">
        <v>1500000000</v>
      </c>
      <c r="BO105" s="32">
        <f t="shared" si="9"/>
        <v>827899110</v>
      </c>
      <c r="BP105" s="30" t="s">
        <v>1194</v>
      </c>
      <c r="BQ105" s="30" t="s">
        <v>81</v>
      </c>
      <c r="BR105" s="30" t="s">
        <v>1195</v>
      </c>
      <c r="BS105" s="30" t="s">
        <v>83</v>
      </c>
      <c r="BT105" s="30"/>
      <c r="BU105" s="30"/>
      <c r="BV105" s="30"/>
      <c r="BW105" s="30"/>
      <c r="BX105" s="36">
        <v>210</v>
      </c>
      <c r="BY105" s="34">
        <v>5983162</v>
      </c>
      <c r="BZ105" s="36">
        <v>160</v>
      </c>
      <c r="CA105" s="34"/>
      <c r="CB105" s="34">
        <v>2200000000</v>
      </c>
      <c r="CC105" s="32">
        <f t="shared" si="10"/>
        <v>1256464020</v>
      </c>
      <c r="CD105" s="30" t="s">
        <v>1196</v>
      </c>
      <c r="CE105" s="30" t="s">
        <v>81</v>
      </c>
      <c r="CF105" s="30" t="s">
        <v>746</v>
      </c>
      <c r="CG105" s="30"/>
      <c r="CH105" s="30"/>
      <c r="CI105" s="64"/>
      <c r="CJ105" s="64"/>
      <c r="CK105" s="64"/>
      <c r="CL105" s="64"/>
    </row>
    <row r="106" spans="2:90" ht="120" customHeight="1" x14ac:dyDescent="0.25">
      <c r="B106" s="58"/>
      <c r="C106" s="58"/>
      <c r="D106" s="69"/>
      <c r="E106" s="58"/>
      <c r="F106" s="58"/>
      <c r="G106" s="30"/>
      <c r="H106" s="30" t="s">
        <v>94</v>
      </c>
      <c r="I106" s="35">
        <v>723</v>
      </c>
      <c r="J106" s="30" t="s">
        <v>70</v>
      </c>
      <c r="K106" s="35">
        <v>244</v>
      </c>
      <c r="L106" s="35"/>
      <c r="M106" s="30"/>
      <c r="N106" s="30"/>
      <c r="O106" s="30"/>
      <c r="P106" s="30"/>
      <c r="Q106" s="30"/>
      <c r="R106" s="30" t="s">
        <v>1207</v>
      </c>
      <c r="S106" s="30" t="s">
        <v>206</v>
      </c>
      <c r="T106" s="30" t="s">
        <v>1183</v>
      </c>
      <c r="U106" s="30" t="s">
        <v>124</v>
      </c>
      <c r="V106" s="30" t="s">
        <v>92</v>
      </c>
      <c r="W106" s="30" t="s">
        <v>72</v>
      </c>
      <c r="X106" s="30" t="s">
        <v>85</v>
      </c>
      <c r="Y106" s="30" t="s">
        <v>73</v>
      </c>
      <c r="Z106" s="33">
        <v>45433</v>
      </c>
      <c r="AA106" s="33">
        <v>45433</v>
      </c>
      <c r="AB106" s="30" t="s">
        <v>90</v>
      </c>
      <c r="AC106" s="30"/>
      <c r="AD106" s="30"/>
      <c r="AE106" s="30"/>
      <c r="AF106" s="30"/>
      <c r="AG106" s="30"/>
      <c r="AH106" s="30"/>
      <c r="AI106" s="30"/>
      <c r="AJ106" s="31">
        <f t="shared" si="6"/>
        <v>723</v>
      </c>
      <c r="AK106" s="34">
        <f>2385900000/AJ106</f>
        <v>3300000</v>
      </c>
      <c r="AL106" s="31">
        <f t="shared" si="7"/>
        <v>244</v>
      </c>
      <c r="AM106" s="34">
        <f>415900000/AL106</f>
        <v>1704508.1967213114</v>
      </c>
      <c r="AN106" s="34"/>
      <c r="AO106" s="53"/>
      <c r="AP106" s="30" t="s">
        <v>1208</v>
      </c>
      <c r="AQ106" s="30" t="s">
        <v>97</v>
      </c>
      <c r="AR106" s="30"/>
      <c r="AS106" s="30"/>
      <c r="AT106" s="30"/>
      <c r="AU106" s="30"/>
      <c r="AV106" s="35">
        <v>470</v>
      </c>
      <c r="AW106" s="34">
        <v>3913936</v>
      </c>
      <c r="AX106" s="35">
        <v>300</v>
      </c>
      <c r="AY106" s="34"/>
      <c r="AZ106" s="34">
        <v>3000000000</v>
      </c>
      <c r="BA106" s="32">
        <f t="shared" si="8"/>
        <v>1839549920</v>
      </c>
      <c r="BB106" s="30" t="s">
        <v>212</v>
      </c>
      <c r="BC106" s="30" t="s">
        <v>81</v>
      </c>
      <c r="BD106" s="30" t="s">
        <v>1209</v>
      </c>
      <c r="BE106" s="30" t="s">
        <v>97</v>
      </c>
      <c r="BF106" s="30"/>
      <c r="BG106" s="30"/>
      <c r="BH106" s="30"/>
      <c r="BI106" s="30"/>
      <c r="BJ106" s="36">
        <v>430</v>
      </c>
      <c r="BK106" s="34">
        <v>4246623</v>
      </c>
      <c r="BL106" s="36">
        <v>320</v>
      </c>
      <c r="BM106" s="34"/>
      <c r="BN106" s="34">
        <v>4000000000</v>
      </c>
      <c r="BO106" s="32">
        <f t="shared" si="9"/>
        <v>1826047890</v>
      </c>
      <c r="BP106" s="30" t="s">
        <v>213</v>
      </c>
      <c r="BQ106" s="30" t="s">
        <v>81</v>
      </c>
      <c r="BR106" s="30" t="s">
        <v>1210</v>
      </c>
      <c r="BS106" s="30" t="s">
        <v>77</v>
      </c>
      <c r="BT106" s="30"/>
      <c r="BU106" s="30"/>
      <c r="BV106" s="30"/>
      <c r="BW106" s="30"/>
      <c r="BX106" s="36">
        <v>520</v>
      </c>
      <c r="BY106" s="34">
        <v>3365385</v>
      </c>
      <c r="BZ106" s="36"/>
      <c r="CA106" s="34"/>
      <c r="CB106" s="34">
        <v>2000000000</v>
      </c>
      <c r="CC106" s="32">
        <f t="shared" si="10"/>
        <v>1750000200</v>
      </c>
      <c r="CD106" s="30" t="s">
        <v>214</v>
      </c>
      <c r="CE106" s="30" t="s">
        <v>81</v>
      </c>
      <c r="CF106" s="30" t="s">
        <v>746</v>
      </c>
      <c r="CG106" s="30"/>
      <c r="CH106" s="30"/>
      <c r="CI106" s="64"/>
      <c r="CJ106" s="64"/>
      <c r="CK106" s="64"/>
      <c r="CL106" s="64"/>
    </row>
    <row r="107" spans="2:90" ht="120" customHeight="1" x14ac:dyDescent="0.25">
      <c r="B107" s="30" t="s">
        <v>1211</v>
      </c>
      <c r="C107" s="30" t="s">
        <v>1212</v>
      </c>
      <c r="D107" s="33">
        <v>45454</v>
      </c>
      <c r="E107" s="30" t="s">
        <v>139</v>
      </c>
      <c r="F107" s="30" t="s">
        <v>139</v>
      </c>
      <c r="G107" s="30"/>
      <c r="H107" s="30" t="s">
        <v>77</v>
      </c>
      <c r="I107" s="35">
        <v>882</v>
      </c>
      <c r="J107" s="30" t="s">
        <v>70</v>
      </c>
      <c r="K107" s="35"/>
      <c r="L107" s="35"/>
      <c r="M107" s="30"/>
      <c r="N107" s="30"/>
      <c r="O107" s="30"/>
      <c r="P107" s="30"/>
      <c r="Q107" s="30"/>
      <c r="R107" s="30" t="s">
        <v>1213</v>
      </c>
      <c r="S107" s="30" t="s">
        <v>1214</v>
      </c>
      <c r="T107" s="30" t="s">
        <v>1215</v>
      </c>
      <c r="U107" s="30" t="s">
        <v>1216</v>
      </c>
      <c r="V107" s="30" t="s">
        <v>71</v>
      </c>
      <c r="W107" s="30" t="s">
        <v>72</v>
      </c>
      <c r="X107" s="30" t="s">
        <v>85</v>
      </c>
      <c r="Y107" s="30" t="s">
        <v>73</v>
      </c>
      <c r="Z107" s="33">
        <v>45443</v>
      </c>
      <c r="AA107" s="33">
        <v>45443</v>
      </c>
      <c r="AB107" s="30" t="s">
        <v>90</v>
      </c>
      <c r="AC107" s="30"/>
      <c r="AD107" s="30"/>
      <c r="AE107" s="30"/>
      <c r="AF107" s="30"/>
      <c r="AG107" s="30"/>
      <c r="AH107" s="30"/>
      <c r="AI107" s="30"/>
      <c r="AJ107" s="31">
        <f t="shared" si="6"/>
        <v>882</v>
      </c>
      <c r="AK107" s="34">
        <f>61740000/AJ107</f>
        <v>70000</v>
      </c>
      <c r="AL107" s="31">
        <f t="shared" si="7"/>
        <v>0</v>
      </c>
      <c r="AM107" s="34"/>
      <c r="AN107" s="34"/>
      <c r="AO107" s="34">
        <f t="shared" si="11"/>
        <v>61740000</v>
      </c>
      <c r="AP107" s="30" t="s">
        <v>1217</v>
      </c>
      <c r="AQ107" s="30" t="s">
        <v>77</v>
      </c>
      <c r="AR107" s="30"/>
      <c r="AS107" s="30"/>
      <c r="AT107" s="30"/>
      <c r="AU107" s="30"/>
      <c r="AV107" s="35">
        <v>1555</v>
      </c>
      <c r="AW107" s="34">
        <v>70000</v>
      </c>
      <c r="AX107" s="35"/>
      <c r="AY107" s="34"/>
      <c r="AZ107" s="34">
        <v>132175000</v>
      </c>
      <c r="BA107" s="32">
        <f t="shared" si="8"/>
        <v>108850000</v>
      </c>
      <c r="BB107" s="30" t="s">
        <v>1218</v>
      </c>
      <c r="BC107" s="30" t="s">
        <v>81</v>
      </c>
      <c r="BD107" s="30" t="s">
        <v>1217</v>
      </c>
      <c r="BE107" s="30" t="s">
        <v>77</v>
      </c>
      <c r="BF107" s="30"/>
      <c r="BG107" s="30"/>
      <c r="BH107" s="30"/>
      <c r="BI107" s="30"/>
      <c r="BJ107" s="36">
        <v>844</v>
      </c>
      <c r="BK107" s="34">
        <v>75000</v>
      </c>
      <c r="BL107" s="36"/>
      <c r="BM107" s="34"/>
      <c r="BN107" s="34">
        <v>75000000</v>
      </c>
      <c r="BO107" s="32">
        <f t="shared" si="9"/>
        <v>63300000</v>
      </c>
      <c r="BP107" s="30" t="s">
        <v>1219</v>
      </c>
      <c r="BQ107" s="30" t="s">
        <v>81</v>
      </c>
      <c r="BR107" s="30" t="s">
        <v>1220</v>
      </c>
      <c r="BS107" s="30" t="s">
        <v>77</v>
      </c>
      <c r="BT107" s="30"/>
      <c r="BU107" s="30"/>
      <c r="BV107" s="30"/>
      <c r="BW107" s="30"/>
      <c r="BX107" s="36">
        <v>541</v>
      </c>
      <c r="BY107" s="34">
        <v>129390</v>
      </c>
      <c r="BZ107" s="36"/>
      <c r="CA107" s="34"/>
      <c r="CB107" s="34">
        <v>85000000</v>
      </c>
      <c r="CC107" s="32">
        <f t="shared" si="10"/>
        <v>69999990</v>
      </c>
      <c r="CD107" s="30" t="s">
        <v>1221</v>
      </c>
      <c r="CE107" s="30" t="s">
        <v>81</v>
      </c>
      <c r="CF107" s="30" t="s">
        <v>358</v>
      </c>
      <c r="CG107" s="30"/>
      <c r="CH107" s="30"/>
      <c r="CI107" s="64"/>
      <c r="CJ107" s="64"/>
      <c r="CK107" s="64"/>
      <c r="CL107" s="64"/>
    </row>
    <row r="108" spans="2:90" ht="120" customHeight="1" x14ac:dyDescent="0.25">
      <c r="B108" s="30" t="s">
        <v>1222</v>
      </c>
      <c r="C108" s="30" t="s">
        <v>1223</v>
      </c>
      <c r="D108" s="33">
        <v>45455</v>
      </c>
      <c r="E108" s="30" t="s">
        <v>185</v>
      </c>
      <c r="F108" s="30" t="s">
        <v>185</v>
      </c>
      <c r="G108" s="30"/>
      <c r="H108" s="30" t="s">
        <v>83</v>
      </c>
      <c r="I108" s="35">
        <v>250</v>
      </c>
      <c r="J108" s="30" t="s">
        <v>70</v>
      </c>
      <c r="K108" s="35">
        <v>218</v>
      </c>
      <c r="L108" s="35"/>
      <c r="M108" s="30"/>
      <c r="N108" s="30"/>
      <c r="O108" s="30"/>
      <c r="P108" s="30"/>
      <c r="Q108" s="30"/>
      <c r="R108" s="30" t="s">
        <v>1224</v>
      </c>
      <c r="S108" s="30" t="s">
        <v>1225</v>
      </c>
      <c r="T108" s="30" t="s">
        <v>1226</v>
      </c>
      <c r="U108" s="30" t="s">
        <v>116</v>
      </c>
      <c r="V108" s="30" t="s">
        <v>84</v>
      </c>
      <c r="W108" s="30" t="s">
        <v>72</v>
      </c>
      <c r="X108" s="30" t="s">
        <v>85</v>
      </c>
      <c r="Y108" s="30" t="s">
        <v>73</v>
      </c>
      <c r="Z108" s="33">
        <v>45442</v>
      </c>
      <c r="AA108" s="33">
        <v>45442</v>
      </c>
      <c r="AB108" s="30" t="s">
        <v>74</v>
      </c>
      <c r="AC108" s="30"/>
      <c r="AD108" s="30"/>
      <c r="AE108" s="30"/>
      <c r="AF108" s="30"/>
      <c r="AG108" s="30"/>
      <c r="AH108" s="30"/>
      <c r="AI108" s="30"/>
      <c r="AJ108" s="31">
        <f t="shared" si="6"/>
        <v>250</v>
      </c>
      <c r="AK108" s="34">
        <f>2000000000/AJ108</f>
        <v>8000000</v>
      </c>
      <c r="AL108" s="31">
        <f t="shared" si="7"/>
        <v>218</v>
      </c>
      <c r="AM108" s="34">
        <f>320600000/AL108</f>
        <v>1470642.2018348624</v>
      </c>
      <c r="AN108" s="34"/>
      <c r="AO108" s="34">
        <f t="shared" si="11"/>
        <v>2320600000</v>
      </c>
      <c r="AP108" s="30" t="s">
        <v>1227</v>
      </c>
      <c r="AQ108" s="30" t="s">
        <v>97</v>
      </c>
      <c r="AR108" s="30"/>
      <c r="AS108" s="30"/>
      <c r="AT108" s="30"/>
      <c r="AU108" s="30"/>
      <c r="AV108" s="35">
        <v>130</v>
      </c>
      <c r="AW108" s="34">
        <v>8084169</v>
      </c>
      <c r="AX108" s="35">
        <v>120</v>
      </c>
      <c r="AY108" s="34"/>
      <c r="AZ108" s="34">
        <v>1500000000</v>
      </c>
      <c r="BA108" s="32">
        <f t="shared" si="8"/>
        <v>1050941970</v>
      </c>
      <c r="BB108" s="30" t="s">
        <v>1228</v>
      </c>
      <c r="BC108" s="30" t="s">
        <v>81</v>
      </c>
      <c r="BD108" s="30" t="s">
        <v>1227</v>
      </c>
      <c r="BE108" s="30" t="s">
        <v>83</v>
      </c>
      <c r="BF108" s="30"/>
      <c r="BG108" s="30"/>
      <c r="BH108" s="30"/>
      <c r="BI108" s="30"/>
      <c r="BJ108" s="36">
        <v>210</v>
      </c>
      <c r="BK108" s="34">
        <v>7981424</v>
      </c>
      <c r="BL108" s="36">
        <v>140</v>
      </c>
      <c r="BM108" s="34"/>
      <c r="BN108" s="34">
        <v>2000000000</v>
      </c>
      <c r="BO108" s="32">
        <f t="shared" si="9"/>
        <v>1676099040</v>
      </c>
      <c r="BP108" s="30" t="s">
        <v>1229</v>
      </c>
      <c r="BQ108" s="30" t="s">
        <v>81</v>
      </c>
      <c r="BR108" s="30" t="s">
        <v>1227</v>
      </c>
      <c r="BS108" s="30" t="s">
        <v>97</v>
      </c>
      <c r="BT108" s="30"/>
      <c r="BU108" s="30"/>
      <c r="BV108" s="30"/>
      <c r="BW108" s="30"/>
      <c r="BX108" s="36">
        <v>271</v>
      </c>
      <c r="BY108" s="34">
        <v>8537555</v>
      </c>
      <c r="BZ108" s="36">
        <v>150</v>
      </c>
      <c r="CA108" s="34"/>
      <c r="CB108" s="34">
        <v>3000000000</v>
      </c>
      <c r="CC108" s="32">
        <f t="shared" si="10"/>
        <v>2313677405</v>
      </c>
      <c r="CD108" s="30" t="s">
        <v>1230</v>
      </c>
      <c r="CE108" s="30" t="s">
        <v>81</v>
      </c>
      <c r="CF108" s="30" t="s">
        <v>379</v>
      </c>
      <c r="CG108" s="30"/>
      <c r="CH108" s="30"/>
      <c r="CI108" s="64"/>
      <c r="CJ108" s="64"/>
      <c r="CK108" s="64"/>
      <c r="CL108" s="64"/>
    </row>
    <row r="109" spans="2:90" ht="150" x14ac:dyDescent="0.25">
      <c r="B109" s="30" t="s">
        <v>1222</v>
      </c>
      <c r="C109" s="30" t="s">
        <v>1231</v>
      </c>
      <c r="D109" s="33">
        <v>45455</v>
      </c>
      <c r="E109" s="30" t="s">
        <v>185</v>
      </c>
      <c r="F109" s="30" t="s">
        <v>185</v>
      </c>
      <c r="G109" s="30"/>
      <c r="H109" s="30" t="s">
        <v>83</v>
      </c>
      <c r="I109" s="35">
        <v>70</v>
      </c>
      <c r="J109" s="30" t="s">
        <v>70</v>
      </c>
      <c r="K109" s="35">
        <v>53</v>
      </c>
      <c r="L109" s="35"/>
      <c r="M109" s="30"/>
      <c r="N109" s="30"/>
      <c r="O109" s="30"/>
      <c r="P109" s="30"/>
      <c r="Q109" s="30" t="s">
        <v>1232</v>
      </c>
      <c r="R109" s="30" t="s">
        <v>1233</v>
      </c>
      <c r="S109" s="30" t="s">
        <v>1234</v>
      </c>
      <c r="T109" s="30" t="s">
        <v>1235</v>
      </c>
      <c r="U109" s="30" t="s">
        <v>260</v>
      </c>
      <c r="V109" s="30" t="s">
        <v>92</v>
      </c>
      <c r="W109" s="30" t="s">
        <v>72</v>
      </c>
      <c r="X109" s="30" t="s">
        <v>85</v>
      </c>
      <c r="Y109" s="30" t="s">
        <v>73</v>
      </c>
      <c r="Z109" s="33">
        <v>45443</v>
      </c>
      <c r="AA109" s="33">
        <v>45443</v>
      </c>
      <c r="AB109" s="30" t="s">
        <v>74</v>
      </c>
      <c r="AC109" s="30"/>
      <c r="AD109" s="30"/>
      <c r="AE109" s="30"/>
      <c r="AF109" s="30"/>
      <c r="AG109" s="30"/>
      <c r="AH109" s="30"/>
      <c r="AI109" s="30"/>
      <c r="AJ109" s="31">
        <f t="shared" si="6"/>
        <v>70</v>
      </c>
      <c r="AK109" s="34">
        <f>154000000/AJ109</f>
        <v>2200000</v>
      </c>
      <c r="AL109" s="31">
        <f t="shared" si="7"/>
        <v>53</v>
      </c>
      <c r="AM109" s="34">
        <f>49400000/AL109</f>
        <v>932075.47169811325</v>
      </c>
      <c r="AN109" s="34"/>
      <c r="AO109" s="34">
        <f t="shared" si="11"/>
        <v>203400000</v>
      </c>
      <c r="AP109" s="30" t="s">
        <v>1236</v>
      </c>
      <c r="AQ109" s="30" t="s">
        <v>83</v>
      </c>
      <c r="AR109" s="30"/>
      <c r="AS109" s="30"/>
      <c r="AT109" s="30"/>
      <c r="AU109" s="30"/>
      <c r="AV109" s="35">
        <v>98</v>
      </c>
      <c r="AW109" s="34">
        <v>2007270</v>
      </c>
      <c r="AX109" s="35">
        <v>70</v>
      </c>
      <c r="AY109" s="34"/>
      <c r="AZ109" s="34">
        <v>275000000</v>
      </c>
      <c r="BA109" s="32">
        <f t="shared" si="8"/>
        <v>196712460</v>
      </c>
      <c r="BB109" s="30" t="s">
        <v>1237</v>
      </c>
      <c r="BC109" s="30" t="s">
        <v>81</v>
      </c>
      <c r="BD109" s="30" t="s">
        <v>1238</v>
      </c>
      <c r="BE109" s="30" t="s">
        <v>83</v>
      </c>
      <c r="BF109" s="30"/>
      <c r="BG109" s="30"/>
      <c r="BH109" s="30"/>
      <c r="BI109" s="30"/>
      <c r="BJ109" s="36">
        <v>72</v>
      </c>
      <c r="BK109" s="34">
        <v>231056</v>
      </c>
      <c r="BL109" s="36">
        <v>56</v>
      </c>
      <c r="BM109" s="34"/>
      <c r="BN109" s="34">
        <v>315000000</v>
      </c>
      <c r="BO109" s="32">
        <f t="shared" si="9"/>
        <v>16636032</v>
      </c>
      <c r="BP109" s="30" t="s">
        <v>1239</v>
      </c>
      <c r="BQ109" s="30" t="s">
        <v>81</v>
      </c>
      <c r="BR109" s="30" t="s">
        <v>1240</v>
      </c>
      <c r="BS109" s="30" t="s">
        <v>83</v>
      </c>
      <c r="BT109" s="30"/>
      <c r="BU109" s="30"/>
      <c r="BV109" s="30"/>
      <c r="BW109" s="30"/>
      <c r="BX109" s="36">
        <v>145</v>
      </c>
      <c r="BY109" s="34">
        <v>2233628</v>
      </c>
      <c r="BZ109" s="36">
        <v>152</v>
      </c>
      <c r="CA109" s="34"/>
      <c r="CB109" s="34">
        <v>500000000</v>
      </c>
      <c r="CC109" s="32">
        <f t="shared" si="10"/>
        <v>323876060</v>
      </c>
      <c r="CD109" s="30" t="s">
        <v>1241</v>
      </c>
      <c r="CE109" s="30" t="s">
        <v>81</v>
      </c>
      <c r="CF109" s="30" t="s">
        <v>1242</v>
      </c>
      <c r="CG109" s="30"/>
      <c r="CH109" s="30"/>
      <c r="CI109" s="64"/>
      <c r="CJ109" s="64"/>
      <c r="CK109" s="64"/>
      <c r="CL109" s="64"/>
    </row>
    <row r="110" spans="2:90" ht="150" x14ac:dyDescent="0.25">
      <c r="B110" s="30" t="s">
        <v>1222</v>
      </c>
      <c r="C110" s="30" t="s">
        <v>1243</v>
      </c>
      <c r="D110" s="33">
        <v>45455</v>
      </c>
      <c r="E110" s="30" t="s">
        <v>185</v>
      </c>
      <c r="F110" s="30" t="s">
        <v>185</v>
      </c>
      <c r="G110" s="30"/>
      <c r="H110" s="30" t="s">
        <v>83</v>
      </c>
      <c r="I110" s="35">
        <v>180</v>
      </c>
      <c r="J110" s="30" t="s">
        <v>70</v>
      </c>
      <c r="K110" s="35">
        <v>135</v>
      </c>
      <c r="L110" s="35"/>
      <c r="M110" s="30"/>
      <c r="N110" s="30"/>
      <c r="O110" s="30"/>
      <c r="P110" s="30"/>
      <c r="Q110" s="30" t="s">
        <v>1244</v>
      </c>
      <c r="R110" s="30" t="s">
        <v>1245</v>
      </c>
      <c r="S110" s="30" t="s">
        <v>1246</v>
      </c>
      <c r="T110" s="30" t="s">
        <v>1247</v>
      </c>
      <c r="U110" s="30" t="s">
        <v>125</v>
      </c>
      <c r="V110" s="30" t="s">
        <v>126</v>
      </c>
      <c r="W110" s="30" t="s">
        <v>72</v>
      </c>
      <c r="X110" s="30" t="s">
        <v>85</v>
      </c>
      <c r="Y110" s="30" t="s">
        <v>73</v>
      </c>
      <c r="Z110" s="33">
        <v>45443</v>
      </c>
      <c r="AA110" s="33">
        <v>45443</v>
      </c>
      <c r="AB110" s="30" t="s">
        <v>74</v>
      </c>
      <c r="AC110" s="30"/>
      <c r="AD110" s="30"/>
      <c r="AE110" s="30"/>
      <c r="AF110" s="30"/>
      <c r="AG110" s="30"/>
      <c r="AH110" s="30"/>
      <c r="AI110" s="30"/>
      <c r="AJ110" s="31">
        <f t="shared" si="6"/>
        <v>180</v>
      </c>
      <c r="AK110" s="34">
        <f>1980000000/AJ110</f>
        <v>11000000</v>
      </c>
      <c r="AL110" s="31">
        <f t="shared" si="7"/>
        <v>135</v>
      </c>
      <c r="AM110" s="34">
        <f>178000000/AL110</f>
        <v>1318518.5185185184</v>
      </c>
      <c r="AN110" s="34"/>
      <c r="AO110" s="34">
        <f t="shared" si="11"/>
        <v>2158000000</v>
      </c>
      <c r="AP110" s="30" t="s">
        <v>1248</v>
      </c>
      <c r="AQ110" s="30" t="s">
        <v>83</v>
      </c>
      <c r="AR110" s="30"/>
      <c r="AS110" s="30"/>
      <c r="AT110" s="30"/>
      <c r="AU110" s="30"/>
      <c r="AV110" s="35">
        <v>180</v>
      </c>
      <c r="AW110" s="34">
        <v>11321000</v>
      </c>
      <c r="AX110" s="35">
        <v>300</v>
      </c>
      <c r="AY110" s="34"/>
      <c r="AZ110" s="34">
        <v>4500000000</v>
      </c>
      <c r="BA110" s="32">
        <f t="shared" si="8"/>
        <v>2037780000</v>
      </c>
      <c r="BB110" s="30" t="s">
        <v>1249</v>
      </c>
      <c r="BC110" s="30" t="s">
        <v>81</v>
      </c>
      <c r="BD110" s="30" t="s">
        <v>1250</v>
      </c>
      <c r="BE110" s="30" t="s">
        <v>83</v>
      </c>
      <c r="BF110" s="30"/>
      <c r="BG110" s="30"/>
      <c r="BH110" s="30"/>
      <c r="BI110" s="30"/>
      <c r="BJ110" s="36">
        <v>158</v>
      </c>
      <c r="BK110" s="34">
        <v>11333460</v>
      </c>
      <c r="BL110" s="36">
        <v>170</v>
      </c>
      <c r="BM110" s="34"/>
      <c r="BN110" s="34">
        <v>3000000000</v>
      </c>
      <c r="BO110" s="32">
        <f t="shared" si="9"/>
        <v>1790686680</v>
      </c>
      <c r="BP110" s="30" t="s">
        <v>1251</v>
      </c>
      <c r="BQ110" s="30" t="s">
        <v>81</v>
      </c>
      <c r="BR110" s="30" t="s">
        <v>1252</v>
      </c>
      <c r="BS110" s="30" t="s">
        <v>83</v>
      </c>
      <c r="BT110" s="30"/>
      <c r="BU110" s="30"/>
      <c r="BV110" s="30"/>
      <c r="BW110" s="30"/>
      <c r="BX110" s="36">
        <v>81</v>
      </c>
      <c r="BY110" s="34">
        <v>12220988</v>
      </c>
      <c r="BZ110" s="36">
        <v>150</v>
      </c>
      <c r="CA110" s="34"/>
      <c r="CB110" s="34">
        <v>1970000000</v>
      </c>
      <c r="CC110" s="32">
        <f t="shared" si="10"/>
        <v>989900028</v>
      </c>
      <c r="CD110" s="30" t="s">
        <v>1253</v>
      </c>
      <c r="CE110" s="30" t="s">
        <v>81</v>
      </c>
      <c r="CF110" s="30" t="s">
        <v>196</v>
      </c>
      <c r="CG110" s="30"/>
      <c r="CH110" s="30"/>
      <c r="CI110" s="64"/>
      <c r="CJ110" s="64"/>
      <c r="CK110" s="64"/>
      <c r="CL110" s="64"/>
    </row>
    <row r="111" spans="2:90" ht="180" x14ac:dyDescent="0.25">
      <c r="B111" s="30" t="s">
        <v>1254</v>
      </c>
      <c r="C111" s="30" t="s">
        <v>1255</v>
      </c>
      <c r="D111" s="33">
        <v>45456</v>
      </c>
      <c r="E111" s="30" t="s">
        <v>93</v>
      </c>
      <c r="F111" s="30" t="s">
        <v>93</v>
      </c>
      <c r="G111" s="30"/>
      <c r="H111" s="30" t="s">
        <v>97</v>
      </c>
      <c r="I111" s="35">
        <v>152</v>
      </c>
      <c r="J111" s="30" t="s">
        <v>70</v>
      </c>
      <c r="K111" s="35">
        <v>280</v>
      </c>
      <c r="L111" s="35"/>
      <c r="M111" s="30"/>
      <c r="N111" s="30"/>
      <c r="O111" s="30"/>
      <c r="P111" s="30"/>
      <c r="Q111" s="30" t="s">
        <v>1256</v>
      </c>
      <c r="R111" s="30" t="s">
        <v>1257</v>
      </c>
      <c r="S111" s="30" t="s">
        <v>1258</v>
      </c>
      <c r="T111" s="30" t="s">
        <v>1259</v>
      </c>
      <c r="U111" s="30" t="s">
        <v>107</v>
      </c>
      <c r="V111" s="30" t="s">
        <v>92</v>
      </c>
      <c r="W111" s="30" t="s">
        <v>72</v>
      </c>
      <c r="X111" s="30" t="s">
        <v>85</v>
      </c>
      <c r="Y111" s="30" t="s">
        <v>73</v>
      </c>
      <c r="Z111" s="33">
        <v>45450</v>
      </c>
      <c r="AA111" s="33">
        <v>45450</v>
      </c>
      <c r="AB111" s="30" t="s">
        <v>74</v>
      </c>
      <c r="AC111" s="30"/>
      <c r="AD111" s="30"/>
      <c r="AE111" s="30"/>
      <c r="AF111" s="30"/>
      <c r="AG111" s="30"/>
      <c r="AH111" s="30"/>
      <c r="AI111" s="30"/>
      <c r="AJ111" s="31">
        <f t="shared" si="6"/>
        <v>152</v>
      </c>
      <c r="AK111" s="34">
        <f>623200000/AJ111</f>
        <v>4100000</v>
      </c>
      <c r="AL111" s="31">
        <f t="shared" si="7"/>
        <v>280</v>
      </c>
      <c r="AM111" s="34">
        <f>542000000/AL111</f>
        <v>1935714.2857142857</v>
      </c>
      <c r="AN111" s="34"/>
      <c r="AO111" s="34">
        <f t="shared" si="11"/>
        <v>1165200000</v>
      </c>
      <c r="AP111" s="30" t="s">
        <v>1260</v>
      </c>
      <c r="AQ111" s="30" t="s">
        <v>83</v>
      </c>
      <c r="AR111" s="30"/>
      <c r="AS111" s="30"/>
      <c r="AT111" s="30"/>
      <c r="AU111" s="30"/>
      <c r="AV111" s="35">
        <v>60</v>
      </c>
      <c r="AW111" s="34">
        <v>4271833</v>
      </c>
      <c r="AX111" s="35">
        <v>50</v>
      </c>
      <c r="AY111" s="34"/>
      <c r="AZ111" s="34">
        <v>400000000</v>
      </c>
      <c r="BA111" s="32">
        <f t="shared" si="8"/>
        <v>256309980</v>
      </c>
      <c r="BB111" s="30" t="s">
        <v>1261</v>
      </c>
      <c r="BC111" s="30" t="s">
        <v>81</v>
      </c>
      <c r="BD111" s="30" t="s">
        <v>1262</v>
      </c>
      <c r="BE111" s="30" t="s">
        <v>83</v>
      </c>
      <c r="BF111" s="30"/>
      <c r="BG111" s="30"/>
      <c r="BH111" s="30"/>
      <c r="BI111" s="30"/>
      <c r="BJ111" s="36">
        <v>60</v>
      </c>
      <c r="BK111" s="34">
        <v>4271833</v>
      </c>
      <c r="BL111" s="36">
        <v>50</v>
      </c>
      <c r="BM111" s="34"/>
      <c r="BN111" s="34">
        <v>400000000</v>
      </c>
      <c r="BO111" s="32">
        <f t="shared" si="9"/>
        <v>256309980</v>
      </c>
      <c r="BP111" s="30" t="s">
        <v>1261</v>
      </c>
      <c r="BQ111" s="30" t="s">
        <v>81</v>
      </c>
      <c r="BR111" s="30" t="s">
        <v>1263</v>
      </c>
      <c r="BS111" s="30" t="s">
        <v>97</v>
      </c>
      <c r="BT111" s="30"/>
      <c r="BU111" s="30"/>
      <c r="BV111" s="30"/>
      <c r="BW111" s="30"/>
      <c r="BX111" s="36">
        <v>72</v>
      </c>
      <c r="BY111" s="34">
        <v>4314400</v>
      </c>
      <c r="BZ111" s="36">
        <v>72</v>
      </c>
      <c r="CA111" s="34"/>
      <c r="CB111" s="34">
        <v>500000000</v>
      </c>
      <c r="CC111" s="32">
        <f t="shared" si="10"/>
        <v>310636800</v>
      </c>
      <c r="CD111" s="30" t="s">
        <v>1264</v>
      </c>
      <c r="CE111" s="30" t="s">
        <v>81</v>
      </c>
      <c r="CF111" s="30" t="s">
        <v>746</v>
      </c>
      <c r="CG111" s="30"/>
      <c r="CH111" s="30"/>
      <c r="CI111" s="64"/>
      <c r="CJ111" s="64"/>
      <c r="CK111" s="64"/>
      <c r="CL111" s="64"/>
    </row>
    <row r="112" spans="2:90" ht="120" customHeight="1" x14ac:dyDescent="0.25">
      <c r="B112" s="30" t="s">
        <v>1265</v>
      </c>
      <c r="C112" s="30" t="s">
        <v>1266</v>
      </c>
      <c r="D112" s="33">
        <v>45456</v>
      </c>
      <c r="E112" s="30" t="s">
        <v>93</v>
      </c>
      <c r="F112" s="30" t="s">
        <v>93</v>
      </c>
      <c r="G112" s="30"/>
      <c r="H112" s="30" t="s">
        <v>1267</v>
      </c>
      <c r="I112" s="35" t="s">
        <v>1268</v>
      </c>
      <c r="J112" s="30" t="s">
        <v>70</v>
      </c>
      <c r="K112" s="35"/>
      <c r="L112" s="35"/>
      <c r="M112" s="30"/>
      <c r="N112" s="30"/>
      <c r="O112" s="30"/>
      <c r="P112" s="30"/>
      <c r="Q112" s="30" t="s">
        <v>1269</v>
      </c>
      <c r="R112" s="30" t="s">
        <v>1270</v>
      </c>
      <c r="S112" s="30" t="s">
        <v>1271</v>
      </c>
      <c r="T112" s="30" t="s">
        <v>1272</v>
      </c>
      <c r="U112" s="30" t="s">
        <v>98</v>
      </c>
      <c r="V112" s="30" t="s">
        <v>84</v>
      </c>
      <c r="W112" s="30" t="s">
        <v>72</v>
      </c>
      <c r="X112" s="30" t="s">
        <v>85</v>
      </c>
      <c r="Y112" s="30" t="s">
        <v>73</v>
      </c>
      <c r="Z112" s="33">
        <v>45434</v>
      </c>
      <c r="AA112" s="33">
        <v>45441</v>
      </c>
      <c r="AB112" s="30" t="s">
        <v>90</v>
      </c>
      <c r="AC112" s="30"/>
      <c r="AD112" s="30"/>
      <c r="AE112" s="30"/>
      <c r="AF112" s="30"/>
      <c r="AG112" s="30"/>
      <c r="AH112" s="30"/>
      <c r="AI112" s="30"/>
      <c r="AJ112" s="31" t="str">
        <f t="shared" si="6"/>
        <v>23,58</v>
      </c>
      <c r="AK112" s="34">
        <v>27193800</v>
      </c>
      <c r="AL112" s="31">
        <f t="shared" si="7"/>
        <v>0</v>
      </c>
      <c r="AM112" s="34"/>
      <c r="AN112" s="34"/>
      <c r="AO112" s="51">
        <f>(AJ113*AK113)+(AL113*AM113)+AN113+(AJ114*AK114)+(AL114*AM114)+AN114+641000000</f>
        <v>6775700000</v>
      </c>
      <c r="AP112" s="30" t="s">
        <v>1273</v>
      </c>
      <c r="AQ112" s="30" t="s">
        <v>1274</v>
      </c>
      <c r="AR112" s="30"/>
      <c r="AS112" s="30"/>
      <c r="AT112" s="30"/>
      <c r="AU112" s="30"/>
      <c r="AV112" s="35">
        <v>42</v>
      </c>
      <c r="AW112" s="34">
        <v>27380952</v>
      </c>
      <c r="AX112" s="35"/>
      <c r="AY112" s="34"/>
      <c r="AZ112" s="34">
        <v>1350000000</v>
      </c>
      <c r="BA112" s="32">
        <f t="shared" si="8"/>
        <v>1149999984</v>
      </c>
      <c r="BB112" s="30" t="s">
        <v>1275</v>
      </c>
      <c r="BC112" s="30" t="s">
        <v>81</v>
      </c>
      <c r="BD112" s="30" t="s">
        <v>1276</v>
      </c>
      <c r="BE112" s="30" t="s">
        <v>1274</v>
      </c>
      <c r="BF112" s="30"/>
      <c r="BG112" s="30"/>
      <c r="BH112" s="30"/>
      <c r="BI112" s="30"/>
      <c r="BJ112" s="36" t="s">
        <v>1277</v>
      </c>
      <c r="BK112" s="34">
        <v>25233645</v>
      </c>
      <c r="BL112" s="36"/>
      <c r="BM112" s="34"/>
      <c r="BN112" s="34">
        <v>1500000000</v>
      </c>
      <c r="BO112" s="32" t="e">
        <f t="shared" si="9"/>
        <v>#VALUE!</v>
      </c>
      <c r="BP112" s="30" t="s">
        <v>1278</v>
      </c>
      <c r="BQ112" s="30" t="s">
        <v>81</v>
      </c>
      <c r="BR112" s="30" t="s">
        <v>1279</v>
      </c>
      <c r="BS112" s="30" t="s">
        <v>1274</v>
      </c>
      <c r="BT112" s="30"/>
      <c r="BU112" s="30"/>
      <c r="BV112" s="30"/>
      <c r="BW112" s="30"/>
      <c r="BX112" s="36" t="s">
        <v>1277</v>
      </c>
      <c r="BY112" s="34">
        <v>26168224</v>
      </c>
      <c r="BZ112" s="36"/>
      <c r="CA112" s="34"/>
      <c r="CB112" s="34">
        <v>1650000000</v>
      </c>
      <c r="CC112" s="32" t="e">
        <f t="shared" si="10"/>
        <v>#VALUE!</v>
      </c>
      <c r="CD112" s="30" t="s">
        <v>1280</v>
      </c>
      <c r="CE112" s="30" t="s">
        <v>81</v>
      </c>
      <c r="CF112" s="30" t="s">
        <v>1281</v>
      </c>
      <c r="CG112" s="30"/>
      <c r="CH112" s="30"/>
      <c r="CI112" s="64"/>
      <c r="CJ112" s="64"/>
      <c r="CK112" s="64"/>
      <c r="CL112" s="64"/>
    </row>
    <row r="113" spans="2:90" ht="120" customHeight="1" x14ac:dyDescent="0.25">
      <c r="B113" s="30" t="s">
        <v>1265</v>
      </c>
      <c r="C113" s="30" t="s">
        <v>1266</v>
      </c>
      <c r="D113" s="33">
        <v>45456</v>
      </c>
      <c r="E113" s="30" t="s">
        <v>93</v>
      </c>
      <c r="F113" s="30" t="s">
        <v>93</v>
      </c>
      <c r="G113" s="30"/>
      <c r="H113" s="30" t="s">
        <v>83</v>
      </c>
      <c r="I113" s="35">
        <v>110</v>
      </c>
      <c r="J113" s="30" t="s">
        <v>70</v>
      </c>
      <c r="K113" s="35">
        <v>165</v>
      </c>
      <c r="L113" s="35"/>
      <c r="M113" s="30"/>
      <c r="N113" s="30"/>
      <c r="O113" s="30"/>
      <c r="P113" s="30"/>
      <c r="Q113" s="30"/>
      <c r="R113" s="30" t="s">
        <v>1282</v>
      </c>
      <c r="S113" s="30" t="s">
        <v>1283</v>
      </c>
      <c r="T113" s="30" t="s">
        <v>1284</v>
      </c>
      <c r="U113" s="30" t="s">
        <v>103</v>
      </c>
      <c r="V113" s="30" t="s">
        <v>84</v>
      </c>
      <c r="W113" s="30" t="s">
        <v>72</v>
      </c>
      <c r="X113" s="30" t="s">
        <v>85</v>
      </c>
      <c r="Y113" s="30" t="s">
        <v>73</v>
      </c>
      <c r="Z113" s="33">
        <v>45434</v>
      </c>
      <c r="AA113" s="33">
        <v>45441</v>
      </c>
      <c r="AB113" s="30" t="s">
        <v>90</v>
      </c>
      <c r="AC113" s="30"/>
      <c r="AD113" s="30"/>
      <c r="AE113" s="30"/>
      <c r="AF113" s="30"/>
      <c r="AG113" s="30"/>
      <c r="AH113" s="30"/>
      <c r="AI113" s="30"/>
      <c r="AJ113" s="31">
        <f t="shared" si="6"/>
        <v>110</v>
      </c>
      <c r="AK113" s="34">
        <f>1540000000/AJ113</f>
        <v>14000000</v>
      </c>
      <c r="AL113" s="31">
        <f t="shared" si="7"/>
        <v>165</v>
      </c>
      <c r="AM113" s="34">
        <f>860100000/AL113</f>
        <v>5212727.2727272725</v>
      </c>
      <c r="AN113" s="34"/>
      <c r="AO113" s="52"/>
      <c r="AP113" s="30" t="s">
        <v>1285</v>
      </c>
      <c r="AQ113" s="30" t="s">
        <v>83</v>
      </c>
      <c r="AR113" s="30"/>
      <c r="AS113" s="30"/>
      <c r="AT113" s="30"/>
      <c r="AU113" s="30"/>
      <c r="AV113" s="35">
        <v>115</v>
      </c>
      <c r="AW113" s="34">
        <v>14197478</v>
      </c>
      <c r="AX113" s="35">
        <v>150</v>
      </c>
      <c r="AY113" s="34"/>
      <c r="AZ113" s="34">
        <v>2500000000</v>
      </c>
      <c r="BA113" s="32">
        <f t="shared" si="8"/>
        <v>1632709970</v>
      </c>
      <c r="BB113" s="30" t="s">
        <v>1286</v>
      </c>
      <c r="BC113" s="30" t="s">
        <v>81</v>
      </c>
      <c r="BD113" s="30" t="s">
        <v>1287</v>
      </c>
      <c r="BE113" s="30" t="s">
        <v>77</v>
      </c>
      <c r="BF113" s="30"/>
      <c r="BG113" s="30"/>
      <c r="BH113" s="30"/>
      <c r="BI113" s="30"/>
      <c r="BJ113" s="36">
        <v>130</v>
      </c>
      <c r="BK113" s="34">
        <v>13800000</v>
      </c>
      <c r="BL113" s="36"/>
      <c r="BM113" s="34"/>
      <c r="BN113" s="34">
        <v>2100000000</v>
      </c>
      <c r="BO113" s="32">
        <f t="shared" si="9"/>
        <v>1794000000</v>
      </c>
      <c r="BP113" s="30" t="s">
        <v>1288</v>
      </c>
      <c r="BQ113" s="30" t="s">
        <v>81</v>
      </c>
      <c r="BR113" s="30" t="s">
        <v>1289</v>
      </c>
      <c r="BS113" s="30" t="s">
        <v>83</v>
      </c>
      <c r="BT113" s="30"/>
      <c r="BU113" s="30"/>
      <c r="BV113" s="30"/>
      <c r="BW113" s="30"/>
      <c r="BX113" s="36">
        <v>166</v>
      </c>
      <c r="BY113" s="34">
        <v>13582072</v>
      </c>
      <c r="BZ113" s="36">
        <v>160</v>
      </c>
      <c r="CA113" s="34"/>
      <c r="CB113" s="34">
        <v>3500000000</v>
      </c>
      <c r="CC113" s="32">
        <f t="shared" si="10"/>
        <v>2254623952</v>
      </c>
      <c r="CD113" s="30" t="s">
        <v>1290</v>
      </c>
      <c r="CE113" s="30" t="s">
        <v>81</v>
      </c>
      <c r="CF113" s="30" t="s">
        <v>1281</v>
      </c>
      <c r="CG113" s="30"/>
      <c r="CH113" s="30"/>
      <c r="CI113" s="64"/>
      <c r="CJ113" s="64"/>
      <c r="CK113" s="64"/>
      <c r="CL113" s="64"/>
    </row>
    <row r="114" spans="2:90" ht="120" x14ac:dyDescent="0.25">
      <c r="B114" s="30" t="s">
        <v>1265</v>
      </c>
      <c r="C114" s="30" t="s">
        <v>1266</v>
      </c>
      <c r="D114" s="33">
        <v>45456</v>
      </c>
      <c r="E114" s="30" t="s">
        <v>93</v>
      </c>
      <c r="F114" s="30" t="s">
        <v>93</v>
      </c>
      <c r="G114" s="30"/>
      <c r="H114" s="30" t="s">
        <v>83</v>
      </c>
      <c r="I114" s="35">
        <v>113</v>
      </c>
      <c r="J114" s="30" t="s">
        <v>70</v>
      </c>
      <c r="K114" s="35">
        <v>159</v>
      </c>
      <c r="L114" s="35"/>
      <c r="M114" s="30"/>
      <c r="N114" s="30"/>
      <c r="O114" s="30"/>
      <c r="P114" s="30"/>
      <c r="Q114" s="30"/>
      <c r="R114" s="30" t="s">
        <v>1291</v>
      </c>
      <c r="S114" s="30" t="s">
        <v>1283</v>
      </c>
      <c r="T114" s="30" t="s">
        <v>1284</v>
      </c>
      <c r="U114" s="30" t="s">
        <v>103</v>
      </c>
      <c r="V114" s="30" t="s">
        <v>84</v>
      </c>
      <c r="W114" s="30" t="s">
        <v>72</v>
      </c>
      <c r="X114" s="30" t="s">
        <v>85</v>
      </c>
      <c r="Y114" s="30" t="s">
        <v>73</v>
      </c>
      <c r="Z114" s="33">
        <v>45434</v>
      </c>
      <c r="AA114" s="33">
        <v>45441</v>
      </c>
      <c r="AB114" s="30" t="s">
        <v>90</v>
      </c>
      <c r="AC114" s="30"/>
      <c r="AD114" s="30"/>
      <c r="AE114" s="30"/>
      <c r="AF114" s="30"/>
      <c r="AG114" s="30"/>
      <c r="AH114" s="30"/>
      <c r="AI114" s="30"/>
      <c r="AJ114" s="31">
        <f t="shared" si="6"/>
        <v>113</v>
      </c>
      <c r="AK114" s="34">
        <f>2825000000/AJ114</f>
        <v>25000000</v>
      </c>
      <c r="AL114" s="31">
        <f t="shared" si="7"/>
        <v>159</v>
      </c>
      <c r="AM114" s="34">
        <f>909600000/AL114</f>
        <v>5720754.7169811325</v>
      </c>
      <c r="AN114" s="34"/>
      <c r="AO114" s="53"/>
      <c r="AP114" s="30" t="s">
        <v>1292</v>
      </c>
      <c r="AQ114" s="30" t="s">
        <v>83</v>
      </c>
      <c r="AR114" s="30"/>
      <c r="AS114" s="30"/>
      <c r="AT114" s="30"/>
      <c r="AU114" s="30"/>
      <c r="AV114" s="35">
        <v>97</v>
      </c>
      <c r="AW114" s="34">
        <v>26278325</v>
      </c>
      <c r="AX114" s="35">
        <v>75</v>
      </c>
      <c r="AY114" s="34"/>
      <c r="AZ114" s="34">
        <v>3500000000</v>
      </c>
      <c r="BA114" s="32">
        <f t="shared" si="8"/>
        <v>2548997525</v>
      </c>
      <c r="BB114" s="30" t="s">
        <v>1293</v>
      </c>
      <c r="BC114" s="30" t="s">
        <v>81</v>
      </c>
      <c r="BD114" s="30" t="s">
        <v>1294</v>
      </c>
      <c r="BE114" s="30" t="s">
        <v>83</v>
      </c>
      <c r="BF114" s="30"/>
      <c r="BG114" s="30"/>
      <c r="BH114" s="30"/>
      <c r="BI114" s="30"/>
      <c r="BJ114" s="36">
        <v>325</v>
      </c>
      <c r="BK114" s="34">
        <v>24158000</v>
      </c>
      <c r="BL114" s="36">
        <v>500</v>
      </c>
      <c r="BM114" s="34"/>
      <c r="BN114" s="34">
        <v>12000000000</v>
      </c>
      <c r="BO114" s="32">
        <f t="shared" si="9"/>
        <v>7851350000</v>
      </c>
      <c r="BP114" s="30" t="s">
        <v>1295</v>
      </c>
      <c r="BQ114" s="30" t="s">
        <v>81</v>
      </c>
      <c r="BR114" s="30" t="s">
        <v>1296</v>
      </c>
      <c r="BS114" s="30" t="s">
        <v>83</v>
      </c>
      <c r="BT114" s="30"/>
      <c r="BU114" s="30"/>
      <c r="BV114" s="30"/>
      <c r="BW114" s="30"/>
      <c r="BX114" s="36">
        <v>530</v>
      </c>
      <c r="BY114" s="34">
        <v>23585585</v>
      </c>
      <c r="BZ114" s="36">
        <v>880</v>
      </c>
      <c r="CA114" s="34"/>
      <c r="CB114" s="34">
        <v>18000000000</v>
      </c>
      <c r="CC114" s="32">
        <f t="shared" si="10"/>
        <v>12500360050</v>
      </c>
      <c r="CD114" s="30" t="s">
        <v>1297</v>
      </c>
      <c r="CE114" s="30" t="s">
        <v>81</v>
      </c>
      <c r="CF114" s="30" t="s">
        <v>1281</v>
      </c>
      <c r="CG114" s="30"/>
      <c r="CH114" s="30"/>
      <c r="CI114" s="64"/>
      <c r="CJ114" s="64"/>
      <c r="CK114" s="64"/>
      <c r="CL114" s="64"/>
    </row>
    <row r="115" spans="2:90" ht="150" customHeight="1" x14ac:dyDescent="0.25">
      <c r="B115" s="30" t="s">
        <v>1298</v>
      </c>
      <c r="C115" s="30" t="s">
        <v>1299</v>
      </c>
      <c r="D115" s="33">
        <v>45467</v>
      </c>
      <c r="E115" s="30" t="s">
        <v>220</v>
      </c>
      <c r="F115" s="30" t="s">
        <v>220</v>
      </c>
      <c r="G115" s="30"/>
      <c r="H115" s="30" t="s">
        <v>77</v>
      </c>
      <c r="I115" s="35">
        <v>726</v>
      </c>
      <c r="J115" s="30" t="s">
        <v>70</v>
      </c>
      <c r="K115" s="35"/>
      <c r="L115" s="35"/>
      <c r="M115" s="30"/>
      <c r="N115" s="30"/>
      <c r="O115" s="30"/>
      <c r="P115" s="30"/>
      <c r="Q115" s="30" t="s">
        <v>1300</v>
      </c>
      <c r="R115" s="30" t="s">
        <v>1301</v>
      </c>
      <c r="S115" s="30" t="s">
        <v>349</v>
      </c>
      <c r="T115" s="30" t="s">
        <v>1064</v>
      </c>
      <c r="U115" s="30" t="s">
        <v>98</v>
      </c>
      <c r="V115" s="30" t="s">
        <v>84</v>
      </c>
      <c r="W115" s="30" t="s">
        <v>72</v>
      </c>
      <c r="X115" s="30" t="s">
        <v>195</v>
      </c>
      <c r="Y115" s="30" t="s">
        <v>280</v>
      </c>
      <c r="Z115" s="33">
        <v>45447</v>
      </c>
      <c r="AA115" s="33">
        <v>45447</v>
      </c>
      <c r="AB115" s="30" t="s">
        <v>90</v>
      </c>
      <c r="AC115" s="30"/>
      <c r="AD115" s="30"/>
      <c r="AE115" s="30"/>
      <c r="AF115" s="30"/>
      <c r="AG115" s="30"/>
      <c r="AH115" s="30"/>
      <c r="AI115" s="30"/>
      <c r="AJ115" s="31">
        <f t="shared" si="6"/>
        <v>726</v>
      </c>
      <c r="AK115" s="34">
        <f>13068000000/AJ115</f>
        <v>18000000</v>
      </c>
      <c r="AL115" s="31">
        <f t="shared" si="7"/>
        <v>0</v>
      </c>
      <c r="AM115" s="34"/>
      <c r="AN115" s="34"/>
      <c r="AO115" s="34">
        <f t="shared" si="11"/>
        <v>13068000000</v>
      </c>
      <c r="AP115" s="30" t="s">
        <v>1302</v>
      </c>
      <c r="AQ115" s="30" t="s">
        <v>77</v>
      </c>
      <c r="AR115" s="30"/>
      <c r="AS115" s="30"/>
      <c r="AT115" s="30"/>
      <c r="AU115" s="30"/>
      <c r="AV115" s="35">
        <v>450</v>
      </c>
      <c r="AW115" s="34">
        <v>18500000</v>
      </c>
      <c r="AX115" s="35"/>
      <c r="AY115" s="34"/>
      <c r="AZ115" s="34">
        <v>9900000000</v>
      </c>
      <c r="BA115" s="32">
        <f t="shared" si="8"/>
        <v>8325000000</v>
      </c>
      <c r="BB115" s="30" t="s">
        <v>1303</v>
      </c>
      <c r="BC115" s="30" t="s">
        <v>81</v>
      </c>
      <c r="BD115" s="30" t="s">
        <v>1302</v>
      </c>
      <c r="BE115" s="30" t="s">
        <v>77</v>
      </c>
      <c r="BF115" s="30"/>
      <c r="BG115" s="30"/>
      <c r="BH115" s="30"/>
      <c r="BI115" s="30"/>
      <c r="BJ115" s="36">
        <v>760</v>
      </c>
      <c r="BK115" s="34">
        <v>19000000</v>
      </c>
      <c r="BL115" s="36"/>
      <c r="BM115" s="34"/>
      <c r="BN115" s="34">
        <v>17480000000</v>
      </c>
      <c r="BO115" s="32">
        <f t="shared" si="9"/>
        <v>14440000000</v>
      </c>
      <c r="BP115" s="30" t="s">
        <v>1304</v>
      </c>
      <c r="BQ115" s="30" t="s">
        <v>81</v>
      </c>
      <c r="BR115" s="30" t="s">
        <v>1305</v>
      </c>
      <c r="BS115" s="30" t="s">
        <v>83</v>
      </c>
      <c r="BT115" s="30"/>
      <c r="BU115" s="30"/>
      <c r="BV115" s="30"/>
      <c r="BW115" s="30"/>
      <c r="BX115" s="36">
        <v>450</v>
      </c>
      <c r="BY115" s="34">
        <v>18287722</v>
      </c>
      <c r="BZ115" s="36">
        <v>750</v>
      </c>
      <c r="CA115" s="34"/>
      <c r="CB115" s="34">
        <v>13500000000</v>
      </c>
      <c r="CC115" s="32">
        <f t="shared" si="10"/>
        <v>8229474900</v>
      </c>
      <c r="CD115" s="30" t="s">
        <v>1306</v>
      </c>
      <c r="CE115" s="30" t="s">
        <v>81</v>
      </c>
      <c r="CF115" s="30" t="s">
        <v>1281</v>
      </c>
      <c r="CG115" s="30"/>
      <c r="CH115" s="30"/>
      <c r="CI115" s="64"/>
      <c r="CJ115" s="64"/>
      <c r="CK115" s="64"/>
      <c r="CL115" s="64"/>
    </row>
    <row r="116" spans="2:90" ht="135" customHeight="1" x14ac:dyDescent="0.25">
      <c r="B116" s="30" t="s">
        <v>1298</v>
      </c>
      <c r="C116" s="30" t="s">
        <v>1307</v>
      </c>
      <c r="D116" s="33">
        <v>45467</v>
      </c>
      <c r="E116" s="30" t="s">
        <v>1308</v>
      </c>
      <c r="F116" s="30" t="s">
        <v>220</v>
      </c>
      <c r="G116" s="30"/>
      <c r="H116" s="30" t="s">
        <v>77</v>
      </c>
      <c r="I116" s="35">
        <v>390</v>
      </c>
      <c r="J116" s="30" t="s">
        <v>70</v>
      </c>
      <c r="K116" s="35"/>
      <c r="L116" s="35"/>
      <c r="M116" s="30"/>
      <c r="N116" s="30"/>
      <c r="O116" s="30"/>
      <c r="P116" s="30"/>
      <c r="Q116" s="30" t="s">
        <v>1309</v>
      </c>
      <c r="R116" s="30" t="s">
        <v>1310</v>
      </c>
      <c r="S116" s="30" t="s">
        <v>349</v>
      </c>
      <c r="T116" s="30" t="s">
        <v>1064</v>
      </c>
      <c r="U116" s="30" t="s">
        <v>98</v>
      </c>
      <c r="V116" s="30" t="s">
        <v>84</v>
      </c>
      <c r="W116" s="30" t="s">
        <v>72</v>
      </c>
      <c r="X116" s="30" t="s">
        <v>195</v>
      </c>
      <c r="Y116" s="30" t="s">
        <v>280</v>
      </c>
      <c r="Z116" s="33">
        <v>45447</v>
      </c>
      <c r="AA116" s="33">
        <v>45447</v>
      </c>
      <c r="AB116" s="30" t="s">
        <v>90</v>
      </c>
      <c r="AC116" s="30"/>
      <c r="AD116" s="30"/>
      <c r="AE116" s="30"/>
      <c r="AF116" s="30"/>
      <c r="AG116" s="30"/>
      <c r="AH116" s="30"/>
      <c r="AI116" s="30"/>
      <c r="AJ116" s="31">
        <f t="shared" si="6"/>
        <v>390</v>
      </c>
      <c r="AK116" s="34">
        <f>6786000000/AJ116</f>
        <v>17400000</v>
      </c>
      <c r="AL116" s="31">
        <f t="shared" si="7"/>
        <v>0</v>
      </c>
      <c r="AM116" s="34"/>
      <c r="AN116" s="34"/>
      <c r="AO116" s="34">
        <f t="shared" si="11"/>
        <v>6786000000</v>
      </c>
      <c r="AP116" s="30" t="s">
        <v>1311</v>
      </c>
      <c r="AQ116" s="30" t="s">
        <v>83</v>
      </c>
      <c r="AR116" s="30"/>
      <c r="AS116" s="30"/>
      <c r="AT116" s="30"/>
      <c r="AU116" s="30"/>
      <c r="AV116" s="35">
        <v>390</v>
      </c>
      <c r="AW116" s="34">
        <v>16931077</v>
      </c>
      <c r="AX116" s="35">
        <v>450</v>
      </c>
      <c r="AY116" s="34"/>
      <c r="AZ116" s="34">
        <v>8500000000</v>
      </c>
      <c r="BA116" s="32">
        <f t="shared" si="8"/>
        <v>6603120030</v>
      </c>
      <c r="BB116" s="30" t="s">
        <v>1312</v>
      </c>
      <c r="BC116" s="30" t="s">
        <v>81</v>
      </c>
      <c r="BD116" s="30" t="s">
        <v>1313</v>
      </c>
      <c r="BE116" s="30" t="s">
        <v>77</v>
      </c>
      <c r="BF116" s="30"/>
      <c r="BG116" s="30"/>
      <c r="BH116" s="30"/>
      <c r="BI116" s="30"/>
      <c r="BJ116" s="36">
        <v>390</v>
      </c>
      <c r="BK116" s="34">
        <v>17600000</v>
      </c>
      <c r="BL116" s="36"/>
      <c r="BM116" s="34"/>
      <c r="BN116" s="34">
        <v>8190000000</v>
      </c>
      <c r="BO116" s="32">
        <f t="shared" si="9"/>
        <v>6864000000</v>
      </c>
      <c r="BP116" s="34" t="s">
        <v>1314</v>
      </c>
      <c r="BQ116" s="71" t="s">
        <v>81</v>
      </c>
      <c r="BR116" s="30" t="s">
        <v>1315</v>
      </c>
      <c r="BS116" s="30" t="s">
        <v>77</v>
      </c>
      <c r="BT116" s="30"/>
      <c r="BU116" s="30"/>
      <c r="BV116" s="30"/>
      <c r="BW116" s="30"/>
      <c r="BX116" s="36">
        <v>360</v>
      </c>
      <c r="BY116" s="34">
        <v>18000000</v>
      </c>
      <c r="BZ116" s="36"/>
      <c r="CA116" s="34"/>
      <c r="CB116" s="34">
        <v>7560000000</v>
      </c>
      <c r="CC116" s="32">
        <f t="shared" si="10"/>
        <v>6480000000</v>
      </c>
      <c r="CD116" s="30" t="s">
        <v>1316</v>
      </c>
      <c r="CE116" s="30" t="s">
        <v>81</v>
      </c>
      <c r="CF116" s="30" t="s">
        <v>1281</v>
      </c>
      <c r="CG116" s="30"/>
      <c r="CH116" s="30"/>
      <c r="CI116" s="64"/>
      <c r="CJ116" s="64"/>
      <c r="CK116" s="64"/>
      <c r="CL116" s="64"/>
    </row>
    <row r="117" spans="2:90" ht="150" customHeight="1" x14ac:dyDescent="0.25">
      <c r="B117" s="30" t="s">
        <v>1298</v>
      </c>
      <c r="C117" s="30" t="s">
        <v>1317</v>
      </c>
      <c r="D117" s="33">
        <v>45467</v>
      </c>
      <c r="E117" s="30" t="s">
        <v>1308</v>
      </c>
      <c r="F117" s="30" t="s">
        <v>220</v>
      </c>
      <c r="G117" s="30"/>
      <c r="H117" s="30" t="s">
        <v>77</v>
      </c>
      <c r="I117" s="35">
        <v>1651</v>
      </c>
      <c r="J117" s="30" t="s">
        <v>70</v>
      </c>
      <c r="K117" s="35"/>
      <c r="L117" s="35"/>
      <c r="M117" s="30"/>
      <c r="N117" s="30"/>
      <c r="O117" s="30"/>
      <c r="P117" s="30"/>
      <c r="Q117" s="30" t="s">
        <v>1309</v>
      </c>
      <c r="R117" s="30" t="s">
        <v>1318</v>
      </c>
      <c r="S117" s="30" t="s">
        <v>349</v>
      </c>
      <c r="T117" s="30" t="s">
        <v>1064</v>
      </c>
      <c r="U117" s="30" t="s">
        <v>98</v>
      </c>
      <c r="V117" s="30" t="s">
        <v>84</v>
      </c>
      <c r="W117" s="30" t="s">
        <v>72</v>
      </c>
      <c r="X117" s="30" t="s">
        <v>195</v>
      </c>
      <c r="Y117" s="30" t="s">
        <v>280</v>
      </c>
      <c r="Z117" s="33">
        <v>45447</v>
      </c>
      <c r="AA117" s="33">
        <v>45447</v>
      </c>
      <c r="AB117" s="30" t="s">
        <v>90</v>
      </c>
      <c r="AC117" s="30"/>
      <c r="AD117" s="30"/>
      <c r="AE117" s="30"/>
      <c r="AF117" s="30"/>
      <c r="AG117" s="30"/>
      <c r="AH117" s="30"/>
      <c r="AI117" s="30"/>
      <c r="AJ117" s="31">
        <f t="shared" si="6"/>
        <v>1651</v>
      </c>
      <c r="AK117" s="34">
        <f>26085800000/AJ117</f>
        <v>15800000</v>
      </c>
      <c r="AL117" s="31">
        <f t="shared" si="7"/>
        <v>0</v>
      </c>
      <c r="AM117" s="34"/>
      <c r="AN117" s="34"/>
      <c r="AO117" s="34">
        <f t="shared" si="11"/>
        <v>26085800000</v>
      </c>
      <c r="AP117" s="30" t="s">
        <v>1319</v>
      </c>
      <c r="AQ117" s="30" t="s">
        <v>83</v>
      </c>
      <c r="AR117" s="30"/>
      <c r="AS117" s="30"/>
      <c r="AT117" s="30"/>
      <c r="AU117" s="30"/>
      <c r="AV117" s="35">
        <v>390</v>
      </c>
      <c r="AW117" s="34">
        <v>16931077</v>
      </c>
      <c r="AX117" s="35">
        <v>450</v>
      </c>
      <c r="AY117" s="34"/>
      <c r="AZ117" s="34">
        <v>8500000000</v>
      </c>
      <c r="BA117" s="32">
        <f t="shared" si="8"/>
        <v>6603120030</v>
      </c>
      <c r="BB117" s="30" t="s">
        <v>1312</v>
      </c>
      <c r="BC117" s="30" t="s">
        <v>81</v>
      </c>
      <c r="BD117" s="30" t="s">
        <v>1313</v>
      </c>
      <c r="BE117" s="30" t="s">
        <v>77</v>
      </c>
      <c r="BF117" s="30"/>
      <c r="BG117" s="30"/>
      <c r="BH117" s="30"/>
      <c r="BI117" s="30"/>
      <c r="BJ117" s="36">
        <v>390</v>
      </c>
      <c r="BK117" s="34">
        <v>17600000</v>
      </c>
      <c r="BL117" s="36"/>
      <c r="BM117" s="34"/>
      <c r="BN117" s="34">
        <v>8190000000</v>
      </c>
      <c r="BO117" s="32">
        <f t="shared" si="9"/>
        <v>6864000000</v>
      </c>
      <c r="BP117" s="34" t="s">
        <v>1314</v>
      </c>
      <c r="BQ117" s="71" t="s">
        <v>81</v>
      </c>
      <c r="BR117" s="30" t="s">
        <v>1315</v>
      </c>
      <c r="BS117" s="30" t="s">
        <v>77</v>
      </c>
      <c r="BT117" s="30"/>
      <c r="BU117" s="30"/>
      <c r="BV117" s="30"/>
      <c r="BW117" s="30"/>
      <c r="BX117" s="36">
        <v>360</v>
      </c>
      <c r="BY117" s="34">
        <v>18000000</v>
      </c>
      <c r="BZ117" s="36"/>
      <c r="CA117" s="34"/>
      <c r="CB117" s="34">
        <v>7560000000</v>
      </c>
      <c r="CC117" s="32">
        <f t="shared" si="10"/>
        <v>6480000000</v>
      </c>
      <c r="CD117" s="30" t="s">
        <v>1316</v>
      </c>
      <c r="CE117" s="30" t="s">
        <v>81</v>
      </c>
      <c r="CF117" s="30" t="s">
        <v>1281</v>
      </c>
      <c r="CG117" s="30"/>
      <c r="CH117" s="30"/>
      <c r="CI117" s="64"/>
      <c r="CJ117" s="64"/>
      <c r="CK117" s="64"/>
      <c r="CL117" s="64"/>
    </row>
    <row r="118" spans="2:90" ht="135" customHeight="1" x14ac:dyDescent="0.25">
      <c r="B118" s="30" t="s">
        <v>1298</v>
      </c>
      <c r="C118" s="30" t="s">
        <v>1320</v>
      </c>
      <c r="D118" s="33">
        <v>45467</v>
      </c>
      <c r="E118" s="30" t="s">
        <v>1308</v>
      </c>
      <c r="F118" s="30" t="s">
        <v>220</v>
      </c>
      <c r="G118" s="30"/>
      <c r="H118" s="30" t="s">
        <v>77</v>
      </c>
      <c r="I118" s="35">
        <v>660</v>
      </c>
      <c r="J118" s="30" t="s">
        <v>70</v>
      </c>
      <c r="K118" s="35"/>
      <c r="L118" s="35"/>
      <c r="M118" s="30"/>
      <c r="N118" s="30"/>
      <c r="O118" s="30"/>
      <c r="P118" s="30"/>
      <c r="Q118" s="30" t="s">
        <v>1300</v>
      </c>
      <c r="R118" s="30" t="s">
        <v>1321</v>
      </c>
      <c r="S118" s="30" t="s">
        <v>349</v>
      </c>
      <c r="T118" s="30" t="s">
        <v>1064</v>
      </c>
      <c r="U118" s="30" t="s">
        <v>98</v>
      </c>
      <c r="V118" s="30" t="s">
        <v>84</v>
      </c>
      <c r="W118" s="30" t="s">
        <v>72</v>
      </c>
      <c r="X118" s="30" t="s">
        <v>195</v>
      </c>
      <c r="Y118" s="30" t="s">
        <v>280</v>
      </c>
      <c r="Z118" s="33">
        <v>45447</v>
      </c>
      <c r="AA118" s="33">
        <v>45447</v>
      </c>
      <c r="AB118" s="30" t="s">
        <v>90</v>
      </c>
      <c r="AC118" s="30"/>
      <c r="AD118" s="30"/>
      <c r="AE118" s="30"/>
      <c r="AF118" s="30"/>
      <c r="AG118" s="30"/>
      <c r="AH118" s="30"/>
      <c r="AI118" s="30"/>
      <c r="AJ118" s="31">
        <f t="shared" si="6"/>
        <v>660</v>
      </c>
      <c r="AK118" s="34">
        <f>12012000000/AJ118</f>
        <v>18200000</v>
      </c>
      <c r="AL118" s="31">
        <f t="shared" si="7"/>
        <v>0</v>
      </c>
      <c r="AM118" s="34"/>
      <c r="AN118" s="34"/>
      <c r="AO118" s="34">
        <f t="shared" si="11"/>
        <v>12012000000</v>
      </c>
      <c r="AP118" s="30" t="s">
        <v>1302</v>
      </c>
      <c r="AQ118" s="30" t="s">
        <v>77</v>
      </c>
      <c r="AR118" s="30"/>
      <c r="AS118" s="30"/>
      <c r="AT118" s="30"/>
      <c r="AU118" s="30"/>
      <c r="AV118" s="35">
        <v>450</v>
      </c>
      <c r="AW118" s="34">
        <v>18500000</v>
      </c>
      <c r="AX118" s="35"/>
      <c r="AY118" s="34"/>
      <c r="AZ118" s="34">
        <v>9900000000</v>
      </c>
      <c r="BA118" s="32">
        <f t="shared" si="8"/>
        <v>8325000000</v>
      </c>
      <c r="BB118" s="30" t="s">
        <v>1303</v>
      </c>
      <c r="BC118" s="30" t="s">
        <v>81</v>
      </c>
      <c r="BD118" s="30" t="s">
        <v>1302</v>
      </c>
      <c r="BE118" s="30" t="s">
        <v>77</v>
      </c>
      <c r="BF118" s="30"/>
      <c r="BG118" s="30"/>
      <c r="BH118" s="30"/>
      <c r="BI118" s="30"/>
      <c r="BJ118" s="36">
        <v>760</v>
      </c>
      <c r="BK118" s="34">
        <v>19000000</v>
      </c>
      <c r="BL118" s="36"/>
      <c r="BM118" s="34"/>
      <c r="BN118" s="34">
        <v>17480000000</v>
      </c>
      <c r="BO118" s="32">
        <f t="shared" si="9"/>
        <v>14440000000</v>
      </c>
      <c r="BP118" s="30" t="s">
        <v>1304</v>
      </c>
      <c r="BQ118" s="30" t="s">
        <v>81</v>
      </c>
      <c r="BR118" s="30" t="s">
        <v>1305</v>
      </c>
      <c r="BS118" s="30" t="s">
        <v>83</v>
      </c>
      <c r="BT118" s="30"/>
      <c r="BU118" s="30"/>
      <c r="BV118" s="30"/>
      <c r="BW118" s="30"/>
      <c r="BX118" s="36">
        <v>450</v>
      </c>
      <c r="BY118" s="34">
        <v>18287722</v>
      </c>
      <c r="BZ118" s="36">
        <v>750</v>
      </c>
      <c r="CA118" s="34"/>
      <c r="CB118" s="34">
        <v>13500000000</v>
      </c>
      <c r="CC118" s="32">
        <f t="shared" si="10"/>
        <v>8229474900</v>
      </c>
      <c r="CD118" s="30" t="s">
        <v>1306</v>
      </c>
      <c r="CE118" s="30" t="s">
        <v>81</v>
      </c>
      <c r="CF118" s="30" t="s">
        <v>1281</v>
      </c>
      <c r="CG118" s="30"/>
      <c r="CH118" s="30"/>
      <c r="CI118" s="64"/>
      <c r="CJ118" s="64"/>
      <c r="CK118" s="64"/>
      <c r="CL118" s="64"/>
    </row>
    <row r="119" spans="2:90" ht="150" customHeight="1" x14ac:dyDescent="0.25">
      <c r="B119" s="30" t="s">
        <v>1298</v>
      </c>
      <c r="C119" s="30" t="s">
        <v>1322</v>
      </c>
      <c r="D119" s="33">
        <v>45467</v>
      </c>
      <c r="E119" s="30" t="s">
        <v>1308</v>
      </c>
      <c r="F119" s="30" t="s">
        <v>220</v>
      </c>
      <c r="G119" s="30"/>
      <c r="H119" s="30" t="s">
        <v>77</v>
      </c>
      <c r="I119" s="35">
        <v>390</v>
      </c>
      <c r="J119" s="30" t="s">
        <v>70</v>
      </c>
      <c r="K119" s="35"/>
      <c r="L119" s="35"/>
      <c r="M119" s="30"/>
      <c r="N119" s="30"/>
      <c r="O119" s="30"/>
      <c r="P119" s="30"/>
      <c r="Q119" s="30" t="s">
        <v>1300</v>
      </c>
      <c r="R119" s="30" t="s">
        <v>1323</v>
      </c>
      <c r="S119" s="30" t="s">
        <v>349</v>
      </c>
      <c r="T119" s="30" t="s">
        <v>1064</v>
      </c>
      <c r="U119" s="30" t="s">
        <v>98</v>
      </c>
      <c r="V119" s="30" t="s">
        <v>84</v>
      </c>
      <c r="W119" s="30" t="s">
        <v>72</v>
      </c>
      <c r="X119" s="30" t="s">
        <v>195</v>
      </c>
      <c r="Y119" s="30" t="s">
        <v>280</v>
      </c>
      <c r="Z119" s="33">
        <v>45447</v>
      </c>
      <c r="AA119" s="33">
        <v>45447</v>
      </c>
      <c r="AB119" s="30" t="s">
        <v>90</v>
      </c>
      <c r="AC119" s="30"/>
      <c r="AD119" s="30"/>
      <c r="AE119" s="30"/>
      <c r="AF119" s="30"/>
      <c r="AG119" s="30"/>
      <c r="AH119" s="30"/>
      <c r="AI119" s="30"/>
      <c r="AJ119" s="31">
        <f t="shared" si="6"/>
        <v>390</v>
      </c>
      <c r="AK119" s="34">
        <f t="shared" ref="AK119:AK124" si="12">6786000000/AJ119</f>
        <v>17400000</v>
      </c>
      <c r="AL119" s="31">
        <f t="shared" si="7"/>
        <v>0</v>
      </c>
      <c r="AM119" s="34"/>
      <c r="AN119" s="34"/>
      <c r="AO119" s="34">
        <f t="shared" si="11"/>
        <v>6786000000</v>
      </c>
      <c r="AP119" s="30" t="s">
        <v>1319</v>
      </c>
      <c r="AQ119" s="30" t="s">
        <v>83</v>
      </c>
      <c r="AR119" s="30"/>
      <c r="AS119" s="30"/>
      <c r="AT119" s="30"/>
      <c r="AU119" s="30"/>
      <c r="AV119" s="35">
        <v>390</v>
      </c>
      <c r="AW119" s="34">
        <v>16931077</v>
      </c>
      <c r="AX119" s="35">
        <v>450</v>
      </c>
      <c r="AY119" s="34"/>
      <c r="AZ119" s="34">
        <v>8500000000</v>
      </c>
      <c r="BA119" s="32">
        <f t="shared" si="8"/>
        <v>6603120030</v>
      </c>
      <c r="BB119" s="30" t="s">
        <v>1312</v>
      </c>
      <c r="BC119" s="30" t="s">
        <v>81</v>
      </c>
      <c r="BD119" s="30" t="s">
        <v>1313</v>
      </c>
      <c r="BE119" s="30" t="s">
        <v>77</v>
      </c>
      <c r="BF119" s="30"/>
      <c r="BG119" s="30"/>
      <c r="BH119" s="30"/>
      <c r="BI119" s="30"/>
      <c r="BJ119" s="36">
        <v>390</v>
      </c>
      <c r="BK119" s="34">
        <v>17600000</v>
      </c>
      <c r="BL119" s="36"/>
      <c r="BM119" s="34"/>
      <c r="BN119" s="34">
        <v>8190000000</v>
      </c>
      <c r="BO119" s="32">
        <f t="shared" si="9"/>
        <v>6864000000</v>
      </c>
      <c r="BP119" s="34" t="s">
        <v>1314</v>
      </c>
      <c r="BQ119" s="71" t="s">
        <v>81</v>
      </c>
      <c r="BR119" s="30" t="s">
        <v>1315</v>
      </c>
      <c r="BS119" s="30" t="s">
        <v>77</v>
      </c>
      <c r="BT119" s="30"/>
      <c r="BU119" s="30"/>
      <c r="BV119" s="30"/>
      <c r="BW119" s="30"/>
      <c r="BX119" s="36">
        <v>360</v>
      </c>
      <c r="BY119" s="34">
        <v>18000000</v>
      </c>
      <c r="BZ119" s="36"/>
      <c r="CA119" s="34"/>
      <c r="CB119" s="34">
        <v>7560000000</v>
      </c>
      <c r="CC119" s="32">
        <f t="shared" si="10"/>
        <v>6480000000</v>
      </c>
      <c r="CD119" s="30" t="s">
        <v>1316</v>
      </c>
      <c r="CE119" s="30" t="s">
        <v>81</v>
      </c>
      <c r="CF119" s="30" t="s">
        <v>1281</v>
      </c>
      <c r="CG119" s="30"/>
      <c r="CH119" s="30"/>
      <c r="CI119" s="64"/>
      <c r="CJ119" s="64"/>
      <c r="CK119" s="64"/>
      <c r="CL119" s="64"/>
    </row>
    <row r="120" spans="2:90" ht="135" customHeight="1" x14ac:dyDescent="0.25">
      <c r="B120" s="30" t="s">
        <v>1298</v>
      </c>
      <c r="C120" s="30" t="s">
        <v>1324</v>
      </c>
      <c r="D120" s="33">
        <v>45467</v>
      </c>
      <c r="E120" s="30" t="s">
        <v>1308</v>
      </c>
      <c r="F120" s="30" t="s">
        <v>220</v>
      </c>
      <c r="G120" s="30"/>
      <c r="H120" s="30" t="s">
        <v>83</v>
      </c>
      <c r="I120" s="35">
        <v>390</v>
      </c>
      <c r="J120" s="30" t="s">
        <v>70</v>
      </c>
      <c r="K120" s="35">
        <v>430</v>
      </c>
      <c r="L120" s="35"/>
      <c r="M120" s="30"/>
      <c r="N120" s="30"/>
      <c r="O120" s="30"/>
      <c r="P120" s="30"/>
      <c r="Q120" s="30" t="s">
        <v>1300</v>
      </c>
      <c r="R120" s="30" t="s">
        <v>1325</v>
      </c>
      <c r="S120" s="30" t="s">
        <v>349</v>
      </c>
      <c r="T120" s="30" t="s">
        <v>1064</v>
      </c>
      <c r="U120" s="30" t="s">
        <v>98</v>
      </c>
      <c r="V120" s="30" t="s">
        <v>84</v>
      </c>
      <c r="W120" s="30" t="s">
        <v>72</v>
      </c>
      <c r="X120" s="30" t="s">
        <v>195</v>
      </c>
      <c r="Y120" s="30" t="s">
        <v>280</v>
      </c>
      <c r="Z120" s="33">
        <v>45447</v>
      </c>
      <c r="AA120" s="33">
        <v>45447</v>
      </c>
      <c r="AB120" s="30" t="s">
        <v>90</v>
      </c>
      <c r="AC120" s="30"/>
      <c r="AD120" s="30"/>
      <c r="AE120" s="30"/>
      <c r="AF120" s="30"/>
      <c r="AG120" s="30"/>
      <c r="AH120" s="30"/>
      <c r="AI120" s="30"/>
      <c r="AJ120" s="31">
        <f t="shared" si="6"/>
        <v>390</v>
      </c>
      <c r="AK120" s="34">
        <f t="shared" si="12"/>
        <v>17400000</v>
      </c>
      <c r="AL120" s="31">
        <f t="shared" si="7"/>
        <v>430</v>
      </c>
      <c r="AM120" s="34">
        <f>2112300000/AL120</f>
        <v>4912325.5813953485</v>
      </c>
      <c r="AN120" s="34"/>
      <c r="AO120" s="34">
        <f t="shared" si="11"/>
        <v>8898300000</v>
      </c>
      <c r="AP120" s="30" t="s">
        <v>1319</v>
      </c>
      <c r="AQ120" s="30" t="s">
        <v>83</v>
      </c>
      <c r="AR120" s="30"/>
      <c r="AS120" s="30"/>
      <c r="AT120" s="30"/>
      <c r="AU120" s="30"/>
      <c r="AV120" s="35">
        <v>390</v>
      </c>
      <c r="AW120" s="34">
        <v>16931077</v>
      </c>
      <c r="AX120" s="35">
        <v>450</v>
      </c>
      <c r="AY120" s="34"/>
      <c r="AZ120" s="34">
        <v>8500000000</v>
      </c>
      <c r="BA120" s="32">
        <f t="shared" si="8"/>
        <v>6603120030</v>
      </c>
      <c r="BB120" s="30" t="s">
        <v>1312</v>
      </c>
      <c r="BC120" s="30" t="s">
        <v>81</v>
      </c>
      <c r="BD120" s="30" t="s">
        <v>1313</v>
      </c>
      <c r="BE120" s="30" t="s">
        <v>77</v>
      </c>
      <c r="BF120" s="30"/>
      <c r="BG120" s="30"/>
      <c r="BH120" s="30"/>
      <c r="BI120" s="30"/>
      <c r="BJ120" s="36">
        <v>390</v>
      </c>
      <c r="BK120" s="34">
        <v>17600000</v>
      </c>
      <c r="BL120" s="36"/>
      <c r="BM120" s="34"/>
      <c r="BN120" s="34">
        <v>8190000000</v>
      </c>
      <c r="BO120" s="32">
        <f t="shared" si="9"/>
        <v>6864000000</v>
      </c>
      <c r="BP120" s="34" t="s">
        <v>1314</v>
      </c>
      <c r="BQ120" s="71" t="s">
        <v>81</v>
      </c>
      <c r="BR120" s="30" t="s">
        <v>1315</v>
      </c>
      <c r="BS120" s="30" t="s">
        <v>77</v>
      </c>
      <c r="BT120" s="30"/>
      <c r="BU120" s="30"/>
      <c r="BV120" s="30"/>
      <c r="BW120" s="30"/>
      <c r="BX120" s="36">
        <v>360</v>
      </c>
      <c r="BY120" s="34">
        <v>18000000</v>
      </c>
      <c r="BZ120" s="36"/>
      <c r="CA120" s="34"/>
      <c r="CB120" s="34">
        <v>7560000000</v>
      </c>
      <c r="CC120" s="32">
        <f t="shared" si="10"/>
        <v>6480000000</v>
      </c>
      <c r="CD120" s="30" t="s">
        <v>1316</v>
      </c>
      <c r="CE120" s="30" t="s">
        <v>81</v>
      </c>
      <c r="CF120" s="30" t="s">
        <v>1281</v>
      </c>
      <c r="CG120" s="30"/>
      <c r="CH120" s="30"/>
      <c r="CI120" s="64"/>
      <c r="CJ120" s="64"/>
      <c r="CK120" s="64"/>
      <c r="CL120" s="64"/>
    </row>
    <row r="121" spans="2:90" ht="135" customHeight="1" x14ac:dyDescent="0.25">
      <c r="B121" s="30" t="s">
        <v>1298</v>
      </c>
      <c r="C121" s="30" t="s">
        <v>1326</v>
      </c>
      <c r="D121" s="33">
        <v>45467</v>
      </c>
      <c r="E121" s="30" t="s">
        <v>1308</v>
      </c>
      <c r="F121" s="30" t="s">
        <v>220</v>
      </c>
      <c r="G121" s="30"/>
      <c r="H121" s="30" t="s">
        <v>83</v>
      </c>
      <c r="I121" s="35">
        <v>390</v>
      </c>
      <c r="J121" s="30" t="s">
        <v>70</v>
      </c>
      <c r="K121" s="35">
        <v>410</v>
      </c>
      <c r="L121" s="35"/>
      <c r="M121" s="30"/>
      <c r="N121" s="30"/>
      <c r="O121" s="30"/>
      <c r="P121" s="30"/>
      <c r="Q121" s="30" t="s">
        <v>1300</v>
      </c>
      <c r="R121" s="30" t="s">
        <v>1327</v>
      </c>
      <c r="S121" s="30" t="s">
        <v>349</v>
      </c>
      <c r="T121" s="30" t="s">
        <v>1064</v>
      </c>
      <c r="U121" s="30" t="s">
        <v>98</v>
      </c>
      <c r="V121" s="30" t="s">
        <v>84</v>
      </c>
      <c r="W121" s="30" t="s">
        <v>72</v>
      </c>
      <c r="X121" s="30" t="s">
        <v>195</v>
      </c>
      <c r="Y121" s="30" t="s">
        <v>280</v>
      </c>
      <c r="Z121" s="33">
        <v>45447</v>
      </c>
      <c r="AA121" s="33">
        <v>45447</v>
      </c>
      <c r="AB121" s="30" t="s">
        <v>90</v>
      </c>
      <c r="AC121" s="30"/>
      <c r="AD121" s="30"/>
      <c r="AE121" s="30"/>
      <c r="AF121" s="30"/>
      <c r="AG121" s="30"/>
      <c r="AH121" s="30"/>
      <c r="AI121" s="30"/>
      <c r="AJ121" s="31">
        <f t="shared" si="6"/>
        <v>390</v>
      </c>
      <c r="AK121" s="34">
        <f t="shared" si="12"/>
        <v>17400000</v>
      </c>
      <c r="AL121" s="31">
        <f t="shared" si="7"/>
        <v>410</v>
      </c>
      <c r="AM121" s="34">
        <f>1403000000/AL121</f>
        <v>3421951.2195121953</v>
      </c>
      <c r="AN121" s="34"/>
      <c r="AO121" s="34">
        <f t="shared" si="11"/>
        <v>8189000000</v>
      </c>
      <c r="AP121" s="30" t="s">
        <v>1319</v>
      </c>
      <c r="AQ121" s="30" t="s">
        <v>83</v>
      </c>
      <c r="AR121" s="30"/>
      <c r="AS121" s="30"/>
      <c r="AT121" s="30"/>
      <c r="AU121" s="30"/>
      <c r="AV121" s="35">
        <v>390</v>
      </c>
      <c r="AW121" s="34">
        <v>16931077</v>
      </c>
      <c r="AX121" s="35">
        <v>450</v>
      </c>
      <c r="AY121" s="34"/>
      <c r="AZ121" s="34">
        <v>8500000000</v>
      </c>
      <c r="BA121" s="32">
        <f t="shared" si="8"/>
        <v>6603120030</v>
      </c>
      <c r="BB121" s="30" t="s">
        <v>1312</v>
      </c>
      <c r="BC121" s="30" t="s">
        <v>81</v>
      </c>
      <c r="BD121" s="30" t="s">
        <v>1313</v>
      </c>
      <c r="BE121" s="30" t="s">
        <v>77</v>
      </c>
      <c r="BF121" s="30"/>
      <c r="BG121" s="30"/>
      <c r="BH121" s="30"/>
      <c r="BI121" s="30"/>
      <c r="BJ121" s="36">
        <v>390</v>
      </c>
      <c r="BK121" s="34">
        <v>17600000</v>
      </c>
      <c r="BL121" s="36"/>
      <c r="BM121" s="34"/>
      <c r="BN121" s="34">
        <v>8190000000</v>
      </c>
      <c r="BO121" s="32">
        <f t="shared" si="9"/>
        <v>6864000000</v>
      </c>
      <c r="BP121" s="34" t="s">
        <v>1314</v>
      </c>
      <c r="BQ121" s="71" t="s">
        <v>81</v>
      </c>
      <c r="BR121" s="30" t="s">
        <v>1315</v>
      </c>
      <c r="BS121" s="30" t="s">
        <v>77</v>
      </c>
      <c r="BT121" s="30"/>
      <c r="BU121" s="30"/>
      <c r="BV121" s="30"/>
      <c r="BW121" s="30"/>
      <c r="BX121" s="36">
        <v>360</v>
      </c>
      <c r="BY121" s="34">
        <v>18000000</v>
      </c>
      <c r="BZ121" s="36"/>
      <c r="CA121" s="34"/>
      <c r="CB121" s="34">
        <v>7560000000</v>
      </c>
      <c r="CC121" s="32">
        <f t="shared" si="10"/>
        <v>6480000000</v>
      </c>
      <c r="CD121" s="30" t="s">
        <v>1316</v>
      </c>
      <c r="CE121" s="30" t="s">
        <v>81</v>
      </c>
      <c r="CF121" s="30" t="s">
        <v>1281</v>
      </c>
      <c r="CG121" s="30"/>
      <c r="CH121" s="30"/>
      <c r="CI121" s="64"/>
      <c r="CJ121" s="64"/>
      <c r="CK121" s="64"/>
      <c r="CL121" s="64"/>
    </row>
    <row r="122" spans="2:90" ht="135" customHeight="1" x14ac:dyDescent="0.25">
      <c r="B122" s="30" t="s">
        <v>1298</v>
      </c>
      <c r="C122" s="30" t="s">
        <v>1328</v>
      </c>
      <c r="D122" s="33">
        <v>45467</v>
      </c>
      <c r="E122" s="30" t="s">
        <v>1308</v>
      </c>
      <c r="F122" s="30" t="s">
        <v>220</v>
      </c>
      <c r="G122" s="30"/>
      <c r="H122" s="30" t="s">
        <v>83</v>
      </c>
      <c r="I122" s="35">
        <v>390</v>
      </c>
      <c r="J122" s="30" t="s">
        <v>70</v>
      </c>
      <c r="K122" s="35">
        <v>424</v>
      </c>
      <c r="L122" s="35"/>
      <c r="M122" s="30"/>
      <c r="N122" s="30"/>
      <c r="O122" s="30"/>
      <c r="P122" s="30"/>
      <c r="Q122" s="30" t="s">
        <v>1300</v>
      </c>
      <c r="R122" s="30" t="s">
        <v>1329</v>
      </c>
      <c r="S122" s="30" t="s">
        <v>349</v>
      </c>
      <c r="T122" s="30" t="s">
        <v>1064</v>
      </c>
      <c r="U122" s="30" t="s">
        <v>98</v>
      </c>
      <c r="V122" s="30" t="s">
        <v>84</v>
      </c>
      <c r="W122" s="30" t="s">
        <v>72</v>
      </c>
      <c r="X122" s="30" t="s">
        <v>195</v>
      </c>
      <c r="Y122" s="30" t="s">
        <v>280</v>
      </c>
      <c r="Z122" s="33">
        <v>45447</v>
      </c>
      <c r="AA122" s="33">
        <v>45447</v>
      </c>
      <c r="AB122" s="30" t="s">
        <v>90</v>
      </c>
      <c r="AC122" s="30"/>
      <c r="AD122" s="30"/>
      <c r="AE122" s="30"/>
      <c r="AF122" s="30"/>
      <c r="AG122" s="30"/>
      <c r="AH122" s="30"/>
      <c r="AI122" s="30"/>
      <c r="AJ122" s="31">
        <f t="shared" si="6"/>
        <v>390</v>
      </c>
      <c r="AK122" s="34">
        <f t="shared" si="12"/>
        <v>17400000</v>
      </c>
      <c r="AL122" s="31">
        <f t="shared" si="7"/>
        <v>424</v>
      </c>
      <c r="AM122" s="34">
        <f>1450900000/AL122</f>
        <v>3421933.9622641508</v>
      </c>
      <c r="AN122" s="34"/>
      <c r="AO122" s="34">
        <f t="shared" si="11"/>
        <v>8236900000</v>
      </c>
      <c r="AP122" s="30" t="s">
        <v>1319</v>
      </c>
      <c r="AQ122" s="30" t="s">
        <v>83</v>
      </c>
      <c r="AR122" s="30"/>
      <c r="AS122" s="30"/>
      <c r="AT122" s="30"/>
      <c r="AU122" s="30"/>
      <c r="AV122" s="35">
        <v>390</v>
      </c>
      <c r="AW122" s="34">
        <v>16931077</v>
      </c>
      <c r="AX122" s="35">
        <v>450</v>
      </c>
      <c r="AY122" s="34"/>
      <c r="AZ122" s="34">
        <v>8500000000</v>
      </c>
      <c r="BA122" s="32">
        <f t="shared" si="8"/>
        <v>6603120030</v>
      </c>
      <c r="BB122" s="30" t="s">
        <v>1312</v>
      </c>
      <c r="BC122" s="30" t="s">
        <v>81</v>
      </c>
      <c r="BD122" s="30" t="s">
        <v>1313</v>
      </c>
      <c r="BE122" s="30" t="s">
        <v>77</v>
      </c>
      <c r="BF122" s="30"/>
      <c r="BG122" s="30"/>
      <c r="BH122" s="30"/>
      <c r="BI122" s="30"/>
      <c r="BJ122" s="36">
        <v>390</v>
      </c>
      <c r="BK122" s="34">
        <v>17600000</v>
      </c>
      <c r="BL122" s="36"/>
      <c r="BM122" s="34"/>
      <c r="BN122" s="34">
        <v>8190000000</v>
      </c>
      <c r="BO122" s="32">
        <f t="shared" si="9"/>
        <v>6864000000</v>
      </c>
      <c r="BP122" s="34" t="s">
        <v>1314</v>
      </c>
      <c r="BQ122" s="71" t="s">
        <v>81</v>
      </c>
      <c r="BR122" s="30" t="s">
        <v>1315</v>
      </c>
      <c r="BS122" s="30" t="s">
        <v>77</v>
      </c>
      <c r="BT122" s="30"/>
      <c r="BU122" s="30"/>
      <c r="BV122" s="30"/>
      <c r="BW122" s="30"/>
      <c r="BX122" s="36">
        <v>360</v>
      </c>
      <c r="BY122" s="34">
        <v>18000000</v>
      </c>
      <c r="BZ122" s="36"/>
      <c r="CA122" s="34"/>
      <c r="CB122" s="34">
        <v>7560000000</v>
      </c>
      <c r="CC122" s="32">
        <f t="shared" si="10"/>
        <v>6480000000</v>
      </c>
      <c r="CD122" s="30" t="s">
        <v>1316</v>
      </c>
      <c r="CE122" s="30" t="s">
        <v>81</v>
      </c>
      <c r="CF122" s="30" t="s">
        <v>1281</v>
      </c>
      <c r="CG122" s="30"/>
      <c r="CH122" s="30"/>
      <c r="CI122" s="64"/>
      <c r="CJ122" s="64"/>
      <c r="CK122" s="64"/>
      <c r="CL122" s="64"/>
    </row>
    <row r="123" spans="2:90" ht="135" customHeight="1" x14ac:dyDescent="0.25">
      <c r="B123" s="30" t="s">
        <v>1298</v>
      </c>
      <c r="C123" s="30" t="s">
        <v>1330</v>
      </c>
      <c r="D123" s="33">
        <v>45467</v>
      </c>
      <c r="E123" s="30" t="s">
        <v>1308</v>
      </c>
      <c r="F123" s="30" t="s">
        <v>220</v>
      </c>
      <c r="G123" s="30"/>
      <c r="H123" s="30" t="s">
        <v>83</v>
      </c>
      <c r="I123" s="35">
        <v>390</v>
      </c>
      <c r="J123" s="30" t="s">
        <v>70</v>
      </c>
      <c r="K123" s="35">
        <v>410</v>
      </c>
      <c r="L123" s="35"/>
      <c r="M123" s="30"/>
      <c r="N123" s="30"/>
      <c r="O123" s="30"/>
      <c r="P123" s="30"/>
      <c r="Q123" s="30" t="s">
        <v>1300</v>
      </c>
      <c r="R123" s="30" t="s">
        <v>1331</v>
      </c>
      <c r="S123" s="30" t="s">
        <v>349</v>
      </c>
      <c r="T123" s="30" t="s">
        <v>1064</v>
      </c>
      <c r="U123" s="30" t="s">
        <v>98</v>
      </c>
      <c r="V123" s="30" t="s">
        <v>84</v>
      </c>
      <c r="W123" s="30" t="s">
        <v>72</v>
      </c>
      <c r="X123" s="30" t="s">
        <v>195</v>
      </c>
      <c r="Y123" s="30" t="s">
        <v>280</v>
      </c>
      <c r="Z123" s="33">
        <v>45447</v>
      </c>
      <c r="AA123" s="33">
        <v>45447</v>
      </c>
      <c r="AB123" s="30" t="s">
        <v>90</v>
      </c>
      <c r="AC123" s="30"/>
      <c r="AD123" s="30"/>
      <c r="AE123" s="30"/>
      <c r="AF123" s="30"/>
      <c r="AG123" s="30"/>
      <c r="AH123" s="30"/>
      <c r="AI123" s="30"/>
      <c r="AJ123" s="31">
        <f t="shared" si="6"/>
        <v>390</v>
      </c>
      <c r="AK123" s="34">
        <f t="shared" si="12"/>
        <v>17400000</v>
      </c>
      <c r="AL123" s="31">
        <f t="shared" si="7"/>
        <v>410</v>
      </c>
      <c r="AM123" s="34">
        <f>1403000000/AL123</f>
        <v>3421951.2195121953</v>
      </c>
      <c r="AN123" s="34"/>
      <c r="AO123" s="34">
        <f t="shared" si="11"/>
        <v>8189000000</v>
      </c>
      <c r="AP123" s="30" t="s">
        <v>1319</v>
      </c>
      <c r="AQ123" s="30" t="s">
        <v>83</v>
      </c>
      <c r="AR123" s="30"/>
      <c r="AS123" s="30"/>
      <c r="AT123" s="30"/>
      <c r="AU123" s="30"/>
      <c r="AV123" s="35">
        <v>390</v>
      </c>
      <c r="AW123" s="34">
        <v>16931077</v>
      </c>
      <c r="AX123" s="35">
        <v>450</v>
      </c>
      <c r="AY123" s="34"/>
      <c r="AZ123" s="34">
        <v>8500000000</v>
      </c>
      <c r="BA123" s="32">
        <f t="shared" si="8"/>
        <v>6603120030</v>
      </c>
      <c r="BB123" s="30" t="s">
        <v>1312</v>
      </c>
      <c r="BC123" s="30" t="s">
        <v>81</v>
      </c>
      <c r="BD123" s="30" t="s">
        <v>1313</v>
      </c>
      <c r="BE123" s="30" t="s">
        <v>77</v>
      </c>
      <c r="BF123" s="30"/>
      <c r="BG123" s="30"/>
      <c r="BH123" s="30"/>
      <c r="BI123" s="30"/>
      <c r="BJ123" s="36">
        <v>390</v>
      </c>
      <c r="BK123" s="34">
        <v>17600000</v>
      </c>
      <c r="BL123" s="36"/>
      <c r="BM123" s="34"/>
      <c r="BN123" s="34">
        <v>8190000000</v>
      </c>
      <c r="BO123" s="32">
        <f t="shared" si="9"/>
        <v>6864000000</v>
      </c>
      <c r="BP123" s="34" t="s">
        <v>1314</v>
      </c>
      <c r="BQ123" s="71" t="s">
        <v>81</v>
      </c>
      <c r="BR123" s="30" t="s">
        <v>1315</v>
      </c>
      <c r="BS123" s="30" t="s">
        <v>77</v>
      </c>
      <c r="BT123" s="30"/>
      <c r="BU123" s="30"/>
      <c r="BV123" s="30"/>
      <c r="BW123" s="30"/>
      <c r="BX123" s="36">
        <v>360</v>
      </c>
      <c r="BY123" s="34">
        <v>18000000</v>
      </c>
      <c r="BZ123" s="36"/>
      <c r="CA123" s="34"/>
      <c r="CB123" s="34">
        <v>7560000000</v>
      </c>
      <c r="CC123" s="32">
        <f t="shared" si="10"/>
        <v>6480000000</v>
      </c>
      <c r="CD123" s="30" t="s">
        <v>1316</v>
      </c>
      <c r="CE123" s="30" t="s">
        <v>81</v>
      </c>
      <c r="CF123" s="30" t="s">
        <v>1281</v>
      </c>
      <c r="CG123" s="30"/>
      <c r="CH123" s="30"/>
      <c r="CI123" s="64"/>
      <c r="CJ123" s="64"/>
      <c r="CK123" s="64"/>
      <c r="CL123" s="64"/>
    </row>
    <row r="124" spans="2:90" ht="135" customHeight="1" x14ac:dyDescent="0.25">
      <c r="B124" s="30" t="s">
        <v>1298</v>
      </c>
      <c r="C124" s="30" t="s">
        <v>1332</v>
      </c>
      <c r="D124" s="33">
        <v>45467</v>
      </c>
      <c r="E124" s="30" t="s">
        <v>1308</v>
      </c>
      <c r="F124" s="30" t="s">
        <v>220</v>
      </c>
      <c r="G124" s="30"/>
      <c r="H124" s="30" t="s">
        <v>83</v>
      </c>
      <c r="I124" s="35">
        <v>390</v>
      </c>
      <c r="J124" s="30" t="s">
        <v>70</v>
      </c>
      <c r="K124" s="35">
        <v>425</v>
      </c>
      <c r="L124" s="35"/>
      <c r="M124" s="30"/>
      <c r="N124" s="30"/>
      <c r="O124" s="30"/>
      <c r="P124" s="30"/>
      <c r="Q124" s="30" t="s">
        <v>1300</v>
      </c>
      <c r="R124" s="30" t="s">
        <v>1333</v>
      </c>
      <c r="S124" s="30" t="s">
        <v>349</v>
      </c>
      <c r="T124" s="30" t="s">
        <v>1064</v>
      </c>
      <c r="U124" s="30" t="s">
        <v>98</v>
      </c>
      <c r="V124" s="30" t="s">
        <v>84</v>
      </c>
      <c r="W124" s="30" t="s">
        <v>72</v>
      </c>
      <c r="X124" s="30" t="s">
        <v>195</v>
      </c>
      <c r="Y124" s="30" t="s">
        <v>280</v>
      </c>
      <c r="Z124" s="33">
        <v>45447</v>
      </c>
      <c r="AA124" s="33">
        <v>45447</v>
      </c>
      <c r="AB124" s="30" t="s">
        <v>90</v>
      </c>
      <c r="AC124" s="30"/>
      <c r="AD124" s="30"/>
      <c r="AE124" s="30"/>
      <c r="AF124" s="30"/>
      <c r="AG124" s="30"/>
      <c r="AH124" s="30"/>
      <c r="AI124" s="30"/>
      <c r="AJ124" s="31">
        <f t="shared" si="6"/>
        <v>390</v>
      </c>
      <c r="AK124" s="34">
        <f t="shared" si="12"/>
        <v>17400000</v>
      </c>
      <c r="AL124" s="31">
        <f t="shared" si="7"/>
        <v>425</v>
      </c>
      <c r="AM124" s="34">
        <f>2825000000/AL124</f>
        <v>6647058.823529412</v>
      </c>
      <c r="AN124" s="34"/>
      <c r="AO124" s="34">
        <f t="shared" si="11"/>
        <v>9611000000</v>
      </c>
      <c r="AP124" s="30" t="s">
        <v>1319</v>
      </c>
      <c r="AQ124" s="30" t="s">
        <v>83</v>
      </c>
      <c r="AR124" s="30"/>
      <c r="AS124" s="30"/>
      <c r="AT124" s="30"/>
      <c r="AU124" s="30"/>
      <c r="AV124" s="35">
        <v>390</v>
      </c>
      <c r="AW124" s="34">
        <v>16931077</v>
      </c>
      <c r="AX124" s="35">
        <v>450</v>
      </c>
      <c r="AY124" s="34"/>
      <c r="AZ124" s="34">
        <v>8500000000</v>
      </c>
      <c r="BA124" s="32">
        <f t="shared" si="8"/>
        <v>6603120030</v>
      </c>
      <c r="BB124" s="30" t="s">
        <v>1312</v>
      </c>
      <c r="BC124" s="30" t="s">
        <v>81</v>
      </c>
      <c r="BD124" s="30" t="s">
        <v>1313</v>
      </c>
      <c r="BE124" s="30" t="s">
        <v>77</v>
      </c>
      <c r="BF124" s="30"/>
      <c r="BG124" s="30"/>
      <c r="BH124" s="30"/>
      <c r="BI124" s="30"/>
      <c r="BJ124" s="36">
        <v>390</v>
      </c>
      <c r="BK124" s="34">
        <v>17600000</v>
      </c>
      <c r="BL124" s="36"/>
      <c r="BM124" s="34"/>
      <c r="BN124" s="34">
        <v>8190000000</v>
      </c>
      <c r="BO124" s="32">
        <f t="shared" si="9"/>
        <v>6864000000</v>
      </c>
      <c r="BP124" s="34" t="s">
        <v>1314</v>
      </c>
      <c r="BQ124" s="71" t="s">
        <v>81</v>
      </c>
      <c r="BR124" s="30" t="s">
        <v>1315</v>
      </c>
      <c r="BS124" s="30" t="s">
        <v>77</v>
      </c>
      <c r="BT124" s="30"/>
      <c r="BU124" s="30"/>
      <c r="BV124" s="30"/>
      <c r="BW124" s="30"/>
      <c r="BX124" s="36">
        <v>360</v>
      </c>
      <c r="BY124" s="34">
        <v>18000000</v>
      </c>
      <c r="BZ124" s="36"/>
      <c r="CA124" s="34"/>
      <c r="CB124" s="34">
        <v>7560000000</v>
      </c>
      <c r="CC124" s="32">
        <f t="shared" si="10"/>
        <v>6480000000</v>
      </c>
      <c r="CD124" s="30" t="s">
        <v>1316</v>
      </c>
      <c r="CE124" s="30" t="s">
        <v>81</v>
      </c>
      <c r="CF124" s="30" t="s">
        <v>1281</v>
      </c>
      <c r="CG124" s="30"/>
      <c r="CH124" s="30"/>
      <c r="CI124" s="64"/>
      <c r="CJ124" s="64"/>
      <c r="CK124" s="64"/>
      <c r="CL124" s="64"/>
    </row>
    <row r="125" spans="2:90" ht="120" customHeight="1" x14ac:dyDescent="0.25">
      <c r="B125" s="30" t="s">
        <v>1298</v>
      </c>
      <c r="C125" s="30" t="s">
        <v>1334</v>
      </c>
      <c r="D125" s="33">
        <v>45467</v>
      </c>
      <c r="E125" s="30" t="s">
        <v>1308</v>
      </c>
      <c r="F125" s="30" t="s">
        <v>220</v>
      </c>
      <c r="G125" s="30"/>
      <c r="H125" s="30" t="s">
        <v>1335</v>
      </c>
      <c r="I125" s="35">
        <v>71</v>
      </c>
      <c r="J125" s="30" t="s">
        <v>70</v>
      </c>
      <c r="K125" s="35">
        <v>275</v>
      </c>
      <c r="L125" s="35"/>
      <c r="M125" s="30"/>
      <c r="N125" s="30"/>
      <c r="O125" s="30"/>
      <c r="P125" s="30"/>
      <c r="Q125" s="30" t="s">
        <v>1336</v>
      </c>
      <c r="R125" s="30" t="s">
        <v>1337</v>
      </c>
      <c r="S125" s="30" t="s">
        <v>1338</v>
      </c>
      <c r="T125" s="30" t="s">
        <v>1339</v>
      </c>
      <c r="U125" s="30" t="s">
        <v>104</v>
      </c>
      <c r="V125" s="30" t="s">
        <v>84</v>
      </c>
      <c r="W125" s="30" t="s">
        <v>72</v>
      </c>
      <c r="X125" s="30" t="s">
        <v>195</v>
      </c>
      <c r="Y125" s="30" t="s">
        <v>280</v>
      </c>
      <c r="Z125" s="33">
        <v>45446</v>
      </c>
      <c r="AA125" s="33">
        <v>45446</v>
      </c>
      <c r="AB125" s="30" t="s">
        <v>90</v>
      </c>
      <c r="AC125" s="30"/>
      <c r="AD125" s="30"/>
      <c r="AE125" s="30"/>
      <c r="AF125" s="30"/>
      <c r="AG125" s="30"/>
      <c r="AH125" s="30"/>
      <c r="AI125" s="30"/>
      <c r="AJ125" s="31">
        <f t="shared" si="6"/>
        <v>71</v>
      </c>
      <c r="AK125" s="34"/>
      <c r="AL125" s="31">
        <f t="shared" si="7"/>
        <v>275</v>
      </c>
      <c r="AM125" s="34">
        <f>5210000000/AL125</f>
        <v>18945454.545454547</v>
      </c>
      <c r="AN125" s="34"/>
      <c r="AO125" s="34">
        <f>(AJ125*AK125)+(AL125*AM125)+AN125</f>
        <v>5210000000</v>
      </c>
      <c r="AP125" s="30" t="s">
        <v>1340</v>
      </c>
      <c r="AQ125" s="30" t="s">
        <v>1335</v>
      </c>
      <c r="AR125" s="30"/>
      <c r="AS125" s="30"/>
      <c r="AT125" s="30"/>
      <c r="AU125" s="30"/>
      <c r="AV125" s="35">
        <v>71</v>
      </c>
      <c r="AW125" s="34">
        <v>18909091</v>
      </c>
      <c r="AX125" s="35">
        <v>275</v>
      </c>
      <c r="AY125" s="34"/>
      <c r="AZ125" s="34">
        <v>5500000000</v>
      </c>
      <c r="BA125" s="32">
        <f t="shared" si="8"/>
        <v>1342545461</v>
      </c>
      <c r="BB125" s="30" t="s">
        <v>1341</v>
      </c>
      <c r="BC125" s="30" t="s">
        <v>81</v>
      </c>
      <c r="BD125" s="30" t="s">
        <v>1342</v>
      </c>
      <c r="BE125" s="30" t="s">
        <v>1343</v>
      </c>
      <c r="BF125" s="30"/>
      <c r="BG125" s="30"/>
      <c r="BH125" s="30"/>
      <c r="BI125" s="30"/>
      <c r="BJ125" s="36">
        <v>142</v>
      </c>
      <c r="BK125" s="34">
        <v>18181818</v>
      </c>
      <c r="BL125" s="36">
        <v>550</v>
      </c>
      <c r="BM125" s="34"/>
      <c r="BN125" s="34">
        <v>10500000000</v>
      </c>
      <c r="BO125" s="32">
        <f t="shared" si="9"/>
        <v>2581818156</v>
      </c>
      <c r="BP125" s="30" t="s">
        <v>1344</v>
      </c>
      <c r="BQ125" s="30" t="s">
        <v>81</v>
      </c>
      <c r="BR125" s="30" t="s">
        <v>1345</v>
      </c>
      <c r="BS125" s="30" t="s">
        <v>1335</v>
      </c>
      <c r="BT125" s="30"/>
      <c r="BU125" s="30"/>
      <c r="BV125" s="30"/>
      <c r="BW125" s="30"/>
      <c r="BX125" s="36">
        <v>71</v>
      </c>
      <c r="BY125" s="34">
        <v>20000000</v>
      </c>
      <c r="BZ125" s="36">
        <v>275</v>
      </c>
      <c r="CA125" s="34"/>
      <c r="CB125" s="34">
        <v>5800000000</v>
      </c>
      <c r="CC125" s="32">
        <f t="shared" si="10"/>
        <v>1420000000</v>
      </c>
      <c r="CD125" s="30" t="s">
        <v>1346</v>
      </c>
      <c r="CE125" s="30" t="s">
        <v>81</v>
      </c>
      <c r="CF125" s="30" t="s">
        <v>1347</v>
      </c>
      <c r="CG125" s="30"/>
      <c r="CH125" s="30"/>
      <c r="CI125" s="64"/>
      <c r="CJ125" s="64"/>
      <c r="CK125" s="64"/>
      <c r="CL125" s="64"/>
    </row>
    <row r="126" spans="2:90" ht="105" customHeight="1" x14ac:dyDescent="0.25">
      <c r="B126" s="30" t="s">
        <v>1298</v>
      </c>
      <c r="C126" s="30" t="s">
        <v>1348</v>
      </c>
      <c r="D126" s="33">
        <v>45467</v>
      </c>
      <c r="E126" s="30" t="s">
        <v>1308</v>
      </c>
      <c r="F126" s="30" t="s">
        <v>220</v>
      </c>
      <c r="G126" s="30"/>
      <c r="H126" s="30" t="s">
        <v>1349</v>
      </c>
      <c r="I126" s="35">
        <v>71</v>
      </c>
      <c r="J126" s="30" t="s">
        <v>70</v>
      </c>
      <c r="K126" s="35">
        <v>275</v>
      </c>
      <c r="L126" s="35"/>
      <c r="M126" s="30"/>
      <c r="N126" s="30"/>
      <c r="O126" s="30"/>
      <c r="P126" s="30"/>
      <c r="Q126" s="30" t="s">
        <v>1336</v>
      </c>
      <c r="R126" s="30" t="s">
        <v>1350</v>
      </c>
      <c r="S126" s="30" t="s">
        <v>1338</v>
      </c>
      <c r="T126" s="30" t="s">
        <v>1339</v>
      </c>
      <c r="U126" s="30" t="s">
        <v>104</v>
      </c>
      <c r="V126" s="30" t="s">
        <v>84</v>
      </c>
      <c r="W126" s="30" t="s">
        <v>72</v>
      </c>
      <c r="X126" s="30" t="s">
        <v>195</v>
      </c>
      <c r="Y126" s="30" t="s">
        <v>280</v>
      </c>
      <c r="Z126" s="33">
        <v>45446</v>
      </c>
      <c r="AA126" s="33">
        <v>45446</v>
      </c>
      <c r="AB126" s="30" t="s">
        <v>90</v>
      </c>
      <c r="AC126" s="30"/>
      <c r="AD126" s="30"/>
      <c r="AE126" s="30"/>
      <c r="AF126" s="30"/>
      <c r="AG126" s="30"/>
      <c r="AH126" s="30"/>
      <c r="AI126" s="30"/>
      <c r="AJ126" s="31">
        <f t="shared" si="6"/>
        <v>71</v>
      </c>
      <c r="AK126" s="34"/>
      <c r="AL126" s="31">
        <f t="shared" si="7"/>
        <v>275</v>
      </c>
      <c r="AM126" s="34">
        <f>5343000000/AL126</f>
        <v>19429090.90909091</v>
      </c>
      <c r="AN126" s="34"/>
      <c r="AO126" s="34">
        <f>(AJ126*AK126)+(AL126*AM126)+AN126</f>
        <v>5343000000</v>
      </c>
      <c r="AP126" s="30" t="s">
        <v>1351</v>
      </c>
      <c r="AQ126" s="30" t="s">
        <v>1335</v>
      </c>
      <c r="AR126" s="30"/>
      <c r="AS126" s="30"/>
      <c r="AT126" s="30"/>
      <c r="AU126" s="30"/>
      <c r="AV126" s="35">
        <v>71</v>
      </c>
      <c r="AW126" s="34">
        <v>18909091</v>
      </c>
      <c r="AX126" s="35">
        <v>275</v>
      </c>
      <c r="AY126" s="34"/>
      <c r="AZ126" s="34">
        <v>5500000000</v>
      </c>
      <c r="BA126" s="32">
        <f t="shared" si="8"/>
        <v>1342545461</v>
      </c>
      <c r="BB126" s="30" t="s">
        <v>1341</v>
      </c>
      <c r="BC126" s="30" t="s">
        <v>81</v>
      </c>
      <c r="BD126" s="30" t="s">
        <v>1342</v>
      </c>
      <c r="BE126" s="30" t="s">
        <v>1343</v>
      </c>
      <c r="BF126" s="30"/>
      <c r="BG126" s="30"/>
      <c r="BH126" s="30"/>
      <c r="BI126" s="30"/>
      <c r="BJ126" s="36">
        <v>142</v>
      </c>
      <c r="BK126" s="34">
        <v>18181818</v>
      </c>
      <c r="BL126" s="36">
        <v>550</v>
      </c>
      <c r="BM126" s="34"/>
      <c r="BN126" s="34">
        <v>10500000000</v>
      </c>
      <c r="BO126" s="32">
        <f t="shared" si="9"/>
        <v>2581818156</v>
      </c>
      <c r="BP126" s="30" t="s">
        <v>1344</v>
      </c>
      <c r="BQ126" s="30" t="s">
        <v>81</v>
      </c>
      <c r="BR126" s="30" t="s">
        <v>1345</v>
      </c>
      <c r="BS126" s="30" t="s">
        <v>1335</v>
      </c>
      <c r="BT126" s="30"/>
      <c r="BU126" s="30"/>
      <c r="BV126" s="30"/>
      <c r="BW126" s="30"/>
      <c r="BX126" s="36">
        <v>71</v>
      </c>
      <c r="BY126" s="34">
        <v>20000000</v>
      </c>
      <c r="BZ126" s="36">
        <v>275</v>
      </c>
      <c r="CA126" s="34"/>
      <c r="CB126" s="34">
        <v>5800000000</v>
      </c>
      <c r="CC126" s="32">
        <f t="shared" si="10"/>
        <v>1420000000</v>
      </c>
      <c r="CD126" s="30" t="s">
        <v>1346</v>
      </c>
      <c r="CE126" s="30" t="s">
        <v>81</v>
      </c>
      <c r="CF126" s="30" t="s">
        <v>1347</v>
      </c>
      <c r="CG126" s="30"/>
      <c r="CH126" s="30"/>
      <c r="CI126" s="64"/>
      <c r="CJ126" s="64"/>
      <c r="CK126" s="64"/>
      <c r="CL126" s="64"/>
    </row>
    <row r="127" spans="2:90" ht="150" customHeight="1" x14ac:dyDescent="0.25">
      <c r="B127" s="30" t="s">
        <v>1298</v>
      </c>
      <c r="C127" s="30" t="s">
        <v>1352</v>
      </c>
      <c r="D127" s="33">
        <v>45467</v>
      </c>
      <c r="E127" s="30" t="s">
        <v>1308</v>
      </c>
      <c r="F127" s="30" t="s">
        <v>220</v>
      </c>
      <c r="G127" s="30"/>
      <c r="H127" s="30" t="s">
        <v>1353</v>
      </c>
      <c r="I127" s="35">
        <v>825</v>
      </c>
      <c r="J127" s="30" t="s">
        <v>70</v>
      </c>
      <c r="K127" s="35">
        <v>1583</v>
      </c>
      <c r="L127" s="35"/>
      <c r="M127" s="30"/>
      <c r="N127" s="30"/>
      <c r="O127" s="30"/>
      <c r="P127" s="30"/>
      <c r="Q127" s="30" t="s">
        <v>1354</v>
      </c>
      <c r="R127" s="30" t="s">
        <v>1355</v>
      </c>
      <c r="S127" s="30" t="s">
        <v>1356</v>
      </c>
      <c r="T127" s="30" t="s">
        <v>1064</v>
      </c>
      <c r="U127" s="30" t="s">
        <v>98</v>
      </c>
      <c r="V127" s="30" t="s">
        <v>84</v>
      </c>
      <c r="W127" s="30" t="s">
        <v>72</v>
      </c>
      <c r="X127" s="30" t="s">
        <v>195</v>
      </c>
      <c r="Y127" s="30" t="s">
        <v>280</v>
      </c>
      <c r="Z127" s="33">
        <v>45447</v>
      </c>
      <c r="AA127" s="33">
        <v>45447</v>
      </c>
      <c r="AB127" s="30" t="s">
        <v>90</v>
      </c>
      <c r="AC127" s="30"/>
      <c r="AD127" s="30"/>
      <c r="AE127" s="30"/>
      <c r="AF127" s="30"/>
      <c r="AG127" s="30"/>
      <c r="AH127" s="30"/>
      <c r="AI127" s="30"/>
      <c r="AJ127" s="31">
        <f t="shared" si="6"/>
        <v>825</v>
      </c>
      <c r="AK127" s="34"/>
      <c r="AL127" s="31">
        <f t="shared" si="7"/>
        <v>1583</v>
      </c>
      <c r="AM127" s="34">
        <f>23387000000/AL127</f>
        <v>14773847.125710675</v>
      </c>
      <c r="AN127" s="34"/>
      <c r="AO127" s="34">
        <f t="shared" si="11"/>
        <v>23387000000</v>
      </c>
      <c r="AP127" s="30" t="s">
        <v>1357</v>
      </c>
      <c r="AQ127" s="30" t="s">
        <v>101</v>
      </c>
      <c r="AR127" s="30"/>
      <c r="AS127" s="30"/>
      <c r="AT127" s="30"/>
      <c r="AU127" s="30"/>
      <c r="AV127" s="35">
        <v>150</v>
      </c>
      <c r="AW127" s="34">
        <v>14576271</v>
      </c>
      <c r="AX127" s="35">
        <v>295</v>
      </c>
      <c r="AY127" s="34"/>
      <c r="AZ127" s="34">
        <v>5000000000</v>
      </c>
      <c r="BA127" s="32">
        <f t="shared" si="8"/>
        <v>2186440650</v>
      </c>
      <c r="BB127" s="30" t="s">
        <v>1358</v>
      </c>
      <c r="BC127" s="30" t="s">
        <v>81</v>
      </c>
      <c r="BD127" s="30" t="s">
        <v>1359</v>
      </c>
      <c r="BE127" s="30" t="s">
        <v>101</v>
      </c>
      <c r="BF127" s="30"/>
      <c r="BG127" s="30"/>
      <c r="BH127" s="30"/>
      <c r="BI127" s="30"/>
      <c r="BJ127" s="36">
        <v>82</v>
      </c>
      <c r="BK127" s="34">
        <v>14644351</v>
      </c>
      <c r="BL127" s="36">
        <v>239</v>
      </c>
      <c r="BM127" s="34"/>
      <c r="BN127" s="34">
        <v>4000000000</v>
      </c>
      <c r="BO127" s="32">
        <f t="shared" si="9"/>
        <v>1200836782</v>
      </c>
      <c r="BP127" s="30" t="s">
        <v>1360</v>
      </c>
      <c r="BQ127" s="30" t="s">
        <v>81</v>
      </c>
      <c r="BR127" s="30" t="s">
        <v>1361</v>
      </c>
      <c r="BS127" s="30" t="s">
        <v>101</v>
      </c>
      <c r="BT127" s="30"/>
      <c r="BU127" s="30"/>
      <c r="BV127" s="30"/>
      <c r="BW127" s="30"/>
      <c r="BX127" s="36">
        <v>75</v>
      </c>
      <c r="BY127" s="34">
        <v>15909091</v>
      </c>
      <c r="BZ127" s="36">
        <v>220</v>
      </c>
      <c r="CA127" s="34"/>
      <c r="CB127" s="34">
        <v>4000000000</v>
      </c>
      <c r="CC127" s="32">
        <f t="shared" si="10"/>
        <v>1193181825</v>
      </c>
      <c r="CD127" s="30" t="s">
        <v>1362</v>
      </c>
      <c r="CE127" s="30" t="s">
        <v>81</v>
      </c>
      <c r="CF127" s="30" t="s">
        <v>1281</v>
      </c>
      <c r="CG127" s="30"/>
      <c r="CH127" s="30"/>
      <c r="CI127" s="64"/>
      <c r="CJ127" s="64"/>
      <c r="CK127" s="64"/>
      <c r="CL127" s="64"/>
    </row>
    <row r="128" spans="2:90" ht="180" x14ac:dyDescent="0.25">
      <c r="B128" s="30" t="s">
        <v>1298</v>
      </c>
      <c r="C128" s="30" t="s">
        <v>1363</v>
      </c>
      <c r="D128" s="33">
        <v>45467</v>
      </c>
      <c r="E128" s="30" t="s">
        <v>1308</v>
      </c>
      <c r="F128" s="30" t="s">
        <v>220</v>
      </c>
      <c r="G128" s="30"/>
      <c r="H128" s="30" t="s">
        <v>83</v>
      </c>
      <c r="I128" s="35">
        <v>2387</v>
      </c>
      <c r="J128" s="30" t="s">
        <v>70</v>
      </c>
      <c r="K128" s="35">
        <v>1299</v>
      </c>
      <c r="L128" s="35"/>
      <c r="M128" s="30" t="s">
        <v>397</v>
      </c>
      <c r="N128" s="30"/>
      <c r="O128" s="30"/>
      <c r="P128" s="30"/>
      <c r="Q128" s="30" t="s">
        <v>348</v>
      </c>
      <c r="R128" s="30" t="s">
        <v>1364</v>
      </c>
      <c r="S128" s="30" t="s">
        <v>349</v>
      </c>
      <c r="T128" s="30" t="s">
        <v>1064</v>
      </c>
      <c r="U128" s="30" t="s">
        <v>98</v>
      </c>
      <c r="V128" s="30" t="s">
        <v>84</v>
      </c>
      <c r="W128" s="30" t="s">
        <v>72</v>
      </c>
      <c r="X128" s="30" t="s">
        <v>195</v>
      </c>
      <c r="Y128" s="30" t="s">
        <v>280</v>
      </c>
      <c r="Z128" s="33">
        <v>45447</v>
      </c>
      <c r="AA128" s="33">
        <v>45447</v>
      </c>
      <c r="AB128" s="30" t="s">
        <v>90</v>
      </c>
      <c r="AC128" s="30"/>
      <c r="AD128" s="30"/>
      <c r="AE128" s="30"/>
      <c r="AF128" s="30"/>
      <c r="AG128" s="30"/>
      <c r="AH128" s="30"/>
      <c r="AI128" s="30"/>
      <c r="AJ128" s="31">
        <f t="shared" si="6"/>
        <v>2387</v>
      </c>
      <c r="AK128" s="34">
        <f>54901000000/AJ128</f>
        <v>23000000</v>
      </c>
      <c r="AL128" s="31">
        <f t="shared" si="7"/>
        <v>1299</v>
      </c>
      <c r="AM128" s="34">
        <f>6335700000/AL128</f>
        <v>4877367.2055427255</v>
      </c>
      <c r="AN128" s="34">
        <v>369900000</v>
      </c>
      <c r="AO128" s="34">
        <f t="shared" si="11"/>
        <v>61606600000</v>
      </c>
      <c r="AP128" s="30" t="s">
        <v>1365</v>
      </c>
      <c r="AQ128" s="30" t="s">
        <v>77</v>
      </c>
      <c r="AR128" s="30"/>
      <c r="AS128" s="30"/>
      <c r="AT128" s="30"/>
      <c r="AU128" s="30"/>
      <c r="AV128" s="35">
        <v>1200</v>
      </c>
      <c r="AW128" s="34">
        <v>23000000</v>
      </c>
      <c r="AX128" s="35"/>
      <c r="AY128" s="34"/>
      <c r="AZ128" s="34">
        <v>31200000000</v>
      </c>
      <c r="BA128" s="32">
        <f t="shared" si="8"/>
        <v>27600000000</v>
      </c>
      <c r="BB128" s="30" t="s">
        <v>1366</v>
      </c>
      <c r="BC128" s="30" t="s">
        <v>81</v>
      </c>
      <c r="BD128" s="30" t="s">
        <v>1367</v>
      </c>
      <c r="BE128" s="30" t="s">
        <v>77</v>
      </c>
      <c r="BF128" s="30"/>
      <c r="BG128" s="30"/>
      <c r="BH128" s="30"/>
      <c r="BI128" s="30"/>
      <c r="BJ128" s="36">
        <v>1200</v>
      </c>
      <c r="BK128" s="34">
        <v>24000000</v>
      </c>
      <c r="BL128" s="36"/>
      <c r="BM128" s="34"/>
      <c r="BN128" s="34">
        <v>32400000000</v>
      </c>
      <c r="BO128" s="32">
        <f t="shared" si="9"/>
        <v>28800000000</v>
      </c>
      <c r="BP128" s="30" t="s">
        <v>1368</v>
      </c>
      <c r="BQ128" s="30" t="s">
        <v>81</v>
      </c>
      <c r="BR128" s="30" t="s">
        <v>1369</v>
      </c>
      <c r="BS128" s="30" t="s">
        <v>77</v>
      </c>
      <c r="BT128" s="30"/>
      <c r="BU128" s="30"/>
      <c r="BV128" s="30"/>
      <c r="BW128" s="30"/>
      <c r="BX128" s="36">
        <v>592</v>
      </c>
      <c r="BY128" s="34">
        <v>22300000</v>
      </c>
      <c r="BZ128" s="36"/>
      <c r="CA128" s="34"/>
      <c r="CB128" s="34">
        <v>14800000000</v>
      </c>
      <c r="CC128" s="32">
        <f t="shared" si="10"/>
        <v>13201600000</v>
      </c>
      <c r="CD128" s="30" t="s">
        <v>1370</v>
      </c>
      <c r="CE128" s="30" t="s">
        <v>81</v>
      </c>
      <c r="CF128" s="30" t="s">
        <v>1281</v>
      </c>
      <c r="CG128" s="30"/>
      <c r="CH128" s="30"/>
      <c r="CI128" s="64"/>
      <c r="CJ128" s="64"/>
      <c r="CK128" s="64"/>
      <c r="CL128" s="64"/>
    </row>
    <row r="129" spans="2:90" ht="240" customHeight="1" x14ac:dyDescent="0.25">
      <c r="B129" s="54" t="s">
        <v>1371</v>
      </c>
      <c r="C129" s="54" t="s">
        <v>1372</v>
      </c>
      <c r="D129" s="67">
        <v>45469</v>
      </c>
      <c r="E129" s="54" t="s">
        <v>139</v>
      </c>
      <c r="F129" s="54" t="s">
        <v>93</v>
      </c>
      <c r="G129" s="30"/>
      <c r="H129" s="30" t="s">
        <v>148</v>
      </c>
      <c r="I129" s="35">
        <v>5910</v>
      </c>
      <c r="J129" s="30" t="s">
        <v>70</v>
      </c>
      <c r="K129" s="35">
        <v>2596</v>
      </c>
      <c r="L129" s="35"/>
      <c r="M129" s="30" t="s">
        <v>397</v>
      </c>
      <c r="N129" s="30"/>
      <c r="O129" s="30"/>
      <c r="P129" s="30"/>
      <c r="Q129" s="30"/>
      <c r="R129" s="47" t="s">
        <v>1373</v>
      </c>
      <c r="S129" s="47" t="s">
        <v>1374</v>
      </c>
      <c r="T129" s="47" t="s">
        <v>1375</v>
      </c>
      <c r="U129" s="47" t="s">
        <v>1376</v>
      </c>
      <c r="V129" s="47" t="s">
        <v>126</v>
      </c>
      <c r="W129" s="30" t="s">
        <v>72</v>
      </c>
      <c r="X129" s="30" t="s">
        <v>85</v>
      </c>
      <c r="Y129" s="30" t="s">
        <v>73</v>
      </c>
      <c r="Z129" s="33">
        <v>45455</v>
      </c>
      <c r="AA129" s="33">
        <v>45457</v>
      </c>
      <c r="AB129" s="30" t="s">
        <v>90</v>
      </c>
      <c r="AC129" s="30"/>
      <c r="AD129" s="30"/>
      <c r="AE129" s="30"/>
      <c r="AF129" s="30"/>
      <c r="AG129" s="30"/>
      <c r="AH129" s="30"/>
      <c r="AI129" s="30"/>
      <c r="AJ129" s="31">
        <f t="shared" si="6"/>
        <v>5910</v>
      </c>
      <c r="AK129" s="34">
        <f>10638000000/AJ129</f>
        <v>1800000</v>
      </c>
      <c r="AL129" s="31">
        <f t="shared" si="7"/>
        <v>2596</v>
      </c>
      <c r="AM129" s="34">
        <f>5299500000/AL129</f>
        <v>2041409.8613251157</v>
      </c>
      <c r="AN129" s="34">
        <v>451560000</v>
      </c>
      <c r="AO129" s="51">
        <f>(AJ129*AK129)+(AL129*AM129)+AN129+(AJ134*AK134)+(AL134*AM134)+AN134+(AJ133*AK133)+(AL133*AM133)+AN133+(AJ132*AK132)+(AL132*AM132)+AN132+(AJ131*AK131)+(AL131*AM131)+AN131+(AJ130*AK130)+(AL130*AM130)+AN130</f>
        <v>104593909000</v>
      </c>
      <c r="AP129" s="30" t="s">
        <v>1377</v>
      </c>
      <c r="AQ129" s="30" t="s">
        <v>148</v>
      </c>
      <c r="AR129" s="30"/>
      <c r="AS129" s="30"/>
      <c r="AT129" s="30"/>
      <c r="AU129" s="30"/>
      <c r="AV129" s="35">
        <v>2735</v>
      </c>
      <c r="AW129" s="34">
        <v>1945912</v>
      </c>
      <c r="AX129" s="35">
        <v>2561</v>
      </c>
      <c r="AY129" s="34"/>
      <c r="AZ129" s="34">
        <v>9500000000</v>
      </c>
      <c r="BA129" s="32">
        <f t="shared" si="8"/>
        <v>5322069320</v>
      </c>
      <c r="BB129" s="30" t="s">
        <v>1378</v>
      </c>
      <c r="BC129" s="30" t="s">
        <v>81</v>
      </c>
      <c r="BD129" s="30" t="s">
        <v>1377</v>
      </c>
      <c r="BE129" s="30" t="s">
        <v>77</v>
      </c>
      <c r="BF129" s="30"/>
      <c r="BG129" s="30"/>
      <c r="BH129" s="30"/>
      <c r="BI129" s="30"/>
      <c r="BJ129" s="36">
        <v>2250</v>
      </c>
      <c r="BK129" s="34">
        <v>1800000</v>
      </c>
      <c r="BL129" s="36"/>
      <c r="BM129" s="34"/>
      <c r="BN129" s="34">
        <v>4500000000</v>
      </c>
      <c r="BO129" s="32">
        <f t="shared" si="9"/>
        <v>4050000000</v>
      </c>
      <c r="BP129" s="30" t="s">
        <v>1379</v>
      </c>
      <c r="BQ129" s="30" t="s">
        <v>81</v>
      </c>
      <c r="BR129" s="30" t="s">
        <v>1377</v>
      </c>
      <c r="BS129" s="30" t="s">
        <v>77</v>
      </c>
      <c r="BT129" s="30"/>
      <c r="BU129" s="30"/>
      <c r="BV129" s="30"/>
      <c r="BW129" s="30"/>
      <c r="BX129" s="36">
        <v>8063</v>
      </c>
      <c r="BY129" s="34">
        <v>1550000</v>
      </c>
      <c r="BZ129" s="36"/>
      <c r="CA129" s="34"/>
      <c r="CB129" s="34">
        <v>13707100000</v>
      </c>
      <c r="CC129" s="32">
        <f t="shared" si="10"/>
        <v>12497650000</v>
      </c>
      <c r="CD129" s="30" t="s">
        <v>1380</v>
      </c>
      <c r="CE129" s="30" t="s">
        <v>81</v>
      </c>
      <c r="CF129" s="30" t="s">
        <v>1381</v>
      </c>
      <c r="CG129" s="30"/>
      <c r="CH129" s="30"/>
      <c r="CI129" s="64"/>
      <c r="CJ129" s="64"/>
      <c r="CK129" s="64"/>
      <c r="CL129" s="64"/>
    </row>
    <row r="130" spans="2:90" ht="120" x14ac:dyDescent="0.25">
      <c r="B130" s="57"/>
      <c r="C130" s="57"/>
      <c r="D130" s="68"/>
      <c r="E130" s="57"/>
      <c r="F130" s="57"/>
      <c r="G130" s="30"/>
      <c r="H130" s="30" t="s">
        <v>1382</v>
      </c>
      <c r="I130" s="35">
        <v>5689</v>
      </c>
      <c r="J130" s="30" t="s">
        <v>70</v>
      </c>
      <c r="K130" s="35">
        <v>1086</v>
      </c>
      <c r="L130" s="35"/>
      <c r="M130" s="30" t="s">
        <v>397</v>
      </c>
      <c r="N130" s="30"/>
      <c r="O130" s="30"/>
      <c r="P130" s="30"/>
      <c r="Q130" s="30"/>
      <c r="R130" s="47" t="s">
        <v>1383</v>
      </c>
      <c r="S130" s="47" t="s">
        <v>1384</v>
      </c>
      <c r="T130" s="47" t="s">
        <v>1385</v>
      </c>
      <c r="U130" s="47" t="s">
        <v>1386</v>
      </c>
      <c r="V130" s="47" t="s">
        <v>71</v>
      </c>
      <c r="W130" s="30" t="s">
        <v>72</v>
      </c>
      <c r="X130" s="30" t="s">
        <v>85</v>
      </c>
      <c r="Y130" s="30" t="s">
        <v>73</v>
      </c>
      <c r="Z130" s="33">
        <v>45455</v>
      </c>
      <c r="AA130" s="33">
        <v>45457</v>
      </c>
      <c r="AB130" s="30" t="s">
        <v>90</v>
      </c>
      <c r="AC130" s="30"/>
      <c r="AD130" s="30"/>
      <c r="AE130" s="30"/>
      <c r="AF130" s="30"/>
      <c r="AG130" s="30"/>
      <c r="AH130" s="30"/>
      <c r="AI130" s="30"/>
      <c r="AJ130" s="31">
        <f t="shared" si="6"/>
        <v>5689</v>
      </c>
      <c r="AK130" s="34">
        <f>12515800000/AJ130</f>
        <v>2200000</v>
      </c>
      <c r="AL130" s="31">
        <f t="shared" si="7"/>
        <v>1086</v>
      </c>
      <c r="AM130" s="34">
        <f>2356300000/AL130</f>
        <v>2169705.3406998157</v>
      </c>
      <c r="AN130" s="34">
        <v>480900000</v>
      </c>
      <c r="AO130" s="52"/>
      <c r="AP130" s="30" t="s">
        <v>1387</v>
      </c>
      <c r="AQ130" s="30" t="s">
        <v>83</v>
      </c>
      <c r="AR130" s="30"/>
      <c r="AS130" s="30"/>
      <c r="AT130" s="30"/>
      <c r="AU130" s="30"/>
      <c r="AV130" s="35">
        <v>1665</v>
      </c>
      <c r="AW130" s="34">
        <v>1879423</v>
      </c>
      <c r="AX130" s="35">
        <v>90</v>
      </c>
      <c r="AY130" s="34"/>
      <c r="AZ130" s="34">
        <v>3500000000</v>
      </c>
      <c r="BA130" s="32">
        <f t="shared" si="8"/>
        <v>3129239295</v>
      </c>
      <c r="BB130" s="30" t="s">
        <v>1388</v>
      </c>
      <c r="BC130" s="30" t="s">
        <v>81</v>
      </c>
      <c r="BD130" s="30" t="s">
        <v>1387</v>
      </c>
      <c r="BE130" s="30" t="s">
        <v>360</v>
      </c>
      <c r="BF130" s="30"/>
      <c r="BG130" s="30"/>
      <c r="BH130" s="30"/>
      <c r="BI130" s="30"/>
      <c r="BJ130" s="36">
        <v>870</v>
      </c>
      <c r="BK130" s="34">
        <v>2317724</v>
      </c>
      <c r="BL130" s="36">
        <v>500</v>
      </c>
      <c r="BM130" s="34"/>
      <c r="BN130" s="34">
        <v>2700000000</v>
      </c>
      <c r="BO130" s="32">
        <f t="shared" si="9"/>
        <v>2016419880</v>
      </c>
      <c r="BP130" s="30" t="s">
        <v>1389</v>
      </c>
      <c r="BQ130" s="30" t="s">
        <v>81</v>
      </c>
      <c r="BR130" s="30" t="s">
        <v>1387</v>
      </c>
      <c r="BS130" s="30" t="s">
        <v>77</v>
      </c>
      <c r="BT130" s="30"/>
      <c r="BU130" s="30"/>
      <c r="BV130" s="30"/>
      <c r="BW130" s="30"/>
      <c r="BX130" s="36">
        <v>980</v>
      </c>
      <c r="BY130" s="34">
        <v>2244898</v>
      </c>
      <c r="BZ130" s="36"/>
      <c r="CA130" s="34"/>
      <c r="CB130" s="34">
        <v>2450000000</v>
      </c>
      <c r="CC130" s="32">
        <f t="shared" si="10"/>
        <v>2200000040</v>
      </c>
      <c r="CD130" s="30" t="s">
        <v>1390</v>
      </c>
      <c r="CE130" s="30" t="s">
        <v>81</v>
      </c>
      <c r="CF130" s="30" t="s">
        <v>196</v>
      </c>
      <c r="CG130" s="30"/>
      <c r="CH130" s="30"/>
      <c r="CI130" s="64"/>
      <c r="CJ130" s="64"/>
      <c r="CK130" s="64"/>
      <c r="CL130" s="64"/>
    </row>
    <row r="131" spans="2:90" ht="90" x14ac:dyDescent="0.25">
      <c r="B131" s="57"/>
      <c r="C131" s="57"/>
      <c r="D131" s="68"/>
      <c r="E131" s="57"/>
      <c r="F131" s="57"/>
      <c r="G131" s="30"/>
      <c r="H131" s="30" t="s">
        <v>148</v>
      </c>
      <c r="I131" s="35">
        <v>4540</v>
      </c>
      <c r="J131" s="30" t="s">
        <v>70</v>
      </c>
      <c r="K131" s="35">
        <v>1259</v>
      </c>
      <c r="L131" s="35"/>
      <c r="M131" s="30" t="s">
        <v>397</v>
      </c>
      <c r="N131" s="30"/>
      <c r="O131" s="30"/>
      <c r="P131" s="30"/>
      <c r="Q131" s="30"/>
      <c r="R131" s="47" t="s">
        <v>1391</v>
      </c>
      <c r="S131" s="47" t="s">
        <v>1392</v>
      </c>
      <c r="T131" s="47" t="s">
        <v>885</v>
      </c>
      <c r="U131" s="47" t="s">
        <v>903</v>
      </c>
      <c r="V131" s="47" t="s">
        <v>126</v>
      </c>
      <c r="W131" s="30" t="s">
        <v>72</v>
      </c>
      <c r="X131" s="30" t="s">
        <v>85</v>
      </c>
      <c r="Y131" s="30" t="s">
        <v>73</v>
      </c>
      <c r="Z131" s="33">
        <v>45455</v>
      </c>
      <c r="AA131" s="33">
        <v>45457</v>
      </c>
      <c r="AB131" s="30" t="s">
        <v>90</v>
      </c>
      <c r="AC131" s="30"/>
      <c r="AD131" s="30"/>
      <c r="AE131" s="30"/>
      <c r="AF131" s="30"/>
      <c r="AG131" s="30"/>
      <c r="AH131" s="30"/>
      <c r="AI131" s="30"/>
      <c r="AJ131" s="31">
        <f t="shared" si="6"/>
        <v>4540</v>
      </c>
      <c r="AK131" s="34">
        <f>8626000000/AJ131</f>
        <v>1900000</v>
      </c>
      <c r="AL131" s="31">
        <f t="shared" si="7"/>
        <v>1259</v>
      </c>
      <c r="AM131" s="34">
        <f>2887000000/AL131</f>
        <v>2293089.7537728357</v>
      </c>
      <c r="AN131" s="34">
        <v>468020000</v>
      </c>
      <c r="AO131" s="52"/>
      <c r="AP131" s="30" t="s">
        <v>1393</v>
      </c>
      <c r="AQ131" s="30" t="s">
        <v>286</v>
      </c>
      <c r="AR131" s="30"/>
      <c r="AS131" s="30"/>
      <c r="AT131" s="30"/>
      <c r="AU131" s="30"/>
      <c r="AV131" s="35">
        <v>1300</v>
      </c>
      <c r="AW131" s="34">
        <v>2141984</v>
      </c>
      <c r="AX131" s="35">
        <v>1470</v>
      </c>
      <c r="AY131" s="34"/>
      <c r="AZ131" s="34">
        <v>7500000000</v>
      </c>
      <c r="BA131" s="32">
        <f t="shared" si="8"/>
        <v>2784579200</v>
      </c>
      <c r="BB131" s="30" t="s">
        <v>1394</v>
      </c>
      <c r="BC131" s="30" t="s">
        <v>81</v>
      </c>
      <c r="BD131" s="30" t="s">
        <v>1395</v>
      </c>
      <c r="BE131" s="30" t="s">
        <v>77</v>
      </c>
      <c r="BF131" s="30"/>
      <c r="BG131" s="30"/>
      <c r="BH131" s="30"/>
      <c r="BI131" s="30"/>
      <c r="BJ131" s="36">
        <v>5000</v>
      </c>
      <c r="BK131" s="34">
        <v>1950000</v>
      </c>
      <c r="BL131" s="36"/>
      <c r="BM131" s="34"/>
      <c r="BN131" s="34">
        <v>11000000000</v>
      </c>
      <c r="BO131" s="32">
        <f t="shared" si="9"/>
        <v>9750000000</v>
      </c>
      <c r="BP131" s="30" t="s">
        <v>1396</v>
      </c>
      <c r="BQ131" s="30" t="s">
        <v>81</v>
      </c>
      <c r="BR131" s="30" t="s">
        <v>1397</v>
      </c>
      <c r="BS131" s="30" t="s">
        <v>148</v>
      </c>
      <c r="BT131" s="30"/>
      <c r="BU131" s="30"/>
      <c r="BV131" s="30"/>
      <c r="BW131" s="30"/>
      <c r="BX131" s="36">
        <v>22000</v>
      </c>
      <c r="BY131" s="34">
        <v>1821249</v>
      </c>
      <c r="BZ131" s="36">
        <v>3999</v>
      </c>
      <c r="CA131" s="34"/>
      <c r="CB131" s="34">
        <v>55000000000</v>
      </c>
      <c r="CC131" s="32">
        <f t="shared" si="10"/>
        <v>40067478000</v>
      </c>
      <c r="CD131" s="30" t="s">
        <v>1398</v>
      </c>
      <c r="CE131" s="30" t="s">
        <v>81</v>
      </c>
      <c r="CF131" s="30" t="s">
        <v>216</v>
      </c>
      <c r="CG131" s="30"/>
      <c r="CH131" s="30"/>
      <c r="CI131" s="64"/>
      <c r="CJ131" s="64"/>
      <c r="CK131" s="64"/>
      <c r="CL131" s="64"/>
    </row>
    <row r="132" spans="2:90" ht="90" x14ac:dyDescent="0.25">
      <c r="B132" s="57"/>
      <c r="C132" s="57"/>
      <c r="D132" s="68"/>
      <c r="E132" s="57"/>
      <c r="F132" s="57"/>
      <c r="G132" s="30"/>
      <c r="H132" s="30" t="s">
        <v>97</v>
      </c>
      <c r="I132" s="35">
        <v>3150</v>
      </c>
      <c r="J132" s="30" t="s">
        <v>70</v>
      </c>
      <c r="K132" s="35">
        <v>1397</v>
      </c>
      <c r="L132" s="35"/>
      <c r="M132" s="30" t="s">
        <v>397</v>
      </c>
      <c r="N132" s="30"/>
      <c r="O132" s="30"/>
      <c r="P132" s="30"/>
      <c r="Q132" s="30"/>
      <c r="R132" s="30" t="s">
        <v>1399</v>
      </c>
      <c r="S132" s="30" t="s">
        <v>1400</v>
      </c>
      <c r="T132" s="30" t="s">
        <v>1401</v>
      </c>
      <c r="U132" s="30" t="s">
        <v>1402</v>
      </c>
      <c r="V132" s="30" t="s">
        <v>71</v>
      </c>
      <c r="W132" s="30" t="s">
        <v>72</v>
      </c>
      <c r="X132" s="30" t="s">
        <v>85</v>
      </c>
      <c r="Y132" s="30" t="s">
        <v>73</v>
      </c>
      <c r="Z132" s="33">
        <v>45455</v>
      </c>
      <c r="AA132" s="33">
        <v>45457</v>
      </c>
      <c r="AB132" s="30" t="s">
        <v>90</v>
      </c>
      <c r="AC132" s="30"/>
      <c r="AD132" s="30"/>
      <c r="AE132" s="30"/>
      <c r="AF132" s="30"/>
      <c r="AG132" s="30"/>
      <c r="AH132" s="30"/>
      <c r="AI132" s="30"/>
      <c r="AJ132" s="31">
        <f t="shared" si="6"/>
        <v>3150</v>
      </c>
      <c r="AK132" s="34">
        <f>5670000000/AJ132</f>
        <v>1800000</v>
      </c>
      <c r="AL132" s="31">
        <f t="shared" si="7"/>
        <v>1397</v>
      </c>
      <c r="AM132" s="34">
        <f>2942500000/AL132</f>
        <v>2106299.2125984253</v>
      </c>
      <c r="AN132" s="34">
        <v>199029000</v>
      </c>
      <c r="AO132" s="52"/>
      <c r="AP132" s="30" t="s">
        <v>1403</v>
      </c>
      <c r="AQ132" s="30" t="s">
        <v>86</v>
      </c>
      <c r="AR132" s="30"/>
      <c r="AS132" s="30"/>
      <c r="AT132" s="30"/>
      <c r="AU132" s="30"/>
      <c r="AV132" s="35">
        <v>3655</v>
      </c>
      <c r="AW132" s="34">
        <v>1778386</v>
      </c>
      <c r="AX132" s="35">
        <v>2000</v>
      </c>
      <c r="AY132" s="34"/>
      <c r="AZ132" s="34">
        <v>8000000000</v>
      </c>
      <c r="BA132" s="32">
        <f t="shared" si="8"/>
        <v>6500000830</v>
      </c>
      <c r="BB132" s="30" t="s">
        <v>1404</v>
      </c>
      <c r="BC132" s="30" t="s">
        <v>81</v>
      </c>
      <c r="BD132" s="30" t="s">
        <v>1403</v>
      </c>
      <c r="BE132" s="30" t="s">
        <v>86</v>
      </c>
      <c r="BF132" s="30"/>
      <c r="BG132" s="30"/>
      <c r="BH132" s="30"/>
      <c r="BI132" s="30"/>
      <c r="BJ132" s="36">
        <v>1885</v>
      </c>
      <c r="BK132" s="34">
        <v>2078039</v>
      </c>
      <c r="BL132" s="36">
        <v>617</v>
      </c>
      <c r="BM132" s="34"/>
      <c r="BN132" s="34">
        <v>5655000000</v>
      </c>
      <c r="BO132" s="32">
        <f t="shared" si="9"/>
        <v>3917103515</v>
      </c>
      <c r="BP132" s="30" t="s">
        <v>1405</v>
      </c>
      <c r="BQ132" s="30" t="s">
        <v>81</v>
      </c>
      <c r="BR132" s="30" t="s">
        <v>1403</v>
      </c>
      <c r="BS132" s="30" t="s">
        <v>77</v>
      </c>
      <c r="BT132" s="30"/>
      <c r="BU132" s="30"/>
      <c r="BV132" s="30"/>
      <c r="BW132" s="30"/>
      <c r="BX132" s="36">
        <v>5050</v>
      </c>
      <c r="BY132" s="34">
        <v>1584158</v>
      </c>
      <c r="BZ132" s="36"/>
      <c r="CA132" s="34"/>
      <c r="CB132" s="34">
        <v>10100000000</v>
      </c>
      <c r="CC132" s="32">
        <f t="shared" si="10"/>
        <v>7999997900</v>
      </c>
      <c r="CD132" s="30" t="s">
        <v>1406</v>
      </c>
      <c r="CE132" s="30" t="s">
        <v>81</v>
      </c>
      <c r="CF132" s="30" t="s">
        <v>1407</v>
      </c>
      <c r="CG132" s="30"/>
      <c r="CH132" s="30"/>
      <c r="CI132" s="64"/>
      <c r="CJ132" s="64"/>
      <c r="CK132" s="64"/>
      <c r="CL132" s="64"/>
    </row>
    <row r="133" spans="2:90" ht="105" customHeight="1" x14ac:dyDescent="0.25">
      <c r="B133" s="57"/>
      <c r="C133" s="57"/>
      <c r="D133" s="68"/>
      <c r="E133" s="57"/>
      <c r="F133" s="57"/>
      <c r="G133" s="30"/>
      <c r="H133" s="30" t="s">
        <v>97</v>
      </c>
      <c r="I133" s="35">
        <v>2817</v>
      </c>
      <c r="J133" s="30" t="s">
        <v>70</v>
      </c>
      <c r="K133" s="35">
        <v>1403</v>
      </c>
      <c r="L133" s="35"/>
      <c r="M133" s="30" t="s">
        <v>397</v>
      </c>
      <c r="N133" s="30"/>
      <c r="O133" s="30"/>
      <c r="P133" s="30"/>
      <c r="Q133" s="30"/>
      <c r="R133" s="30" t="s">
        <v>1408</v>
      </c>
      <c r="S133" s="30" t="s">
        <v>1409</v>
      </c>
      <c r="T133" s="30" t="s">
        <v>938</v>
      </c>
      <c r="U133" s="30" t="s">
        <v>122</v>
      </c>
      <c r="V133" s="30" t="s">
        <v>71</v>
      </c>
      <c r="W133" s="30" t="s">
        <v>72</v>
      </c>
      <c r="X133" s="30" t="s">
        <v>85</v>
      </c>
      <c r="Y133" s="30" t="s">
        <v>73</v>
      </c>
      <c r="Z133" s="33">
        <v>45455</v>
      </c>
      <c r="AA133" s="33">
        <v>45457</v>
      </c>
      <c r="AB133" s="30" t="s">
        <v>90</v>
      </c>
      <c r="AC133" s="30"/>
      <c r="AD133" s="30"/>
      <c r="AE133" s="30"/>
      <c r="AF133" s="30"/>
      <c r="AG133" s="30"/>
      <c r="AH133" s="30"/>
      <c r="AI133" s="30"/>
      <c r="AJ133" s="31">
        <f t="shared" ref="AJ133:AJ196" si="13">I133</f>
        <v>2817</v>
      </c>
      <c r="AK133" s="34">
        <f>35775900000/AJ133</f>
        <v>12700000</v>
      </c>
      <c r="AL133" s="31">
        <f t="shared" ref="AL133:AL196" si="14">K133</f>
        <v>1403</v>
      </c>
      <c r="AM133" s="34">
        <f>3217200000/AL133</f>
        <v>2293086.2437633644</v>
      </c>
      <c r="AN133" s="34">
        <v>227300000</v>
      </c>
      <c r="AO133" s="52"/>
      <c r="AP133" s="30" t="s">
        <v>1410</v>
      </c>
      <c r="AQ133" s="30" t="s">
        <v>97</v>
      </c>
      <c r="AR133" s="30"/>
      <c r="AS133" s="30"/>
      <c r="AT133" s="30"/>
      <c r="AU133" s="30"/>
      <c r="AV133" s="35">
        <v>421</v>
      </c>
      <c r="AW133" s="34">
        <v>14772639</v>
      </c>
      <c r="AX133" s="35">
        <v>222</v>
      </c>
      <c r="AY133" s="34"/>
      <c r="AZ133" s="34">
        <v>7500000000</v>
      </c>
      <c r="BA133" s="32">
        <f t="shared" ref="BA133:BA183" si="15">AV133*AW133</f>
        <v>6219281019</v>
      </c>
      <c r="BB133" s="34" t="s">
        <v>940</v>
      </c>
      <c r="BC133" s="30" t="s">
        <v>81</v>
      </c>
      <c r="BD133" s="30" t="s">
        <v>1410</v>
      </c>
      <c r="BE133" s="30" t="s">
        <v>97</v>
      </c>
      <c r="BF133" s="30"/>
      <c r="BG133" s="30"/>
      <c r="BH133" s="30"/>
      <c r="BI133" s="30"/>
      <c r="BJ133" s="36">
        <v>499</v>
      </c>
      <c r="BK133" s="34">
        <v>13040602</v>
      </c>
      <c r="BL133" s="36">
        <v>400</v>
      </c>
      <c r="BM133" s="34"/>
      <c r="BN133" s="34">
        <v>8000000000</v>
      </c>
      <c r="BO133" s="32">
        <f t="shared" ref="BO133:BO194" si="16">BJ133*BK133</f>
        <v>6507260398</v>
      </c>
      <c r="BP133" s="30" t="s">
        <v>790</v>
      </c>
      <c r="BQ133" s="30" t="s">
        <v>81</v>
      </c>
      <c r="BR133" s="30" t="s">
        <v>1410</v>
      </c>
      <c r="BS133" s="30" t="s">
        <v>77</v>
      </c>
      <c r="BT133" s="30"/>
      <c r="BU133" s="30"/>
      <c r="BV133" s="30"/>
      <c r="BW133" s="30"/>
      <c r="BX133" s="36">
        <v>4000</v>
      </c>
      <c r="BY133" s="34">
        <v>11250000</v>
      </c>
      <c r="BZ133" s="36"/>
      <c r="CA133" s="34"/>
      <c r="CB133" s="34">
        <v>50000000000</v>
      </c>
      <c r="CC133" s="32">
        <f t="shared" ref="CC133:CC194" si="17">BX133*BY133</f>
        <v>45000000000</v>
      </c>
      <c r="CD133" s="30" t="s">
        <v>941</v>
      </c>
      <c r="CE133" s="30" t="s">
        <v>81</v>
      </c>
      <c r="CF133" s="30" t="s">
        <v>1411</v>
      </c>
      <c r="CG133" s="30"/>
      <c r="CH133" s="30"/>
      <c r="CI133" s="64"/>
      <c r="CJ133" s="64"/>
      <c r="CK133" s="64"/>
      <c r="CL133" s="64"/>
    </row>
    <row r="134" spans="2:90" ht="165" customHeight="1" x14ac:dyDescent="0.25">
      <c r="B134" s="58"/>
      <c r="C134" s="58"/>
      <c r="D134" s="69"/>
      <c r="E134" s="58"/>
      <c r="F134" s="58"/>
      <c r="G134" s="30"/>
      <c r="H134" s="30" t="s">
        <v>97</v>
      </c>
      <c r="I134" s="35">
        <v>3350</v>
      </c>
      <c r="J134" s="30" t="s">
        <v>70</v>
      </c>
      <c r="K134" s="35">
        <v>1089</v>
      </c>
      <c r="L134" s="35"/>
      <c r="M134" s="30" t="s">
        <v>397</v>
      </c>
      <c r="N134" s="30"/>
      <c r="O134" s="30"/>
      <c r="P134" s="30"/>
      <c r="Q134" s="30"/>
      <c r="R134" s="30" t="s">
        <v>1412</v>
      </c>
      <c r="S134" s="30" t="s">
        <v>1413</v>
      </c>
      <c r="T134" s="30" t="s">
        <v>1414</v>
      </c>
      <c r="U134" s="30" t="s">
        <v>1415</v>
      </c>
      <c r="V134" s="30" t="s">
        <v>71</v>
      </c>
      <c r="W134" s="30" t="s">
        <v>72</v>
      </c>
      <c r="X134" s="30" t="s">
        <v>85</v>
      </c>
      <c r="Y134" s="30" t="s">
        <v>73</v>
      </c>
      <c r="Z134" s="33">
        <v>45455</v>
      </c>
      <c r="AA134" s="33">
        <v>45457</v>
      </c>
      <c r="AB134" s="30" t="s">
        <v>90</v>
      </c>
      <c r="AC134" s="30"/>
      <c r="AD134" s="30"/>
      <c r="AE134" s="30"/>
      <c r="AF134" s="30"/>
      <c r="AG134" s="30"/>
      <c r="AH134" s="30"/>
      <c r="AI134" s="30"/>
      <c r="AJ134" s="31">
        <f t="shared" si="13"/>
        <v>3350</v>
      </c>
      <c r="AK134" s="34">
        <f>9916000000/AJ134</f>
        <v>2960000</v>
      </c>
      <c r="AL134" s="31">
        <f t="shared" si="14"/>
        <v>1089</v>
      </c>
      <c r="AM134" s="34">
        <f>2478600000/AL134</f>
        <v>2276033.0578512396</v>
      </c>
      <c r="AN134" s="34">
        <v>444300000</v>
      </c>
      <c r="AO134" s="53"/>
      <c r="AP134" s="30" t="s">
        <v>1416</v>
      </c>
      <c r="AQ134" s="30" t="s">
        <v>97</v>
      </c>
      <c r="AR134" s="30"/>
      <c r="AS134" s="30"/>
      <c r="AT134" s="30"/>
      <c r="AU134" s="30"/>
      <c r="AV134" s="35">
        <v>2635</v>
      </c>
      <c r="AW134" s="34">
        <v>2985825</v>
      </c>
      <c r="AX134" s="35">
        <v>1850</v>
      </c>
      <c r="AY134" s="34"/>
      <c r="AZ134" s="34">
        <v>12000000000</v>
      </c>
      <c r="BA134" s="32">
        <f t="shared" si="15"/>
        <v>7867648875</v>
      </c>
      <c r="BB134" s="30" t="s">
        <v>1417</v>
      </c>
      <c r="BC134" s="30" t="s">
        <v>81</v>
      </c>
      <c r="BD134" s="30" t="s">
        <v>1416</v>
      </c>
      <c r="BE134" s="30" t="s">
        <v>77</v>
      </c>
      <c r="BF134" s="30"/>
      <c r="BG134" s="30"/>
      <c r="BH134" s="30"/>
      <c r="BI134" s="30"/>
      <c r="BJ134" s="36">
        <v>560</v>
      </c>
      <c r="BK134" s="34">
        <v>2767857</v>
      </c>
      <c r="BL134" s="36"/>
      <c r="BM134" s="34"/>
      <c r="BN134" s="34">
        <v>1700000000</v>
      </c>
      <c r="BO134" s="32">
        <f t="shared" si="16"/>
        <v>1549999920</v>
      </c>
      <c r="BP134" s="30" t="s">
        <v>790</v>
      </c>
      <c r="BQ134" s="30" t="s">
        <v>81</v>
      </c>
      <c r="BR134" s="30" t="s">
        <v>1418</v>
      </c>
      <c r="BS134" s="30" t="s">
        <v>77</v>
      </c>
      <c r="BT134" s="30"/>
      <c r="BU134" s="30"/>
      <c r="BV134" s="30"/>
      <c r="BW134" s="30"/>
      <c r="BX134" s="36">
        <v>2800</v>
      </c>
      <c r="BY134" s="34">
        <v>3035714</v>
      </c>
      <c r="BZ134" s="36"/>
      <c r="CA134" s="34"/>
      <c r="CB134" s="34">
        <v>9520000000</v>
      </c>
      <c r="CC134" s="32">
        <f t="shared" si="17"/>
        <v>8499999200</v>
      </c>
      <c r="CD134" s="30" t="s">
        <v>1419</v>
      </c>
      <c r="CE134" s="30" t="s">
        <v>81</v>
      </c>
      <c r="CF134" s="30" t="s">
        <v>1411</v>
      </c>
      <c r="CG134" s="30"/>
      <c r="CH134" s="30"/>
      <c r="CI134" s="64"/>
      <c r="CJ134" s="64"/>
      <c r="CK134" s="64"/>
      <c r="CL134" s="64"/>
    </row>
    <row r="135" spans="2:90" ht="180" x14ac:dyDescent="0.25">
      <c r="B135" s="30" t="s">
        <v>1420</v>
      </c>
      <c r="C135" s="30" t="s">
        <v>1421</v>
      </c>
      <c r="D135" s="33">
        <v>45471</v>
      </c>
      <c r="E135" s="30" t="s">
        <v>1422</v>
      </c>
      <c r="F135" s="30" t="s">
        <v>1423</v>
      </c>
      <c r="G135" s="30"/>
      <c r="H135" s="30" t="s">
        <v>1424</v>
      </c>
      <c r="I135" s="35"/>
      <c r="J135" s="30"/>
      <c r="K135" s="35">
        <v>320</v>
      </c>
      <c r="L135" s="35"/>
      <c r="M135" s="30"/>
      <c r="N135" s="30"/>
      <c r="O135" s="30"/>
      <c r="P135" s="30"/>
      <c r="Q135" s="30" t="s">
        <v>1425</v>
      </c>
      <c r="R135" s="30" t="s">
        <v>1426</v>
      </c>
      <c r="S135" s="30" t="s">
        <v>168</v>
      </c>
      <c r="T135" s="30" t="s">
        <v>158</v>
      </c>
      <c r="U135" s="30" t="s">
        <v>103</v>
      </c>
      <c r="V135" s="30" t="s">
        <v>84</v>
      </c>
      <c r="W135" s="30" t="s">
        <v>72</v>
      </c>
      <c r="X135" s="30" t="s">
        <v>754</v>
      </c>
      <c r="Y135" s="30" t="s">
        <v>169</v>
      </c>
      <c r="Z135" s="33">
        <v>45461</v>
      </c>
      <c r="AA135" s="33">
        <v>45291</v>
      </c>
      <c r="AB135" s="30" t="s">
        <v>90</v>
      </c>
      <c r="AC135" s="30"/>
      <c r="AD135" s="30"/>
      <c r="AE135" s="30"/>
      <c r="AF135" s="30"/>
      <c r="AG135" s="30"/>
      <c r="AH135" s="30"/>
      <c r="AI135" s="30"/>
      <c r="AJ135" s="31">
        <f t="shared" si="13"/>
        <v>0</v>
      </c>
      <c r="AK135" s="34"/>
      <c r="AL135" s="31">
        <f t="shared" si="14"/>
        <v>320</v>
      </c>
      <c r="AM135" s="34">
        <f>644800000/AL135</f>
        <v>2015000</v>
      </c>
      <c r="AN135" s="34"/>
      <c r="AO135" s="34">
        <f t="shared" si="11"/>
        <v>644800000</v>
      </c>
      <c r="AP135" s="30" t="s">
        <v>1427</v>
      </c>
      <c r="AQ135" s="30" t="s">
        <v>123</v>
      </c>
      <c r="AR135" s="30"/>
      <c r="AS135" s="30"/>
      <c r="AT135" s="30"/>
      <c r="AU135" s="30"/>
      <c r="AV135" s="35">
        <v>201</v>
      </c>
      <c r="AW135" s="34">
        <v>2039801</v>
      </c>
      <c r="AX135" s="35"/>
      <c r="AY135" s="34"/>
      <c r="AZ135" s="34">
        <v>422100000</v>
      </c>
      <c r="BA135" s="32">
        <f t="shared" si="15"/>
        <v>410000001</v>
      </c>
      <c r="BB135" s="30" t="s">
        <v>170</v>
      </c>
      <c r="BC135" s="30" t="s">
        <v>81</v>
      </c>
      <c r="BD135" s="30" t="s">
        <v>1428</v>
      </c>
      <c r="BE135" s="30" t="s">
        <v>123</v>
      </c>
      <c r="BF135" s="30"/>
      <c r="BG135" s="30"/>
      <c r="BH135" s="30"/>
      <c r="BI135" s="30"/>
      <c r="BJ135" s="36">
        <v>265</v>
      </c>
      <c r="BK135" s="34">
        <v>2075472</v>
      </c>
      <c r="BL135" s="36"/>
      <c r="BM135" s="34"/>
      <c r="BN135" s="34">
        <v>600000000</v>
      </c>
      <c r="BO135" s="32">
        <f t="shared" si="16"/>
        <v>550000080</v>
      </c>
      <c r="BP135" s="30" t="s">
        <v>1429</v>
      </c>
      <c r="BQ135" s="30" t="s">
        <v>81</v>
      </c>
      <c r="BR135" s="30" t="s">
        <v>1430</v>
      </c>
      <c r="BS135" s="30" t="s">
        <v>123</v>
      </c>
      <c r="BT135" s="30"/>
      <c r="BU135" s="30"/>
      <c r="BV135" s="30"/>
      <c r="BW135" s="30"/>
      <c r="BX135" s="36">
        <v>458</v>
      </c>
      <c r="BY135" s="34">
        <v>2620087</v>
      </c>
      <c r="BZ135" s="36"/>
      <c r="CA135" s="34"/>
      <c r="CB135" s="34">
        <v>1417968000</v>
      </c>
      <c r="CC135" s="32">
        <f t="shared" si="17"/>
        <v>1199999846</v>
      </c>
      <c r="CD135" s="30" t="s">
        <v>1431</v>
      </c>
      <c r="CE135" s="30" t="s">
        <v>81</v>
      </c>
      <c r="CF135" s="30" t="s">
        <v>1432</v>
      </c>
      <c r="CG135" s="30"/>
      <c r="CH135" s="30"/>
      <c r="CI135" s="64"/>
      <c r="CJ135" s="64"/>
      <c r="CK135" s="64"/>
      <c r="CL135" s="64"/>
    </row>
    <row r="136" spans="2:90" ht="165" x14ac:dyDescent="0.25">
      <c r="B136" s="30" t="s">
        <v>1433</v>
      </c>
      <c r="C136" s="30" t="s">
        <v>1434</v>
      </c>
      <c r="D136" s="33">
        <v>45474</v>
      </c>
      <c r="E136" s="30" t="s">
        <v>226</v>
      </c>
      <c r="F136" s="30" t="s">
        <v>96</v>
      </c>
      <c r="G136" s="30"/>
      <c r="H136" s="30" t="s">
        <v>77</v>
      </c>
      <c r="I136" s="35">
        <v>6326</v>
      </c>
      <c r="J136" s="30" t="s">
        <v>70</v>
      </c>
      <c r="K136" s="35"/>
      <c r="L136" s="35"/>
      <c r="M136" s="30"/>
      <c r="N136" s="30"/>
      <c r="O136" s="30"/>
      <c r="P136" s="30"/>
      <c r="Q136" s="30"/>
      <c r="R136" s="30" t="s">
        <v>1435</v>
      </c>
      <c r="S136" s="30" t="s">
        <v>227</v>
      </c>
      <c r="T136" s="30" t="s">
        <v>228</v>
      </c>
      <c r="U136" s="30" t="s">
        <v>229</v>
      </c>
      <c r="V136" s="30" t="s">
        <v>92</v>
      </c>
      <c r="W136" s="30" t="s">
        <v>72</v>
      </c>
      <c r="X136" s="30" t="s">
        <v>85</v>
      </c>
      <c r="Y136" s="30" t="s">
        <v>73</v>
      </c>
      <c r="Z136" s="33">
        <v>45470</v>
      </c>
      <c r="AA136" s="33">
        <v>45470</v>
      </c>
      <c r="AB136" s="30" t="s">
        <v>90</v>
      </c>
      <c r="AC136" s="30"/>
      <c r="AD136" s="30"/>
      <c r="AE136" s="30"/>
      <c r="AF136" s="30"/>
      <c r="AG136" s="30"/>
      <c r="AH136" s="30"/>
      <c r="AI136" s="30"/>
      <c r="AJ136" s="31">
        <f t="shared" si="13"/>
        <v>6326</v>
      </c>
      <c r="AK136" s="34">
        <v>7500000</v>
      </c>
      <c r="AL136" s="31">
        <f t="shared" si="14"/>
        <v>0</v>
      </c>
      <c r="AM136" s="34"/>
      <c r="AN136" s="34"/>
      <c r="AO136" s="34">
        <v>48077600000</v>
      </c>
      <c r="AP136" s="30" t="s">
        <v>1436</v>
      </c>
      <c r="AQ136" s="30" t="s">
        <v>77</v>
      </c>
      <c r="AR136" s="30"/>
      <c r="AS136" s="30"/>
      <c r="AT136" s="30"/>
      <c r="AU136" s="30"/>
      <c r="AV136" s="35">
        <v>4743</v>
      </c>
      <c r="AW136" s="34">
        <v>7800000</v>
      </c>
      <c r="AX136" s="35"/>
      <c r="AY136" s="34"/>
      <c r="AZ136" s="34">
        <v>47430000000</v>
      </c>
      <c r="BA136" s="32">
        <f t="shared" si="15"/>
        <v>36995400000</v>
      </c>
      <c r="BB136" s="30" t="s">
        <v>230</v>
      </c>
      <c r="BC136" s="30" t="s">
        <v>81</v>
      </c>
      <c r="BD136" s="30" t="s">
        <v>1436</v>
      </c>
      <c r="BE136" s="30" t="s">
        <v>77</v>
      </c>
      <c r="BF136" s="30"/>
      <c r="BG136" s="30"/>
      <c r="BH136" s="30"/>
      <c r="BI136" s="30"/>
      <c r="BJ136" s="36">
        <v>26754</v>
      </c>
      <c r="BK136" s="34">
        <v>7000000</v>
      </c>
      <c r="BL136" s="36"/>
      <c r="BM136" s="34"/>
      <c r="BN136" s="34">
        <v>214032000000</v>
      </c>
      <c r="BO136" s="32">
        <f t="shared" si="16"/>
        <v>187278000000</v>
      </c>
      <c r="BP136" s="30" t="s">
        <v>231</v>
      </c>
      <c r="BQ136" s="30" t="s">
        <v>81</v>
      </c>
      <c r="BR136" s="30" t="s">
        <v>1437</v>
      </c>
      <c r="BS136" s="30" t="s">
        <v>77</v>
      </c>
      <c r="BT136" s="30"/>
      <c r="BU136" s="30"/>
      <c r="BV136" s="30"/>
      <c r="BW136" s="30"/>
      <c r="BX136" s="36">
        <v>13862</v>
      </c>
      <c r="BY136" s="34">
        <v>6300000</v>
      </c>
      <c r="BZ136" s="36"/>
      <c r="CA136" s="34"/>
      <c r="CB136" s="34">
        <v>97034000000</v>
      </c>
      <c r="CC136" s="32">
        <f t="shared" si="17"/>
        <v>87330600000</v>
      </c>
      <c r="CD136" s="30" t="s">
        <v>232</v>
      </c>
      <c r="CE136" s="30" t="s">
        <v>81</v>
      </c>
      <c r="CF136" s="30" t="s">
        <v>216</v>
      </c>
      <c r="CG136" s="30"/>
      <c r="CH136" s="30"/>
      <c r="CI136" s="64"/>
      <c r="CJ136" s="64"/>
      <c r="CK136" s="64"/>
      <c r="CL136" s="64"/>
    </row>
    <row r="137" spans="2:90" ht="120" x14ac:dyDescent="0.25">
      <c r="B137" s="30" t="s">
        <v>1438</v>
      </c>
      <c r="C137" s="30" t="s">
        <v>1439</v>
      </c>
      <c r="D137" s="33">
        <v>45474</v>
      </c>
      <c r="E137" s="30" t="s">
        <v>1440</v>
      </c>
      <c r="F137" s="30" t="s">
        <v>93</v>
      </c>
      <c r="G137" s="30"/>
      <c r="H137" s="30" t="s">
        <v>1441</v>
      </c>
      <c r="I137" s="35">
        <v>99355</v>
      </c>
      <c r="J137" s="30" t="s">
        <v>70</v>
      </c>
      <c r="K137" s="35">
        <v>6890</v>
      </c>
      <c r="L137" s="35"/>
      <c r="M137" s="30" t="s">
        <v>1442</v>
      </c>
      <c r="N137" s="30"/>
      <c r="O137" s="30"/>
      <c r="P137" s="30"/>
      <c r="Q137" s="30"/>
      <c r="R137" s="30" t="s">
        <v>1443</v>
      </c>
      <c r="S137" s="30" t="s">
        <v>1444</v>
      </c>
      <c r="T137" s="30" t="s">
        <v>1445</v>
      </c>
      <c r="U137" s="30" t="s">
        <v>1446</v>
      </c>
      <c r="V137" s="30" t="s">
        <v>92</v>
      </c>
      <c r="W137" s="30" t="s">
        <v>72</v>
      </c>
      <c r="X137" s="30" t="s">
        <v>85</v>
      </c>
      <c r="Y137" s="30" t="s">
        <v>73</v>
      </c>
      <c r="Z137" s="33">
        <v>45465</v>
      </c>
      <c r="AA137" s="33">
        <v>45466</v>
      </c>
      <c r="AB137" s="30" t="s">
        <v>90</v>
      </c>
      <c r="AC137" s="30"/>
      <c r="AD137" s="30"/>
      <c r="AE137" s="30"/>
      <c r="AF137" s="30"/>
      <c r="AG137" s="30"/>
      <c r="AH137" s="30"/>
      <c r="AI137" s="30"/>
      <c r="AJ137" s="31">
        <f t="shared" si="13"/>
        <v>99355</v>
      </c>
      <c r="AK137" s="34">
        <f>2881295000/AJ137</f>
        <v>29000</v>
      </c>
      <c r="AL137" s="31">
        <f t="shared" si="14"/>
        <v>6890</v>
      </c>
      <c r="AM137" s="34">
        <f>16729300000/AL137</f>
        <v>2428055.1523947748</v>
      </c>
      <c r="AN137" s="34">
        <f>4267485000+8064459000</f>
        <v>12331944000</v>
      </c>
      <c r="AO137" s="34">
        <f t="shared" si="11"/>
        <v>31942539000</v>
      </c>
      <c r="AP137" s="30" t="s">
        <v>1447</v>
      </c>
      <c r="AQ137" s="30" t="s">
        <v>77</v>
      </c>
      <c r="AR137" s="30"/>
      <c r="AS137" s="30"/>
      <c r="AT137" s="30"/>
      <c r="AU137" s="30"/>
      <c r="AV137" s="35">
        <v>150000</v>
      </c>
      <c r="AW137" s="34">
        <v>18000</v>
      </c>
      <c r="AX137" s="35"/>
      <c r="AY137" s="34"/>
      <c r="AZ137" s="34">
        <v>2925000000</v>
      </c>
      <c r="BA137" s="32">
        <f t="shared" si="15"/>
        <v>2700000000</v>
      </c>
      <c r="BB137" s="30" t="s">
        <v>1448</v>
      </c>
      <c r="BC137" s="30" t="s">
        <v>81</v>
      </c>
      <c r="BD137" s="30" t="s">
        <v>1449</v>
      </c>
      <c r="BE137" s="30" t="s">
        <v>77</v>
      </c>
      <c r="BF137" s="30"/>
      <c r="BG137" s="30"/>
      <c r="BH137" s="30"/>
      <c r="BI137" s="30"/>
      <c r="BJ137" s="36">
        <v>80000</v>
      </c>
      <c r="BK137" s="34">
        <v>30000</v>
      </c>
      <c r="BL137" s="36"/>
      <c r="BM137" s="34"/>
      <c r="BN137" s="34">
        <v>2800000000</v>
      </c>
      <c r="BO137" s="32">
        <f t="shared" si="16"/>
        <v>2400000000</v>
      </c>
      <c r="BP137" s="30" t="s">
        <v>1450</v>
      </c>
      <c r="BQ137" s="30" t="s">
        <v>81</v>
      </c>
      <c r="BR137" s="30" t="s">
        <v>1449</v>
      </c>
      <c r="BS137" s="30" t="s">
        <v>77</v>
      </c>
      <c r="BT137" s="30"/>
      <c r="BU137" s="30"/>
      <c r="BV137" s="30"/>
      <c r="BW137" s="30"/>
      <c r="BX137" s="36">
        <v>20000</v>
      </c>
      <c r="BY137" s="34">
        <v>23000</v>
      </c>
      <c r="BZ137" s="36"/>
      <c r="CA137" s="34"/>
      <c r="CB137" s="34">
        <v>500000000</v>
      </c>
      <c r="CC137" s="32">
        <f t="shared" si="17"/>
        <v>460000000</v>
      </c>
      <c r="CD137" s="30" t="s">
        <v>1451</v>
      </c>
      <c r="CE137" s="30" t="s">
        <v>81</v>
      </c>
      <c r="CF137" s="30" t="s">
        <v>1452</v>
      </c>
      <c r="CG137" s="30"/>
      <c r="CH137" s="30"/>
      <c r="CI137" s="64"/>
      <c r="CJ137" s="64"/>
      <c r="CK137" s="64"/>
      <c r="CL137" s="64"/>
    </row>
    <row r="138" spans="2:90" ht="120" x14ac:dyDescent="0.25">
      <c r="B138" s="30" t="s">
        <v>1453</v>
      </c>
      <c r="C138" s="30" t="s">
        <v>1454</v>
      </c>
      <c r="D138" s="33">
        <v>45475</v>
      </c>
      <c r="E138" s="30" t="s">
        <v>1455</v>
      </c>
      <c r="F138" s="30" t="s">
        <v>1455</v>
      </c>
      <c r="G138" s="30"/>
      <c r="H138" s="30" t="s">
        <v>97</v>
      </c>
      <c r="I138" s="35">
        <v>1330</v>
      </c>
      <c r="J138" s="30" t="s">
        <v>70</v>
      </c>
      <c r="K138" s="35">
        <v>148</v>
      </c>
      <c r="L138" s="35"/>
      <c r="M138" s="30"/>
      <c r="N138" s="30"/>
      <c r="O138" s="30"/>
      <c r="P138" s="30"/>
      <c r="Q138" s="30"/>
      <c r="R138" s="30" t="s">
        <v>1456</v>
      </c>
      <c r="S138" s="30" t="s">
        <v>1457</v>
      </c>
      <c r="T138" s="30" t="s">
        <v>1458</v>
      </c>
      <c r="U138" s="30" t="s">
        <v>1459</v>
      </c>
      <c r="V138" s="30" t="s">
        <v>92</v>
      </c>
      <c r="W138" s="30" t="s">
        <v>72</v>
      </c>
      <c r="X138" s="30" t="s">
        <v>131</v>
      </c>
      <c r="Y138" s="30" t="s">
        <v>73</v>
      </c>
      <c r="Z138" s="33">
        <v>45456</v>
      </c>
      <c r="AA138" s="33">
        <v>45456</v>
      </c>
      <c r="AB138" s="30" t="s">
        <v>90</v>
      </c>
      <c r="AC138" s="30"/>
      <c r="AD138" s="30"/>
      <c r="AE138" s="30"/>
      <c r="AF138" s="30"/>
      <c r="AG138" s="30"/>
      <c r="AH138" s="30"/>
      <c r="AI138" s="30"/>
      <c r="AJ138" s="31">
        <f t="shared" si="13"/>
        <v>1330</v>
      </c>
      <c r="AK138" s="34">
        <f>665000000/AJ138</f>
        <v>500000</v>
      </c>
      <c r="AL138" s="31">
        <f t="shared" si="14"/>
        <v>148</v>
      </c>
      <c r="AM138" s="34">
        <f>176300000/AL138</f>
        <v>1191216.2162162163</v>
      </c>
      <c r="AN138" s="34"/>
      <c r="AO138" s="34">
        <f t="shared" si="11"/>
        <v>841300000</v>
      </c>
      <c r="AP138" s="30" t="s">
        <v>1460</v>
      </c>
      <c r="AQ138" s="30" t="s">
        <v>77</v>
      </c>
      <c r="AR138" s="30"/>
      <c r="AS138" s="30"/>
      <c r="AT138" s="30"/>
      <c r="AU138" s="30"/>
      <c r="AV138" s="35">
        <v>1100</v>
      </c>
      <c r="AW138" s="34">
        <v>536364</v>
      </c>
      <c r="AX138" s="35"/>
      <c r="AY138" s="34"/>
      <c r="AZ138" s="34">
        <v>750000000</v>
      </c>
      <c r="BA138" s="32">
        <f t="shared" si="15"/>
        <v>590000400</v>
      </c>
      <c r="BB138" s="30" t="s">
        <v>1461</v>
      </c>
      <c r="BC138" s="30" t="s">
        <v>81</v>
      </c>
      <c r="BD138" s="30" t="s">
        <v>1462</v>
      </c>
      <c r="BE138" s="30" t="s">
        <v>83</v>
      </c>
      <c r="BF138" s="30"/>
      <c r="BG138" s="30"/>
      <c r="BH138" s="30"/>
      <c r="BI138" s="30"/>
      <c r="BJ138" s="36">
        <v>150</v>
      </c>
      <c r="BK138" s="34">
        <v>707333</v>
      </c>
      <c r="BL138" s="36">
        <v>150</v>
      </c>
      <c r="BM138" s="34"/>
      <c r="BN138" s="34">
        <v>290000000</v>
      </c>
      <c r="BO138" s="32">
        <f t="shared" si="16"/>
        <v>106099950</v>
      </c>
      <c r="BP138" s="30" t="s">
        <v>1463</v>
      </c>
      <c r="BQ138" s="30" t="s">
        <v>81</v>
      </c>
      <c r="BR138" s="30" t="s">
        <v>1464</v>
      </c>
      <c r="BS138" s="30" t="s">
        <v>77</v>
      </c>
      <c r="BT138" s="30"/>
      <c r="BU138" s="30"/>
      <c r="BV138" s="30"/>
      <c r="BW138" s="30"/>
      <c r="BX138" s="36">
        <v>4136</v>
      </c>
      <c r="BY138" s="34">
        <v>352998</v>
      </c>
      <c r="BZ138" s="36"/>
      <c r="CA138" s="34"/>
      <c r="CB138" s="34">
        <v>1654400000</v>
      </c>
      <c r="CC138" s="32">
        <f t="shared" si="17"/>
        <v>1459999728</v>
      </c>
      <c r="CD138" s="30" t="s">
        <v>1465</v>
      </c>
      <c r="CE138" s="30" t="s">
        <v>81</v>
      </c>
      <c r="CF138" s="30" t="s">
        <v>379</v>
      </c>
      <c r="CG138" s="30"/>
      <c r="CH138" s="30"/>
      <c r="CI138" s="64"/>
      <c r="CJ138" s="64"/>
      <c r="CK138" s="64"/>
      <c r="CL138" s="64"/>
    </row>
    <row r="139" spans="2:90" ht="150" customHeight="1" x14ac:dyDescent="0.25">
      <c r="B139" s="30" t="s">
        <v>1466</v>
      </c>
      <c r="C139" s="30" t="s">
        <v>1467</v>
      </c>
      <c r="D139" s="33">
        <v>45475</v>
      </c>
      <c r="E139" s="30" t="s">
        <v>1468</v>
      </c>
      <c r="F139" s="30" t="s">
        <v>1468</v>
      </c>
      <c r="G139" s="30"/>
      <c r="H139" s="30" t="s">
        <v>250</v>
      </c>
      <c r="I139" s="35">
        <v>27800</v>
      </c>
      <c r="J139" s="30" t="s">
        <v>70</v>
      </c>
      <c r="K139" s="35"/>
      <c r="L139" s="35"/>
      <c r="M139" s="30"/>
      <c r="N139" s="30"/>
      <c r="O139" s="30"/>
      <c r="P139" s="30"/>
      <c r="Q139" s="30"/>
      <c r="R139" s="30" t="s">
        <v>1469</v>
      </c>
      <c r="S139" s="30" t="s">
        <v>1470</v>
      </c>
      <c r="T139" s="30" t="s">
        <v>1471</v>
      </c>
      <c r="U139" s="30" t="s">
        <v>1472</v>
      </c>
      <c r="V139" s="30" t="s">
        <v>126</v>
      </c>
      <c r="W139" s="30" t="s">
        <v>72</v>
      </c>
      <c r="X139" s="30" t="s">
        <v>131</v>
      </c>
      <c r="Y139" s="30" t="s">
        <v>73</v>
      </c>
      <c r="Z139" s="33">
        <v>45463</v>
      </c>
      <c r="AA139" s="33">
        <v>45463</v>
      </c>
      <c r="AB139" s="30" t="s">
        <v>90</v>
      </c>
      <c r="AC139" s="30"/>
      <c r="AD139" s="30"/>
      <c r="AE139" s="30"/>
      <c r="AF139" s="30"/>
      <c r="AG139" s="30"/>
      <c r="AH139" s="30"/>
      <c r="AI139" s="30"/>
      <c r="AJ139" s="31">
        <f t="shared" si="13"/>
        <v>27800</v>
      </c>
      <c r="AK139" s="34">
        <f>51430000000/AJ139</f>
        <v>1850000</v>
      </c>
      <c r="AL139" s="31">
        <f t="shared" si="14"/>
        <v>0</v>
      </c>
      <c r="AM139" s="34"/>
      <c r="AN139" s="34"/>
      <c r="AO139" s="34">
        <f t="shared" si="11"/>
        <v>51430000000</v>
      </c>
      <c r="AP139" s="30" t="s">
        <v>1473</v>
      </c>
      <c r="AQ139" s="30" t="s">
        <v>77</v>
      </c>
      <c r="AR139" s="30"/>
      <c r="AS139" s="30"/>
      <c r="AT139" s="30"/>
      <c r="AU139" s="30"/>
      <c r="AV139" s="35">
        <v>40000</v>
      </c>
      <c r="AW139" s="34">
        <v>1500000</v>
      </c>
      <c r="AX139" s="35"/>
      <c r="AY139" s="34"/>
      <c r="AZ139" s="34">
        <v>70000000000</v>
      </c>
      <c r="BA139" s="32">
        <f t="shared" si="15"/>
        <v>60000000000</v>
      </c>
      <c r="BB139" s="30" t="s">
        <v>1474</v>
      </c>
      <c r="BC139" s="30" t="s">
        <v>81</v>
      </c>
      <c r="BD139" s="30" t="s">
        <v>1475</v>
      </c>
      <c r="BE139" s="30" t="s">
        <v>77</v>
      </c>
      <c r="BF139" s="30"/>
      <c r="BG139" s="30"/>
      <c r="BH139" s="30"/>
      <c r="BI139" s="30"/>
      <c r="BJ139" s="36">
        <v>18500</v>
      </c>
      <c r="BK139" s="34">
        <v>2300000</v>
      </c>
      <c r="BL139" s="36"/>
      <c r="BM139" s="34"/>
      <c r="BN139" s="34">
        <v>51800000000</v>
      </c>
      <c r="BO139" s="32">
        <f t="shared" si="16"/>
        <v>42550000000</v>
      </c>
      <c r="BP139" s="30" t="s">
        <v>1474</v>
      </c>
      <c r="BQ139" s="30" t="s">
        <v>81</v>
      </c>
      <c r="BR139" s="30" t="s">
        <v>1476</v>
      </c>
      <c r="BS139" s="30" t="s">
        <v>77</v>
      </c>
      <c r="BT139" s="30"/>
      <c r="BU139" s="30"/>
      <c r="BV139" s="30"/>
      <c r="BW139" s="30"/>
      <c r="BX139" s="36">
        <v>4510</v>
      </c>
      <c r="BY139" s="34">
        <v>3000000</v>
      </c>
      <c r="BZ139" s="36"/>
      <c r="CA139" s="34"/>
      <c r="CB139" s="34">
        <v>18040000000</v>
      </c>
      <c r="CC139" s="32">
        <f t="shared" si="17"/>
        <v>13530000000</v>
      </c>
      <c r="CD139" s="30" t="s">
        <v>1477</v>
      </c>
      <c r="CE139" s="30" t="s">
        <v>81</v>
      </c>
      <c r="CF139" s="30" t="s">
        <v>216</v>
      </c>
      <c r="CG139" s="30"/>
      <c r="CH139" s="30"/>
      <c r="CI139" s="64"/>
      <c r="CJ139" s="64"/>
      <c r="CK139" s="64"/>
      <c r="CL139" s="64"/>
    </row>
    <row r="140" spans="2:90" ht="120" customHeight="1" x14ac:dyDescent="0.25">
      <c r="B140" s="30" t="s">
        <v>1433</v>
      </c>
      <c r="C140" s="30" t="s">
        <v>1478</v>
      </c>
      <c r="D140" s="33">
        <v>45484</v>
      </c>
      <c r="E140" s="30" t="s">
        <v>337</v>
      </c>
      <c r="F140" s="30" t="s">
        <v>337</v>
      </c>
      <c r="G140" s="30"/>
      <c r="H140" s="30" t="s">
        <v>77</v>
      </c>
      <c r="I140" s="35">
        <v>50409</v>
      </c>
      <c r="J140" s="30" t="s">
        <v>70</v>
      </c>
      <c r="K140" s="35"/>
      <c r="L140" s="35"/>
      <c r="M140" s="30"/>
      <c r="N140" s="30"/>
      <c r="O140" s="30"/>
      <c r="P140" s="30"/>
      <c r="Q140" s="30"/>
      <c r="R140" s="30" t="s">
        <v>1479</v>
      </c>
      <c r="S140" s="30" t="s">
        <v>1480</v>
      </c>
      <c r="T140" s="30" t="s">
        <v>1481</v>
      </c>
      <c r="U140" s="30" t="s">
        <v>103</v>
      </c>
      <c r="V140" s="30" t="s">
        <v>84</v>
      </c>
      <c r="W140" s="30" t="s">
        <v>72</v>
      </c>
      <c r="X140" s="30" t="s">
        <v>131</v>
      </c>
      <c r="Y140" s="30" t="s">
        <v>73</v>
      </c>
      <c r="Z140" s="33">
        <v>45465</v>
      </c>
      <c r="AA140" s="33">
        <v>45467</v>
      </c>
      <c r="AB140" s="30" t="s">
        <v>90</v>
      </c>
      <c r="AC140" s="30"/>
      <c r="AD140" s="30"/>
      <c r="AE140" s="30"/>
      <c r="AF140" s="30"/>
      <c r="AG140" s="30"/>
      <c r="AH140" s="30"/>
      <c r="AI140" s="30"/>
      <c r="AJ140" s="31">
        <f t="shared" si="13"/>
        <v>50409</v>
      </c>
      <c r="AK140" s="34">
        <f>2923722000000/AJ140</f>
        <v>58000000</v>
      </c>
      <c r="AL140" s="31">
        <f t="shared" si="14"/>
        <v>0</v>
      </c>
      <c r="AM140" s="34"/>
      <c r="AN140" s="34"/>
      <c r="AO140" s="51" t="e">
        <f>(AJ140*AK140)+(AL140*AM140)+AN140+(AJ141*AK141)+(AL141*AM141)+AN141+(AJ142*AK142)+(AL142*AM142)+AN142</f>
        <v>#VALUE!</v>
      </c>
      <c r="AP140" s="30" t="s">
        <v>1482</v>
      </c>
      <c r="AQ140" s="30" t="s">
        <v>1483</v>
      </c>
      <c r="AR140" s="30"/>
      <c r="AS140" s="30"/>
      <c r="AT140" s="30"/>
      <c r="AU140" s="30"/>
      <c r="AV140" s="35">
        <v>3785</v>
      </c>
      <c r="AW140" s="34">
        <v>63400000</v>
      </c>
      <c r="AX140" s="35">
        <v>500</v>
      </c>
      <c r="AY140" s="34"/>
      <c r="AZ140" s="34">
        <v>272520000000</v>
      </c>
      <c r="BA140" s="32">
        <f t="shared" si="15"/>
        <v>239969000000</v>
      </c>
      <c r="BB140" s="30" t="s">
        <v>1484</v>
      </c>
      <c r="BC140" s="30" t="s">
        <v>81</v>
      </c>
      <c r="BD140" s="30" t="s">
        <v>1485</v>
      </c>
      <c r="BE140" s="30" t="s">
        <v>77</v>
      </c>
      <c r="BF140" s="30"/>
      <c r="BG140" s="30"/>
      <c r="BH140" s="30"/>
      <c r="BI140" s="30"/>
      <c r="BJ140" s="36">
        <v>13000</v>
      </c>
      <c r="BK140" s="34">
        <v>55000000</v>
      </c>
      <c r="BL140" s="36"/>
      <c r="BM140" s="34"/>
      <c r="BN140" s="34">
        <v>800000000000</v>
      </c>
      <c r="BO140" s="32">
        <f t="shared" si="16"/>
        <v>715000000000</v>
      </c>
      <c r="BP140" s="30" t="s">
        <v>1486</v>
      </c>
      <c r="BQ140" s="30" t="s">
        <v>81</v>
      </c>
      <c r="BR140" s="30" t="s">
        <v>1485</v>
      </c>
      <c r="BS140" s="30" t="s">
        <v>77</v>
      </c>
      <c r="BT140" s="30"/>
      <c r="BU140" s="30"/>
      <c r="BV140" s="30"/>
      <c r="BW140" s="30"/>
      <c r="BX140" s="36">
        <v>2422</v>
      </c>
      <c r="BY140" s="34">
        <v>63500000</v>
      </c>
      <c r="BZ140" s="36"/>
      <c r="CA140" s="34"/>
      <c r="CB140" s="34">
        <v>169540000000</v>
      </c>
      <c r="CC140" s="32">
        <f t="shared" si="17"/>
        <v>153797000000</v>
      </c>
      <c r="CD140" s="30" t="s">
        <v>1487</v>
      </c>
      <c r="CE140" s="30" t="s">
        <v>81</v>
      </c>
      <c r="CF140" s="30" t="s">
        <v>196</v>
      </c>
      <c r="CG140" s="30"/>
      <c r="CH140" s="30"/>
      <c r="CI140" s="64"/>
      <c r="CJ140" s="64"/>
      <c r="CK140" s="64"/>
      <c r="CL140" s="64"/>
    </row>
    <row r="141" spans="2:90" ht="120" customHeight="1" x14ac:dyDescent="0.25">
      <c r="B141" s="30" t="s">
        <v>1433</v>
      </c>
      <c r="C141" s="30" t="s">
        <v>1478</v>
      </c>
      <c r="D141" s="33">
        <v>45484</v>
      </c>
      <c r="E141" s="30" t="s">
        <v>337</v>
      </c>
      <c r="F141" s="30" t="s">
        <v>337</v>
      </c>
      <c r="G141" s="30"/>
      <c r="H141" s="30" t="s">
        <v>1488</v>
      </c>
      <c r="I141" s="35" t="s">
        <v>1489</v>
      </c>
      <c r="J141" s="30" t="s">
        <v>70</v>
      </c>
      <c r="K141" s="35"/>
      <c r="L141" s="35"/>
      <c r="M141" s="30"/>
      <c r="N141" s="30"/>
      <c r="O141" s="30"/>
      <c r="P141" s="30"/>
      <c r="Q141" s="30" t="s">
        <v>1490</v>
      </c>
      <c r="R141" s="30" t="s">
        <v>1491</v>
      </c>
      <c r="S141" s="30" t="s">
        <v>223</v>
      </c>
      <c r="T141" s="30" t="s">
        <v>224</v>
      </c>
      <c r="U141" s="30" t="s">
        <v>103</v>
      </c>
      <c r="V141" s="30" t="s">
        <v>84</v>
      </c>
      <c r="W141" s="30" t="s">
        <v>72</v>
      </c>
      <c r="X141" s="30" t="s">
        <v>131</v>
      </c>
      <c r="Y141" s="30" t="s">
        <v>73</v>
      </c>
      <c r="Z141" s="33">
        <v>45465</v>
      </c>
      <c r="AA141" s="33">
        <v>45467</v>
      </c>
      <c r="AB141" s="30" t="s">
        <v>90</v>
      </c>
      <c r="AC141" s="30"/>
      <c r="AD141" s="30"/>
      <c r="AE141" s="30"/>
      <c r="AF141" s="30"/>
      <c r="AG141" s="30"/>
      <c r="AH141" s="30"/>
      <c r="AI141" s="30"/>
      <c r="AJ141" s="31" t="str">
        <f t="shared" si="13"/>
        <v>915,88</v>
      </c>
      <c r="AK141" s="34" t="e">
        <f>34594000000/AJ141</f>
        <v>#VALUE!</v>
      </c>
      <c r="AL141" s="31">
        <f t="shared" si="14"/>
        <v>0</v>
      </c>
      <c r="AM141" s="34"/>
      <c r="AN141" s="34"/>
      <c r="AO141" s="52"/>
      <c r="AP141" s="30" t="s">
        <v>1492</v>
      </c>
      <c r="AQ141" s="30" t="s">
        <v>234</v>
      </c>
      <c r="AR141" s="30"/>
      <c r="AS141" s="30"/>
      <c r="AT141" s="30"/>
      <c r="AU141" s="30"/>
      <c r="AV141" s="35">
        <v>560</v>
      </c>
      <c r="AW141" s="34">
        <v>39375000</v>
      </c>
      <c r="AX141" s="35"/>
      <c r="AY141" s="34"/>
      <c r="AZ141" s="34">
        <v>25000000000</v>
      </c>
      <c r="BA141" s="32">
        <f t="shared" si="15"/>
        <v>22050000000</v>
      </c>
      <c r="BB141" s="30" t="s">
        <v>1493</v>
      </c>
      <c r="BC141" s="30" t="s">
        <v>81</v>
      </c>
      <c r="BD141" s="30" t="s">
        <v>1494</v>
      </c>
      <c r="BE141" s="30" t="s">
        <v>234</v>
      </c>
      <c r="BF141" s="30"/>
      <c r="BG141" s="30"/>
      <c r="BH141" s="30"/>
      <c r="BI141" s="30"/>
      <c r="BJ141" s="36">
        <v>571</v>
      </c>
      <c r="BK141" s="34">
        <v>38528897</v>
      </c>
      <c r="BL141" s="36"/>
      <c r="BM141" s="34"/>
      <c r="BN141" s="34">
        <v>25000000000</v>
      </c>
      <c r="BO141" s="32">
        <f t="shared" si="16"/>
        <v>22000000187</v>
      </c>
      <c r="BP141" s="30" t="s">
        <v>1495</v>
      </c>
      <c r="BQ141" s="30" t="s">
        <v>81</v>
      </c>
      <c r="BR141" s="30" t="s">
        <v>1496</v>
      </c>
      <c r="BS141" s="30" t="s">
        <v>234</v>
      </c>
      <c r="BT141" s="30"/>
      <c r="BU141" s="30"/>
      <c r="BV141" s="30"/>
      <c r="BW141" s="30"/>
      <c r="BX141" s="36">
        <v>605</v>
      </c>
      <c r="BY141" s="34">
        <v>38347107</v>
      </c>
      <c r="BZ141" s="36"/>
      <c r="CA141" s="34"/>
      <c r="CB141" s="34">
        <v>25000000000</v>
      </c>
      <c r="CC141" s="32">
        <f t="shared" si="17"/>
        <v>23199999735</v>
      </c>
      <c r="CD141" s="30" t="s">
        <v>1497</v>
      </c>
      <c r="CE141" s="30" t="s">
        <v>81</v>
      </c>
      <c r="CF141" s="30" t="s">
        <v>294</v>
      </c>
      <c r="CG141" s="30"/>
      <c r="CH141" s="30"/>
      <c r="CI141" s="64"/>
      <c r="CJ141" s="64"/>
      <c r="CK141" s="64"/>
      <c r="CL141" s="64"/>
    </row>
    <row r="142" spans="2:90" ht="120" customHeight="1" x14ac:dyDescent="0.25">
      <c r="B142" s="30" t="s">
        <v>1433</v>
      </c>
      <c r="C142" s="30" t="s">
        <v>1478</v>
      </c>
      <c r="D142" s="33">
        <v>45484</v>
      </c>
      <c r="E142" s="30" t="s">
        <v>337</v>
      </c>
      <c r="F142" s="30" t="s">
        <v>337</v>
      </c>
      <c r="G142" s="30"/>
      <c r="H142" s="30" t="s">
        <v>234</v>
      </c>
      <c r="I142" s="35" t="s">
        <v>1498</v>
      </c>
      <c r="J142" s="30" t="s">
        <v>70</v>
      </c>
      <c r="K142" s="35"/>
      <c r="L142" s="35"/>
      <c r="M142" s="30"/>
      <c r="N142" s="30"/>
      <c r="O142" s="30"/>
      <c r="P142" s="30"/>
      <c r="Q142" s="30" t="s">
        <v>1499</v>
      </c>
      <c r="R142" s="30" t="s">
        <v>1491</v>
      </c>
      <c r="S142" s="30" t="s">
        <v>223</v>
      </c>
      <c r="T142" s="30" t="s">
        <v>224</v>
      </c>
      <c r="U142" s="30" t="s">
        <v>103</v>
      </c>
      <c r="V142" s="30" t="s">
        <v>84</v>
      </c>
      <c r="W142" s="30" t="s">
        <v>72</v>
      </c>
      <c r="X142" s="30" t="s">
        <v>131</v>
      </c>
      <c r="Y142" s="30" t="s">
        <v>73</v>
      </c>
      <c r="Z142" s="33">
        <v>45465</v>
      </c>
      <c r="AA142" s="33">
        <v>45467</v>
      </c>
      <c r="AB142" s="30" t="s">
        <v>90</v>
      </c>
      <c r="AC142" s="30"/>
      <c r="AD142" s="30"/>
      <c r="AE142" s="30"/>
      <c r="AF142" s="30"/>
      <c r="AG142" s="30"/>
      <c r="AH142" s="30"/>
      <c r="AI142" s="30"/>
      <c r="AJ142" s="31" t="str">
        <f t="shared" si="13"/>
        <v>657,13</v>
      </c>
      <c r="AK142" s="34" t="e">
        <f>25724000000/AJ142</f>
        <v>#VALUE!</v>
      </c>
      <c r="AL142" s="31">
        <f t="shared" si="14"/>
        <v>0</v>
      </c>
      <c r="AM142" s="34"/>
      <c r="AN142" s="34"/>
      <c r="AO142" s="53"/>
      <c r="AP142" s="30" t="s">
        <v>1492</v>
      </c>
      <c r="AQ142" s="30" t="s">
        <v>234</v>
      </c>
      <c r="AR142" s="30"/>
      <c r="AS142" s="30"/>
      <c r="AT142" s="30"/>
      <c r="AU142" s="30"/>
      <c r="AV142" s="35">
        <v>560</v>
      </c>
      <c r="AW142" s="34">
        <v>39375000</v>
      </c>
      <c r="AX142" s="35"/>
      <c r="AY142" s="34"/>
      <c r="AZ142" s="34">
        <v>25000000000</v>
      </c>
      <c r="BA142" s="32">
        <f t="shared" si="15"/>
        <v>22050000000</v>
      </c>
      <c r="BB142" s="30" t="s">
        <v>1493</v>
      </c>
      <c r="BC142" s="30" t="s">
        <v>81</v>
      </c>
      <c r="BD142" s="30" t="s">
        <v>1494</v>
      </c>
      <c r="BE142" s="30" t="s">
        <v>234</v>
      </c>
      <c r="BF142" s="30"/>
      <c r="BG142" s="30"/>
      <c r="BH142" s="30"/>
      <c r="BI142" s="30"/>
      <c r="BJ142" s="36">
        <v>571</v>
      </c>
      <c r="BK142" s="34">
        <v>38528897</v>
      </c>
      <c r="BL142" s="36"/>
      <c r="BM142" s="34"/>
      <c r="BN142" s="34">
        <v>25000000000</v>
      </c>
      <c r="BO142" s="32">
        <f t="shared" si="16"/>
        <v>22000000187</v>
      </c>
      <c r="BP142" s="30" t="s">
        <v>1495</v>
      </c>
      <c r="BQ142" s="30" t="s">
        <v>81</v>
      </c>
      <c r="BR142" s="30" t="s">
        <v>1496</v>
      </c>
      <c r="BS142" s="30" t="s">
        <v>234</v>
      </c>
      <c r="BT142" s="30"/>
      <c r="BU142" s="30"/>
      <c r="BV142" s="30"/>
      <c r="BW142" s="30"/>
      <c r="BX142" s="36">
        <v>605</v>
      </c>
      <c r="BY142" s="34">
        <v>38347107</v>
      </c>
      <c r="BZ142" s="36"/>
      <c r="CA142" s="34"/>
      <c r="CB142" s="34">
        <v>25000000000</v>
      </c>
      <c r="CC142" s="32">
        <f t="shared" si="17"/>
        <v>23199999735</v>
      </c>
      <c r="CD142" s="30" t="s">
        <v>1497</v>
      </c>
      <c r="CE142" s="30" t="s">
        <v>81</v>
      </c>
      <c r="CF142" s="30" t="s">
        <v>294</v>
      </c>
      <c r="CG142" s="30"/>
      <c r="CH142" s="30"/>
      <c r="CI142" s="64"/>
      <c r="CJ142" s="64"/>
      <c r="CK142" s="64"/>
      <c r="CL142" s="64"/>
    </row>
    <row r="143" spans="2:90" ht="150" customHeight="1" x14ac:dyDescent="0.25">
      <c r="B143" s="30" t="s">
        <v>1500</v>
      </c>
      <c r="C143" s="30" t="s">
        <v>1501</v>
      </c>
      <c r="D143" s="33">
        <v>45485</v>
      </c>
      <c r="E143" s="30" t="s">
        <v>585</v>
      </c>
      <c r="F143" s="30" t="s">
        <v>200</v>
      </c>
      <c r="G143" s="30"/>
      <c r="H143" s="30" t="s">
        <v>87</v>
      </c>
      <c r="I143" s="35"/>
      <c r="J143" s="30"/>
      <c r="K143" s="35"/>
      <c r="L143" s="35"/>
      <c r="M143" s="30" t="s">
        <v>1502</v>
      </c>
      <c r="N143" s="30"/>
      <c r="O143" s="30">
        <v>108</v>
      </c>
      <c r="P143" s="30" t="s">
        <v>466</v>
      </c>
      <c r="Q143" s="30"/>
      <c r="R143" s="30" t="s">
        <v>1503</v>
      </c>
      <c r="S143" s="30"/>
      <c r="T143" s="30" t="s">
        <v>1504</v>
      </c>
      <c r="U143" s="30" t="s">
        <v>110</v>
      </c>
      <c r="V143" s="30" t="s">
        <v>111</v>
      </c>
      <c r="W143" s="30" t="s">
        <v>72</v>
      </c>
      <c r="X143" s="30" t="s">
        <v>85</v>
      </c>
      <c r="Y143" s="30" t="s">
        <v>73</v>
      </c>
      <c r="Z143" s="33">
        <v>45467</v>
      </c>
      <c r="AA143" s="33">
        <v>45467</v>
      </c>
      <c r="AB143" s="30" t="s">
        <v>90</v>
      </c>
      <c r="AC143" s="30"/>
      <c r="AD143" s="30"/>
      <c r="AE143" s="30"/>
      <c r="AF143" s="30" t="s">
        <v>1505</v>
      </c>
      <c r="AG143" s="30">
        <v>9592551</v>
      </c>
      <c r="AH143" s="30"/>
      <c r="AI143" s="30"/>
      <c r="AJ143" s="31">
        <f t="shared" si="13"/>
        <v>0</v>
      </c>
      <c r="AK143" s="34"/>
      <c r="AL143" s="31">
        <f t="shared" si="14"/>
        <v>0</v>
      </c>
      <c r="AM143" s="34"/>
      <c r="AN143" s="34">
        <v>25672000000</v>
      </c>
      <c r="AO143" s="34">
        <f t="shared" si="11"/>
        <v>25672000000</v>
      </c>
      <c r="AP143" s="30" t="s">
        <v>1506</v>
      </c>
      <c r="AQ143" s="30" t="s">
        <v>1507</v>
      </c>
      <c r="AR143" s="30">
        <v>90</v>
      </c>
      <c r="AS143" s="30" t="s">
        <v>1508</v>
      </c>
      <c r="AT143" s="30"/>
      <c r="AU143" s="30">
        <v>2007</v>
      </c>
      <c r="AV143" s="35"/>
      <c r="AW143" s="34"/>
      <c r="AX143" s="35"/>
      <c r="AY143" s="34"/>
      <c r="AZ143" s="72">
        <v>1900000</v>
      </c>
      <c r="BA143" s="32">
        <f t="shared" si="15"/>
        <v>0</v>
      </c>
      <c r="BB143" s="30"/>
      <c r="BC143" s="30" t="s">
        <v>81</v>
      </c>
      <c r="BD143" s="30" t="s">
        <v>1509</v>
      </c>
      <c r="BE143" s="30" t="s">
        <v>1507</v>
      </c>
      <c r="BF143" s="30">
        <v>210</v>
      </c>
      <c r="BG143" s="30" t="s">
        <v>1510</v>
      </c>
      <c r="BH143" s="30"/>
      <c r="BI143" s="30">
        <v>2007</v>
      </c>
      <c r="BJ143" s="36"/>
      <c r="BK143" s="34"/>
      <c r="BL143" s="36"/>
      <c r="BM143" s="34"/>
      <c r="BN143" s="72">
        <v>1800000</v>
      </c>
      <c r="BO143" s="32">
        <f t="shared" si="16"/>
        <v>0</v>
      </c>
      <c r="BP143" s="30"/>
      <c r="BQ143" s="30" t="s">
        <v>81</v>
      </c>
      <c r="BR143" s="30" t="s">
        <v>1511</v>
      </c>
      <c r="BS143" s="30" t="s">
        <v>1507</v>
      </c>
      <c r="BT143" s="30">
        <v>92</v>
      </c>
      <c r="BU143" s="30" t="s">
        <v>1510</v>
      </c>
      <c r="BV143" s="30"/>
      <c r="BW143" s="30">
        <v>2014</v>
      </c>
      <c r="BX143" s="36"/>
      <c r="BY143" s="34"/>
      <c r="BZ143" s="36"/>
      <c r="CA143" s="34"/>
      <c r="CB143" s="72">
        <v>2600000</v>
      </c>
      <c r="CC143" s="32">
        <f t="shared" si="17"/>
        <v>0</v>
      </c>
      <c r="CD143" s="30"/>
      <c r="CE143" s="30" t="s">
        <v>81</v>
      </c>
      <c r="CF143" s="30" t="s">
        <v>1407</v>
      </c>
      <c r="CG143" s="30"/>
      <c r="CH143" s="30"/>
      <c r="CI143" s="64"/>
      <c r="CJ143" s="64"/>
      <c r="CK143" s="64"/>
      <c r="CL143" s="64"/>
    </row>
    <row r="144" spans="2:90" ht="75" x14ac:dyDescent="0.25">
      <c r="B144" s="30" t="s">
        <v>1500</v>
      </c>
      <c r="C144" s="30" t="s">
        <v>1512</v>
      </c>
      <c r="D144" s="33">
        <v>45485</v>
      </c>
      <c r="E144" s="30" t="s">
        <v>585</v>
      </c>
      <c r="F144" s="30" t="s">
        <v>200</v>
      </c>
      <c r="G144" s="30"/>
      <c r="H144" s="30" t="s">
        <v>1513</v>
      </c>
      <c r="I144" s="35"/>
      <c r="J144" s="30"/>
      <c r="K144" s="35"/>
      <c r="L144" s="35"/>
      <c r="M144" s="30" t="s">
        <v>1514</v>
      </c>
      <c r="N144" s="30"/>
      <c r="O144" s="30" t="s">
        <v>1515</v>
      </c>
      <c r="P144" s="30" t="s">
        <v>466</v>
      </c>
      <c r="Q144" s="30" t="s">
        <v>1516</v>
      </c>
      <c r="R144" s="30"/>
      <c r="S144" s="30" t="s">
        <v>1517</v>
      </c>
      <c r="T144" s="30" t="s">
        <v>1518</v>
      </c>
      <c r="U144" s="30" t="s">
        <v>1519</v>
      </c>
      <c r="V144" s="30" t="s">
        <v>1520</v>
      </c>
      <c r="W144" s="30" t="s">
        <v>72</v>
      </c>
      <c r="X144" s="30" t="s">
        <v>85</v>
      </c>
      <c r="Y144" s="30" t="s">
        <v>73</v>
      </c>
      <c r="Z144" s="33">
        <v>45474</v>
      </c>
      <c r="AA144" s="33">
        <v>45474</v>
      </c>
      <c r="AB144" s="30" t="s">
        <v>90</v>
      </c>
      <c r="AC144" s="30"/>
      <c r="AD144" s="30"/>
      <c r="AE144" s="30"/>
      <c r="AF144" s="30" t="s">
        <v>1521</v>
      </c>
      <c r="AG144" s="30">
        <v>8327959</v>
      </c>
      <c r="AH144" s="30"/>
      <c r="AI144" s="30"/>
      <c r="AJ144" s="31">
        <f t="shared" si="13"/>
        <v>0</v>
      </c>
      <c r="AK144" s="34"/>
      <c r="AL144" s="31">
        <f t="shared" si="14"/>
        <v>0</v>
      </c>
      <c r="AM144" s="34"/>
      <c r="AN144" s="34">
        <v>17674000000</v>
      </c>
      <c r="AO144" s="34">
        <f t="shared" si="11"/>
        <v>17674000000</v>
      </c>
      <c r="AP144" s="30"/>
      <c r="AQ144" s="30" t="s">
        <v>1522</v>
      </c>
      <c r="AR144" s="30">
        <v>1025</v>
      </c>
      <c r="AS144" s="30" t="s">
        <v>1523</v>
      </c>
      <c r="AT144" s="30"/>
      <c r="AU144" s="30">
        <v>1986</v>
      </c>
      <c r="AV144" s="35"/>
      <c r="AW144" s="34"/>
      <c r="AX144" s="35"/>
      <c r="AY144" s="34"/>
      <c r="AZ144" s="72">
        <v>1500000</v>
      </c>
      <c r="BA144" s="32">
        <f t="shared" si="15"/>
        <v>0</v>
      </c>
      <c r="BB144" s="30"/>
      <c r="BC144" s="30" t="s">
        <v>81</v>
      </c>
      <c r="BD144" s="30"/>
      <c r="BE144" s="30" t="s">
        <v>1524</v>
      </c>
      <c r="BF144" s="30">
        <v>1104</v>
      </c>
      <c r="BG144" s="30"/>
      <c r="BH144" s="30"/>
      <c r="BI144" s="30">
        <v>1984</v>
      </c>
      <c r="BJ144" s="36"/>
      <c r="BK144" s="34"/>
      <c r="BL144" s="36"/>
      <c r="BM144" s="34"/>
      <c r="BN144" s="72">
        <v>1200000</v>
      </c>
      <c r="BO144" s="32">
        <f t="shared" si="16"/>
        <v>0</v>
      </c>
      <c r="BP144" s="30"/>
      <c r="BQ144" s="30" t="s">
        <v>81</v>
      </c>
      <c r="BR144" s="30"/>
      <c r="BS144" s="30" t="s">
        <v>1525</v>
      </c>
      <c r="BT144" s="30">
        <v>375</v>
      </c>
      <c r="BU144" s="30" t="s">
        <v>1510</v>
      </c>
      <c r="BV144" s="30"/>
      <c r="BW144" s="30">
        <v>1987</v>
      </c>
      <c r="BX144" s="36"/>
      <c r="BY144" s="34"/>
      <c r="BZ144" s="36"/>
      <c r="CA144" s="34"/>
      <c r="CB144" s="72">
        <v>1250000</v>
      </c>
      <c r="CC144" s="32">
        <f t="shared" si="17"/>
        <v>0</v>
      </c>
      <c r="CD144" s="30"/>
      <c r="CE144" s="30" t="s">
        <v>81</v>
      </c>
      <c r="CF144" s="30" t="s">
        <v>196</v>
      </c>
      <c r="CG144" s="30"/>
      <c r="CH144" s="30"/>
      <c r="CI144" s="64"/>
      <c r="CJ144" s="64"/>
      <c r="CK144" s="64"/>
      <c r="CL144" s="64"/>
    </row>
    <row r="145" spans="2:90" ht="150" customHeight="1" x14ac:dyDescent="0.25">
      <c r="B145" s="30" t="s">
        <v>1500</v>
      </c>
      <c r="C145" s="30" t="s">
        <v>1526</v>
      </c>
      <c r="D145" s="33">
        <v>45485</v>
      </c>
      <c r="E145" s="30" t="s">
        <v>585</v>
      </c>
      <c r="F145" s="30" t="s">
        <v>200</v>
      </c>
      <c r="G145" s="30"/>
      <c r="H145" s="30" t="s">
        <v>87</v>
      </c>
      <c r="I145" s="35"/>
      <c r="J145" s="30"/>
      <c r="K145" s="35"/>
      <c r="L145" s="35"/>
      <c r="M145" s="30" t="s">
        <v>1527</v>
      </c>
      <c r="N145" s="30"/>
      <c r="O145" s="30">
        <v>116</v>
      </c>
      <c r="P145" s="30" t="s">
        <v>466</v>
      </c>
      <c r="Q145" s="30" t="s">
        <v>1516</v>
      </c>
      <c r="R145" s="30"/>
      <c r="S145" s="30" t="s">
        <v>1517</v>
      </c>
      <c r="T145" s="30" t="s">
        <v>1518</v>
      </c>
      <c r="U145" s="30" t="s">
        <v>1519</v>
      </c>
      <c r="V145" s="30" t="s">
        <v>1520</v>
      </c>
      <c r="W145" s="30" t="s">
        <v>72</v>
      </c>
      <c r="X145" s="30" t="s">
        <v>85</v>
      </c>
      <c r="Y145" s="30" t="s">
        <v>73</v>
      </c>
      <c r="Z145" s="33">
        <v>45474</v>
      </c>
      <c r="AA145" s="33">
        <v>45474</v>
      </c>
      <c r="AB145" s="30" t="s">
        <v>90</v>
      </c>
      <c r="AC145" s="30"/>
      <c r="AD145" s="30"/>
      <c r="AE145" s="30"/>
      <c r="AF145" s="30" t="s">
        <v>1528</v>
      </c>
      <c r="AG145" s="30">
        <v>9618252</v>
      </c>
      <c r="AH145" s="30"/>
      <c r="AI145" s="30"/>
      <c r="AJ145" s="31">
        <f t="shared" si="13"/>
        <v>0</v>
      </c>
      <c r="AK145" s="34"/>
      <c r="AL145" s="31">
        <f t="shared" si="14"/>
        <v>0</v>
      </c>
      <c r="AM145" s="34"/>
      <c r="AN145" s="34">
        <v>33150000000</v>
      </c>
      <c r="AO145" s="34">
        <f t="shared" si="11"/>
        <v>33150000000</v>
      </c>
      <c r="AP145" s="30"/>
      <c r="AQ145" s="30" t="s">
        <v>1529</v>
      </c>
      <c r="AR145" s="30">
        <v>294</v>
      </c>
      <c r="AS145" s="30" t="s">
        <v>1530</v>
      </c>
      <c r="AT145" s="30"/>
      <c r="AU145" s="30">
        <v>2008</v>
      </c>
      <c r="AV145" s="35"/>
      <c r="AW145" s="34"/>
      <c r="AX145" s="35"/>
      <c r="AY145" s="34"/>
      <c r="AZ145" s="72">
        <v>2500000</v>
      </c>
      <c r="BA145" s="32">
        <f t="shared" si="15"/>
        <v>0</v>
      </c>
      <c r="BB145" s="30"/>
      <c r="BC145" s="30" t="s">
        <v>81</v>
      </c>
      <c r="BD145" s="30"/>
      <c r="BE145" s="30" t="s">
        <v>1529</v>
      </c>
      <c r="BF145" s="30">
        <v>349</v>
      </c>
      <c r="BG145" s="30" t="s">
        <v>1531</v>
      </c>
      <c r="BH145" s="30"/>
      <c r="BI145" s="30">
        <v>2008</v>
      </c>
      <c r="BJ145" s="36"/>
      <c r="BK145" s="34"/>
      <c r="BL145" s="36"/>
      <c r="BM145" s="34"/>
      <c r="BN145" s="72">
        <v>2650000</v>
      </c>
      <c r="BO145" s="32">
        <f t="shared" si="16"/>
        <v>0</v>
      </c>
      <c r="BP145" s="30"/>
      <c r="BQ145" s="30" t="s">
        <v>81</v>
      </c>
      <c r="BR145" s="30"/>
      <c r="BS145" s="30" t="s">
        <v>1529</v>
      </c>
      <c r="BT145" s="30">
        <v>150</v>
      </c>
      <c r="BU145" s="30" t="s">
        <v>1532</v>
      </c>
      <c r="BV145" s="30"/>
      <c r="BW145" s="30">
        <v>2004</v>
      </c>
      <c r="BX145" s="36"/>
      <c r="BY145" s="34"/>
      <c r="BZ145" s="36"/>
      <c r="CA145" s="34"/>
      <c r="CB145" s="72">
        <v>2100000</v>
      </c>
      <c r="CC145" s="32">
        <f t="shared" si="17"/>
        <v>0</v>
      </c>
      <c r="CD145" s="30"/>
      <c r="CE145" s="30" t="s">
        <v>81</v>
      </c>
      <c r="CF145" s="30" t="s">
        <v>196</v>
      </c>
      <c r="CG145" s="30"/>
      <c r="CH145" s="30"/>
      <c r="CI145" s="64"/>
      <c r="CJ145" s="64"/>
      <c r="CK145" s="64"/>
      <c r="CL145" s="64"/>
    </row>
    <row r="146" spans="2:90" ht="60" x14ac:dyDescent="0.25">
      <c r="B146" s="30" t="s">
        <v>1500</v>
      </c>
      <c r="C146" s="30" t="s">
        <v>1533</v>
      </c>
      <c r="D146" s="33">
        <v>45485</v>
      </c>
      <c r="E146" s="30" t="s">
        <v>585</v>
      </c>
      <c r="F146" s="30" t="s">
        <v>200</v>
      </c>
      <c r="G146" s="30"/>
      <c r="H146" s="30" t="s">
        <v>87</v>
      </c>
      <c r="I146" s="35"/>
      <c r="J146" s="30"/>
      <c r="K146" s="35"/>
      <c r="L146" s="35"/>
      <c r="M146" s="30" t="s">
        <v>1534</v>
      </c>
      <c r="N146" s="30"/>
      <c r="O146" s="30">
        <v>120</v>
      </c>
      <c r="P146" s="30" t="s">
        <v>466</v>
      </c>
      <c r="Q146" s="30" t="s">
        <v>1535</v>
      </c>
      <c r="R146" s="30"/>
      <c r="S146" s="30" t="s">
        <v>1536</v>
      </c>
      <c r="T146" s="30" t="s">
        <v>1537</v>
      </c>
      <c r="U146" s="30" t="s">
        <v>1538</v>
      </c>
      <c r="V146" s="30" t="s">
        <v>1539</v>
      </c>
      <c r="W146" s="30" t="s">
        <v>72</v>
      </c>
      <c r="X146" s="30" t="s">
        <v>85</v>
      </c>
      <c r="Y146" s="30" t="s">
        <v>73</v>
      </c>
      <c r="Z146" s="33">
        <v>45471</v>
      </c>
      <c r="AA146" s="33">
        <v>45472</v>
      </c>
      <c r="AB146" s="30" t="s">
        <v>90</v>
      </c>
      <c r="AC146" s="30"/>
      <c r="AD146" s="30"/>
      <c r="AE146" s="30"/>
      <c r="AF146" s="30" t="s">
        <v>1540</v>
      </c>
      <c r="AG146" s="30">
        <v>9615248</v>
      </c>
      <c r="AH146" s="30"/>
      <c r="AI146" s="30"/>
      <c r="AJ146" s="31">
        <f t="shared" si="13"/>
        <v>0</v>
      </c>
      <c r="AK146" s="34"/>
      <c r="AL146" s="31">
        <f t="shared" si="14"/>
        <v>0</v>
      </c>
      <c r="AM146" s="34"/>
      <c r="AN146" s="34">
        <v>33696000000</v>
      </c>
      <c r="AO146" s="34">
        <f t="shared" si="11"/>
        <v>33696000000</v>
      </c>
      <c r="AP146" s="30" t="s">
        <v>1541</v>
      </c>
      <c r="AQ146" s="30" t="s">
        <v>1507</v>
      </c>
      <c r="AR146" s="30">
        <v>90</v>
      </c>
      <c r="AS146" s="30" t="s">
        <v>1508</v>
      </c>
      <c r="AT146" s="30"/>
      <c r="AU146" s="30">
        <v>2007</v>
      </c>
      <c r="AV146" s="35"/>
      <c r="AW146" s="34"/>
      <c r="AX146" s="35"/>
      <c r="AY146" s="34"/>
      <c r="AZ146" s="72">
        <v>1900000</v>
      </c>
      <c r="BA146" s="32">
        <f t="shared" si="15"/>
        <v>0</v>
      </c>
      <c r="BB146" s="30"/>
      <c r="BC146" s="30" t="s">
        <v>81</v>
      </c>
      <c r="BD146" s="30" t="s">
        <v>1509</v>
      </c>
      <c r="BE146" s="30" t="s">
        <v>1507</v>
      </c>
      <c r="BF146" s="30">
        <v>210</v>
      </c>
      <c r="BG146" s="30" t="s">
        <v>1510</v>
      </c>
      <c r="BH146" s="30"/>
      <c r="BI146" s="30">
        <v>2007</v>
      </c>
      <c r="BJ146" s="36"/>
      <c r="BK146" s="34"/>
      <c r="BL146" s="36"/>
      <c r="BM146" s="34"/>
      <c r="BN146" s="72">
        <v>1800000</v>
      </c>
      <c r="BO146" s="32">
        <f t="shared" si="16"/>
        <v>0</v>
      </c>
      <c r="BP146" s="30"/>
      <c r="BQ146" s="30" t="s">
        <v>81</v>
      </c>
      <c r="BR146" s="30" t="s">
        <v>1542</v>
      </c>
      <c r="BS146" s="30" t="s">
        <v>1507</v>
      </c>
      <c r="BT146" s="30">
        <v>92</v>
      </c>
      <c r="BU146" s="30" t="s">
        <v>1510</v>
      </c>
      <c r="BV146" s="30"/>
      <c r="BW146" s="30">
        <v>2014</v>
      </c>
      <c r="BX146" s="36"/>
      <c r="BY146" s="34"/>
      <c r="BZ146" s="36"/>
      <c r="CA146" s="34"/>
      <c r="CB146" s="72">
        <v>2600000</v>
      </c>
      <c r="CC146" s="32">
        <f t="shared" si="17"/>
        <v>0</v>
      </c>
      <c r="CD146" s="30"/>
      <c r="CE146" s="30" t="s">
        <v>81</v>
      </c>
      <c r="CF146" s="30" t="s">
        <v>666</v>
      </c>
      <c r="CG146" s="30"/>
      <c r="CH146" s="30"/>
      <c r="CI146" s="64"/>
      <c r="CJ146" s="64"/>
      <c r="CK146" s="64"/>
      <c r="CL146" s="64"/>
    </row>
    <row r="147" spans="2:90" ht="135" customHeight="1" x14ac:dyDescent="0.25">
      <c r="B147" s="30" t="s">
        <v>1543</v>
      </c>
      <c r="C147" s="30" t="s">
        <v>1544</v>
      </c>
      <c r="D147" s="33">
        <v>45488</v>
      </c>
      <c r="E147" s="30" t="s">
        <v>82</v>
      </c>
      <c r="F147" s="30" t="s">
        <v>82</v>
      </c>
      <c r="G147" s="30"/>
      <c r="H147" s="30" t="s">
        <v>245</v>
      </c>
      <c r="I147" s="35">
        <v>14482</v>
      </c>
      <c r="J147" s="30" t="s">
        <v>70</v>
      </c>
      <c r="K147" s="35">
        <v>10179</v>
      </c>
      <c r="L147" s="35"/>
      <c r="M147" s="30" t="s">
        <v>397</v>
      </c>
      <c r="N147" s="30"/>
      <c r="O147" s="30"/>
      <c r="P147" s="30"/>
      <c r="Q147" s="30"/>
      <c r="R147" s="30" t="s">
        <v>1545</v>
      </c>
      <c r="S147" s="30" t="s">
        <v>91</v>
      </c>
      <c r="T147" s="30" t="s">
        <v>199</v>
      </c>
      <c r="U147" s="30" t="s">
        <v>107</v>
      </c>
      <c r="V147" s="30" t="s">
        <v>92</v>
      </c>
      <c r="W147" s="30" t="s">
        <v>72</v>
      </c>
      <c r="X147" s="30" t="s">
        <v>85</v>
      </c>
      <c r="Y147" s="30" t="s">
        <v>73</v>
      </c>
      <c r="Z147" s="33">
        <v>45453</v>
      </c>
      <c r="AA147" s="33">
        <v>45453</v>
      </c>
      <c r="AB147" s="30" t="s">
        <v>90</v>
      </c>
      <c r="AC147" s="30"/>
      <c r="AD147" s="30"/>
      <c r="AE147" s="30"/>
      <c r="AF147" s="30"/>
      <c r="AG147" s="30"/>
      <c r="AH147" s="30"/>
      <c r="AI147" s="30"/>
      <c r="AJ147" s="31">
        <f t="shared" si="13"/>
        <v>14482</v>
      </c>
      <c r="AK147" s="34">
        <f>26067600000/AJ147</f>
        <v>1800000</v>
      </c>
      <c r="AL147" s="31">
        <f t="shared" si="14"/>
        <v>10179</v>
      </c>
      <c r="AM147" s="34">
        <f>16411300000/AL147</f>
        <v>1612270.3605462227</v>
      </c>
      <c r="AN147" s="34">
        <v>1272360000</v>
      </c>
      <c r="AO147" s="34">
        <f t="shared" si="11"/>
        <v>43751260000</v>
      </c>
      <c r="AP147" s="30" t="s">
        <v>1546</v>
      </c>
      <c r="AQ147" s="30" t="s">
        <v>245</v>
      </c>
      <c r="AR147" s="30"/>
      <c r="AS147" s="30"/>
      <c r="AT147" s="30"/>
      <c r="AU147" s="30"/>
      <c r="AV147" s="35">
        <v>12980</v>
      </c>
      <c r="AW147" s="34">
        <v>1822650</v>
      </c>
      <c r="AX147" s="35">
        <v>10000</v>
      </c>
      <c r="AY147" s="34"/>
      <c r="AZ147" s="34">
        <v>55000000000</v>
      </c>
      <c r="BA147" s="32">
        <f t="shared" si="15"/>
        <v>23657997000</v>
      </c>
      <c r="BB147" s="30" t="s">
        <v>1547</v>
      </c>
      <c r="BC147" s="30" t="s">
        <v>81</v>
      </c>
      <c r="BD147" s="30" t="s">
        <v>1548</v>
      </c>
      <c r="BE147" s="30" t="s">
        <v>77</v>
      </c>
      <c r="BF147" s="30"/>
      <c r="BG147" s="30"/>
      <c r="BH147" s="30"/>
      <c r="BI147" s="30"/>
      <c r="BJ147" s="36">
        <v>29479</v>
      </c>
      <c r="BK147" s="34">
        <v>1600000</v>
      </c>
      <c r="BL147" s="36"/>
      <c r="BM147" s="34"/>
      <c r="BN147" s="34">
        <v>57484050000</v>
      </c>
      <c r="BO147" s="32">
        <f t="shared" si="16"/>
        <v>47166400000</v>
      </c>
      <c r="BP147" s="30" t="s">
        <v>1549</v>
      </c>
      <c r="BQ147" s="30" t="s">
        <v>81</v>
      </c>
      <c r="BR147" s="30" t="s">
        <v>1548</v>
      </c>
      <c r="BS147" s="30" t="s">
        <v>245</v>
      </c>
      <c r="BT147" s="30"/>
      <c r="BU147" s="30"/>
      <c r="BV147" s="30"/>
      <c r="BW147" s="30"/>
      <c r="BX147" s="35">
        <v>24200</v>
      </c>
      <c r="BY147" s="36">
        <v>1635207</v>
      </c>
      <c r="BZ147" s="73">
        <v>8000</v>
      </c>
      <c r="CA147" s="50"/>
      <c r="CB147" s="34">
        <v>58000000000</v>
      </c>
      <c r="CC147" s="32">
        <f t="shared" si="17"/>
        <v>39572009400</v>
      </c>
      <c r="CD147" s="30" t="s">
        <v>1550</v>
      </c>
      <c r="CE147" s="30" t="s">
        <v>81</v>
      </c>
      <c r="CF147" s="30" t="s">
        <v>1551</v>
      </c>
      <c r="CG147" s="30"/>
      <c r="CH147" s="30"/>
      <c r="CI147" s="64"/>
      <c r="CJ147" s="64"/>
      <c r="CK147" s="64"/>
      <c r="CL147" s="64"/>
    </row>
    <row r="148" spans="2:90" ht="135" customHeight="1" x14ac:dyDescent="0.25">
      <c r="B148" s="30" t="s">
        <v>1552</v>
      </c>
      <c r="C148" s="30" t="s">
        <v>1553</v>
      </c>
      <c r="D148" s="33">
        <v>45491</v>
      </c>
      <c r="E148" s="30" t="s">
        <v>93</v>
      </c>
      <c r="F148" s="30" t="s">
        <v>93</v>
      </c>
      <c r="G148" s="30"/>
      <c r="H148" s="30" t="s">
        <v>83</v>
      </c>
      <c r="I148" s="35">
        <v>180</v>
      </c>
      <c r="J148" s="30" t="s">
        <v>70</v>
      </c>
      <c r="K148" s="35">
        <v>160</v>
      </c>
      <c r="L148" s="35"/>
      <c r="M148" s="30"/>
      <c r="N148" s="30"/>
      <c r="O148" s="30"/>
      <c r="P148" s="30"/>
      <c r="Q148" s="30" t="s">
        <v>1554</v>
      </c>
      <c r="R148" s="30" t="s">
        <v>1555</v>
      </c>
      <c r="S148" s="30" t="s">
        <v>186</v>
      </c>
      <c r="T148" s="30" t="s">
        <v>299</v>
      </c>
      <c r="U148" s="30" t="s">
        <v>124</v>
      </c>
      <c r="V148" s="30" t="s">
        <v>92</v>
      </c>
      <c r="W148" s="30" t="s">
        <v>72</v>
      </c>
      <c r="X148" s="30" t="s">
        <v>85</v>
      </c>
      <c r="Y148" s="30" t="s">
        <v>73</v>
      </c>
      <c r="Z148" s="33">
        <v>45482</v>
      </c>
      <c r="AA148" s="33">
        <v>45482</v>
      </c>
      <c r="AB148" s="30" t="s">
        <v>74</v>
      </c>
      <c r="AC148" s="30"/>
      <c r="AD148" s="30"/>
      <c r="AE148" s="30"/>
      <c r="AF148" s="30"/>
      <c r="AG148" s="30"/>
      <c r="AH148" s="30"/>
      <c r="AI148" s="30"/>
      <c r="AJ148" s="31">
        <f t="shared" si="13"/>
        <v>180</v>
      </c>
      <c r="AK148" s="34">
        <f>810000000/AJ148</f>
        <v>4500000</v>
      </c>
      <c r="AL148" s="31">
        <f t="shared" si="14"/>
        <v>160</v>
      </c>
      <c r="AM148" s="34">
        <f>231600000/AL148</f>
        <v>1447500</v>
      </c>
      <c r="AN148" s="34"/>
      <c r="AO148" s="34">
        <f t="shared" si="11"/>
        <v>1041600000</v>
      </c>
      <c r="AP148" s="30" t="s">
        <v>1556</v>
      </c>
      <c r="AQ148" s="30" t="s">
        <v>83</v>
      </c>
      <c r="AR148" s="30"/>
      <c r="AS148" s="30"/>
      <c r="AT148" s="30"/>
      <c r="AU148" s="30"/>
      <c r="AV148" s="35">
        <v>60</v>
      </c>
      <c r="AW148" s="34">
        <v>4718767</v>
      </c>
      <c r="AX148" s="35">
        <v>36</v>
      </c>
      <c r="AY148" s="34"/>
      <c r="AZ148" s="34">
        <v>345000000</v>
      </c>
      <c r="BA148" s="32">
        <f t="shared" si="15"/>
        <v>283126020</v>
      </c>
      <c r="BB148" s="30" t="s">
        <v>1557</v>
      </c>
      <c r="BC148" s="30" t="s">
        <v>81</v>
      </c>
      <c r="BD148" s="30" t="s">
        <v>1558</v>
      </c>
      <c r="BE148" s="30" t="s">
        <v>83</v>
      </c>
      <c r="BF148" s="30"/>
      <c r="BG148" s="30"/>
      <c r="BH148" s="30"/>
      <c r="BI148" s="30"/>
      <c r="BJ148" s="36">
        <v>120</v>
      </c>
      <c r="BK148" s="34">
        <v>4448176</v>
      </c>
      <c r="BL148" s="36">
        <v>300</v>
      </c>
      <c r="BM148" s="34"/>
      <c r="BN148" s="34">
        <v>1500000000</v>
      </c>
      <c r="BO148" s="32">
        <f t="shared" si="16"/>
        <v>533781120</v>
      </c>
      <c r="BP148" s="30" t="s">
        <v>1559</v>
      </c>
      <c r="BQ148" s="30" t="s">
        <v>81</v>
      </c>
      <c r="BR148" s="30" t="s">
        <v>1560</v>
      </c>
      <c r="BS148" s="30" t="s">
        <v>83</v>
      </c>
      <c r="BT148" s="30"/>
      <c r="BU148" s="30"/>
      <c r="BV148" s="30"/>
      <c r="BW148" s="30"/>
      <c r="BX148" s="36">
        <v>60</v>
      </c>
      <c r="BY148" s="34">
        <v>4920542</v>
      </c>
      <c r="BZ148" s="36">
        <v>45</v>
      </c>
      <c r="CA148" s="34"/>
      <c r="CB148" s="34">
        <v>430000000</v>
      </c>
      <c r="CC148" s="32">
        <f t="shared" si="17"/>
        <v>295232520</v>
      </c>
      <c r="CD148" s="30" t="s">
        <v>1561</v>
      </c>
      <c r="CE148" s="30" t="s">
        <v>81</v>
      </c>
      <c r="CF148" s="30" t="s">
        <v>196</v>
      </c>
      <c r="CG148" s="30"/>
      <c r="CH148" s="30"/>
      <c r="CI148" s="64"/>
      <c r="CJ148" s="64"/>
      <c r="CK148" s="64"/>
      <c r="CL148" s="64"/>
    </row>
    <row r="149" spans="2:90" ht="45" x14ac:dyDescent="0.25">
      <c r="B149" s="30" t="s">
        <v>1562</v>
      </c>
      <c r="C149" s="30" t="s">
        <v>1563</v>
      </c>
      <c r="D149" s="33">
        <v>45492</v>
      </c>
      <c r="E149" s="30" t="s">
        <v>185</v>
      </c>
      <c r="F149" s="30" t="s">
        <v>185</v>
      </c>
      <c r="G149" s="30"/>
      <c r="H149" s="30" t="s">
        <v>1564</v>
      </c>
      <c r="I149" s="35"/>
      <c r="J149" s="30"/>
      <c r="K149" s="35"/>
      <c r="L149" s="35"/>
      <c r="M149" s="30" t="s">
        <v>1565</v>
      </c>
      <c r="N149" s="30"/>
      <c r="O149" s="30"/>
      <c r="P149" s="30"/>
      <c r="Q149" s="30"/>
      <c r="R149" s="30" t="s">
        <v>1566</v>
      </c>
      <c r="S149" s="30" t="s">
        <v>1567</v>
      </c>
      <c r="T149" s="30" t="s">
        <v>1568</v>
      </c>
      <c r="U149" s="30" t="s">
        <v>114</v>
      </c>
      <c r="V149" s="30" t="s">
        <v>115</v>
      </c>
      <c r="W149" s="30" t="s">
        <v>72</v>
      </c>
      <c r="X149" s="30" t="s">
        <v>85</v>
      </c>
      <c r="Y149" s="30" t="s">
        <v>73</v>
      </c>
      <c r="Z149" s="33">
        <v>45447</v>
      </c>
      <c r="AA149" s="33">
        <v>45447</v>
      </c>
      <c r="AB149" s="30" t="s">
        <v>90</v>
      </c>
      <c r="AC149" s="30"/>
      <c r="AD149" s="30"/>
      <c r="AE149" s="30"/>
      <c r="AF149" s="30"/>
      <c r="AG149" s="30"/>
      <c r="AH149" s="30"/>
      <c r="AI149" s="30"/>
      <c r="AJ149" s="31">
        <f t="shared" si="13"/>
        <v>0</v>
      </c>
      <c r="AK149" s="34"/>
      <c r="AL149" s="31">
        <f t="shared" si="14"/>
        <v>0</v>
      </c>
      <c r="AM149" s="34"/>
      <c r="AN149" s="34">
        <v>2467000000</v>
      </c>
      <c r="AO149" s="34">
        <f t="shared" si="11"/>
        <v>2467000000</v>
      </c>
      <c r="AP149" s="30"/>
      <c r="AQ149" s="30"/>
      <c r="AR149" s="30"/>
      <c r="AS149" s="30"/>
      <c r="AT149" s="30"/>
      <c r="AU149" s="30"/>
      <c r="AV149" s="35"/>
      <c r="AW149" s="34"/>
      <c r="AX149" s="35"/>
      <c r="AY149" s="34"/>
      <c r="AZ149" s="34"/>
      <c r="BA149" s="32">
        <f t="shared" si="15"/>
        <v>0</v>
      </c>
      <c r="BB149" s="30"/>
      <c r="BC149" s="30"/>
      <c r="BD149" s="30"/>
      <c r="BE149" s="30"/>
      <c r="BF149" s="30"/>
      <c r="BG149" s="30"/>
      <c r="BH149" s="30"/>
      <c r="BI149" s="30"/>
      <c r="BJ149" s="36"/>
      <c r="BK149" s="34"/>
      <c r="BL149" s="36"/>
      <c r="BM149" s="34"/>
      <c r="BN149" s="34"/>
      <c r="BO149" s="32">
        <f t="shared" si="16"/>
        <v>0</v>
      </c>
      <c r="BP149" s="30"/>
      <c r="BQ149" s="30"/>
      <c r="BR149" s="30"/>
      <c r="BS149" s="30"/>
      <c r="BT149" s="30"/>
      <c r="BU149" s="30"/>
      <c r="BV149" s="30"/>
      <c r="BW149" s="30"/>
      <c r="BX149" s="36"/>
      <c r="BY149" s="34"/>
      <c r="BZ149" s="36"/>
      <c r="CA149" s="34"/>
      <c r="CB149" s="34"/>
      <c r="CC149" s="32">
        <f t="shared" si="17"/>
        <v>0</v>
      </c>
      <c r="CD149" s="30"/>
      <c r="CE149" s="30"/>
      <c r="CF149" s="30"/>
      <c r="CG149" s="30"/>
      <c r="CH149" s="30"/>
      <c r="CI149" s="64"/>
      <c r="CJ149" s="64"/>
      <c r="CK149" s="64"/>
      <c r="CL149" s="64"/>
    </row>
    <row r="150" spans="2:90" ht="165" x14ac:dyDescent="0.25">
      <c r="B150" s="30" t="s">
        <v>1569</v>
      </c>
      <c r="C150" s="30" t="s">
        <v>1570</v>
      </c>
      <c r="D150" s="33">
        <v>45496</v>
      </c>
      <c r="E150" s="30" t="s">
        <v>1571</v>
      </c>
      <c r="F150" s="30" t="s">
        <v>1571</v>
      </c>
      <c r="G150" s="30"/>
      <c r="H150" s="30" t="s">
        <v>148</v>
      </c>
      <c r="I150" s="35">
        <v>1218</v>
      </c>
      <c r="J150" s="30" t="s">
        <v>70</v>
      </c>
      <c r="K150" s="35">
        <v>1056</v>
      </c>
      <c r="L150" s="35"/>
      <c r="M150" s="30" t="s">
        <v>397</v>
      </c>
      <c r="N150" s="30"/>
      <c r="O150" s="30"/>
      <c r="P150" s="30"/>
      <c r="Q150" s="30" t="s">
        <v>1572</v>
      </c>
      <c r="R150" s="30" t="s">
        <v>1573</v>
      </c>
      <c r="S150" s="30" t="s">
        <v>166</v>
      </c>
      <c r="T150" s="30" t="s">
        <v>1574</v>
      </c>
      <c r="U150" s="30" t="s">
        <v>107</v>
      </c>
      <c r="V150" s="30" t="s">
        <v>92</v>
      </c>
      <c r="W150" s="30" t="s">
        <v>72</v>
      </c>
      <c r="X150" s="30" t="s">
        <v>142</v>
      </c>
      <c r="Y150" s="30" t="s">
        <v>89</v>
      </c>
      <c r="Z150" s="33">
        <v>45453</v>
      </c>
      <c r="AA150" s="33">
        <v>45453</v>
      </c>
      <c r="AB150" s="30" t="s">
        <v>90</v>
      </c>
      <c r="AC150" s="30"/>
      <c r="AD150" s="30"/>
      <c r="AE150" s="30"/>
      <c r="AF150" s="30"/>
      <c r="AG150" s="30"/>
      <c r="AH150" s="30"/>
      <c r="AI150" s="30"/>
      <c r="AJ150" s="31">
        <f t="shared" si="13"/>
        <v>1218</v>
      </c>
      <c r="AK150" s="34">
        <f>4872000000/AJ150</f>
        <v>4000000</v>
      </c>
      <c r="AL150" s="31">
        <f t="shared" si="14"/>
        <v>1056</v>
      </c>
      <c r="AM150" s="34">
        <f>1144900000/AL150</f>
        <v>1084185.606060606</v>
      </c>
      <c r="AN150" s="34">
        <v>99273000</v>
      </c>
      <c r="AO150" s="51">
        <f>(AJ150*AK150)+(AL150*AM150)+AN150+(AJ151*AK151)+(AL151*AM151)+AN151</f>
        <v>14025425000</v>
      </c>
      <c r="AP150" s="30" t="s">
        <v>1575</v>
      </c>
      <c r="AQ150" s="30" t="s">
        <v>245</v>
      </c>
      <c r="AR150" s="30"/>
      <c r="AS150" s="30"/>
      <c r="AT150" s="30"/>
      <c r="AU150" s="30"/>
      <c r="AV150" s="35">
        <v>1700</v>
      </c>
      <c r="AW150" s="34">
        <v>4016315</v>
      </c>
      <c r="AX150" s="35">
        <v>1700</v>
      </c>
      <c r="AY150" s="34"/>
      <c r="AZ150" s="34">
        <v>10500000000</v>
      </c>
      <c r="BA150" s="32">
        <f t="shared" si="15"/>
        <v>6827735500</v>
      </c>
      <c r="BB150" s="30" t="s">
        <v>1576</v>
      </c>
      <c r="BC150" s="30" t="s">
        <v>81</v>
      </c>
      <c r="BD150" s="30" t="s">
        <v>1577</v>
      </c>
      <c r="BE150" s="30" t="s">
        <v>245</v>
      </c>
      <c r="BF150" s="30"/>
      <c r="BG150" s="30"/>
      <c r="BH150" s="30"/>
      <c r="BI150" s="30"/>
      <c r="BJ150" s="36">
        <v>2265</v>
      </c>
      <c r="BK150" s="34">
        <v>3847528</v>
      </c>
      <c r="BL150" s="36">
        <v>1000</v>
      </c>
      <c r="BM150" s="34"/>
      <c r="BN150" s="34">
        <v>11500000000</v>
      </c>
      <c r="BO150" s="32">
        <f t="shared" si="16"/>
        <v>8714650920</v>
      </c>
      <c r="BP150" s="30" t="s">
        <v>1576</v>
      </c>
      <c r="BQ150" s="30" t="s">
        <v>81</v>
      </c>
      <c r="BR150" s="30" t="s">
        <v>1578</v>
      </c>
      <c r="BS150" s="30" t="s">
        <v>245</v>
      </c>
      <c r="BT150" s="30"/>
      <c r="BU150" s="30"/>
      <c r="BV150" s="30"/>
      <c r="BW150" s="30"/>
      <c r="BX150" s="36">
        <v>1314</v>
      </c>
      <c r="BY150" s="34">
        <v>4107410</v>
      </c>
      <c r="BZ150" s="36">
        <v>924</v>
      </c>
      <c r="CA150" s="34"/>
      <c r="CB150" s="34">
        <v>7500000000</v>
      </c>
      <c r="CC150" s="32">
        <f t="shared" si="17"/>
        <v>5397136740</v>
      </c>
      <c r="CD150" s="30" t="s">
        <v>1579</v>
      </c>
      <c r="CE150" s="30" t="s">
        <v>81</v>
      </c>
      <c r="CF150" s="30" t="s">
        <v>1432</v>
      </c>
      <c r="CG150" s="30"/>
      <c r="CH150" s="30"/>
      <c r="CI150" s="64"/>
      <c r="CJ150" s="64"/>
      <c r="CK150" s="64"/>
      <c r="CL150" s="64"/>
    </row>
    <row r="151" spans="2:90" ht="165" x14ac:dyDescent="0.25">
      <c r="B151" s="30" t="s">
        <v>1569</v>
      </c>
      <c r="C151" s="30" t="s">
        <v>1570</v>
      </c>
      <c r="D151" s="33">
        <v>45496</v>
      </c>
      <c r="E151" s="30" t="s">
        <v>1571</v>
      </c>
      <c r="F151" s="30" t="s">
        <v>1571</v>
      </c>
      <c r="G151" s="30"/>
      <c r="H151" s="30" t="s">
        <v>148</v>
      </c>
      <c r="I151" s="35">
        <v>1380</v>
      </c>
      <c r="J151" s="30" t="s">
        <v>70</v>
      </c>
      <c r="K151" s="35">
        <v>1411</v>
      </c>
      <c r="L151" s="35"/>
      <c r="M151" s="30" t="s">
        <v>397</v>
      </c>
      <c r="N151" s="30"/>
      <c r="O151" s="30"/>
      <c r="P151" s="30"/>
      <c r="Q151" s="30" t="s">
        <v>1580</v>
      </c>
      <c r="R151" s="30" t="s">
        <v>1581</v>
      </c>
      <c r="S151" s="30" t="s">
        <v>153</v>
      </c>
      <c r="T151" s="30" t="s">
        <v>1574</v>
      </c>
      <c r="U151" s="30" t="s">
        <v>107</v>
      </c>
      <c r="V151" s="30" t="s">
        <v>92</v>
      </c>
      <c r="W151" s="30" t="s">
        <v>72</v>
      </c>
      <c r="X151" s="30" t="s">
        <v>142</v>
      </c>
      <c r="Y151" s="30" t="s">
        <v>89</v>
      </c>
      <c r="Z151" s="33">
        <v>45453</v>
      </c>
      <c r="AA151" s="33">
        <v>45453</v>
      </c>
      <c r="AB151" s="30" t="s">
        <v>90</v>
      </c>
      <c r="AC151" s="30"/>
      <c r="AD151" s="30"/>
      <c r="AE151" s="30"/>
      <c r="AF151" s="30"/>
      <c r="AG151" s="30"/>
      <c r="AH151" s="30"/>
      <c r="AI151" s="30"/>
      <c r="AJ151" s="31">
        <f t="shared" si="13"/>
        <v>1380</v>
      </c>
      <c r="AK151" s="34">
        <f>5520000000/AJ151</f>
        <v>4000000</v>
      </c>
      <c r="AL151" s="31">
        <f t="shared" si="14"/>
        <v>1411</v>
      </c>
      <c r="AM151" s="34">
        <f>2183900000/AL151</f>
        <v>1547767.5407512402</v>
      </c>
      <c r="AN151" s="34">
        <v>205352000</v>
      </c>
      <c r="AO151" s="53"/>
      <c r="AP151" s="30" t="s">
        <v>1575</v>
      </c>
      <c r="AQ151" s="30" t="s">
        <v>245</v>
      </c>
      <c r="AR151" s="30"/>
      <c r="AS151" s="30"/>
      <c r="AT151" s="30"/>
      <c r="AU151" s="30"/>
      <c r="AV151" s="35">
        <v>1700</v>
      </c>
      <c r="AW151" s="34">
        <v>4016315</v>
      </c>
      <c r="AX151" s="35">
        <v>1700</v>
      </c>
      <c r="AY151" s="34"/>
      <c r="AZ151" s="34">
        <v>10500000000</v>
      </c>
      <c r="BA151" s="32">
        <f t="shared" si="15"/>
        <v>6827735500</v>
      </c>
      <c r="BB151" s="30" t="s">
        <v>1576</v>
      </c>
      <c r="BC151" s="30" t="s">
        <v>81</v>
      </c>
      <c r="BD151" s="30" t="s">
        <v>1577</v>
      </c>
      <c r="BE151" s="30" t="s">
        <v>245</v>
      </c>
      <c r="BF151" s="30"/>
      <c r="BG151" s="30"/>
      <c r="BH151" s="30"/>
      <c r="BI151" s="30"/>
      <c r="BJ151" s="36">
        <v>2265</v>
      </c>
      <c r="BK151" s="34">
        <v>3847528</v>
      </c>
      <c r="BL151" s="36">
        <v>1000</v>
      </c>
      <c r="BM151" s="34"/>
      <c r="BN151" s="34">
        <v>11500000000</v>
      </c>
      <c r="BO151" s="32">
        <f t="shared" si="16"/>
        <v>8714650920</v>
      </c>
      <c r="BP151" s="30" t="s">
        <v>1576</v>
      </c>
      <c r="BQ151" s="30" t="s">
        <v>81</v>
      </c>
      <c r="BR151" s="30" t="s">
        <v>1578</v>
      </c>
      <c r="BS151" s="30" t="s">
        <v>245</v>
      </c>
      <c r="BT151" s="30"/>
      <c r="BU151" s="30"/>
      <c r="BV151" s="30"/>
      <c r="BW151" s="30"/>
      <c r="BX151" s="36">
        <v>1314</v>
      </c>
      <c r="BY151" s="34">
        <v>4107410</v>
      </c>
      <c r="BZ151" s="36">
        <v>924</v>
      </c>
      <c r="CA151" s="34"/>
      <c r="CB151" s="34">
        <v>7500000000</v>
      </c>
      <c r="CC151" s="32">
        <f t="shared" si="17"/>
        <v>5397136740</v>
      </c>
      <c r="CD151" s="30" t="s">
        <v>1579</v>
      </c>
      <c r="CE151" s="30" t="s">
        <v>81</v>
      </c>
      <c r="CF151" s="30" t="s">
        <v>1432</v>
      </c>
      <c r="CG151" s="30"/>
      <c r="CH151" s="30"/>
      <c r="CI151" s="64"/>
      <c r="CJ151" s="64"/>
      <c r="CK151" s="64"/>
      <c r="CL151" s="64"/>
    </row>
    <row r="152" spans="2:90" ht="195" customHeight="1" x14ac:dyDescent="0.25">
      <c r="B152" s="30" t="s">
        <v>1582</v>
      </c>
      <c r="C152" s="30" t="s">
        <v>1583</v>
      </c>
      <c r="D152" s="33">
        <v>45496</v>
      </c>
      <c r="E152" s="30" t="s">
        <v>93</v>
      </c>
      <c r="F152" s="30" t="s">
        <v>93</v>
      </c>
      <c r="G152" s="30"/>
      <c r="H152" s="30" t="s">
        <v>97</v>
      </c>
      <c r="I152" s="35">
        <v>144</v>
      </c>
      <c r="J152" s="30" t="s">
        <v>70</v>
      </c>
      <c r="K152" s="35">
        <v>264</v>
      </c>
      <c r="L152" s="35"/>
      <c r="M152" s="30"/>
      <c r="N152" s="30"/>
      <c r="O152" s="30"/>
      <c r="P152" s="30"/>
      <c r="Q152" s="30" t="s">
        <v>1584</v>
      </c>
      <c r="R152" s="30" t="s">
        <v>1585</v>
      </c>
      <c r="S152" s="30" t="s">
        <v>1586</v>
      </c>
      <c r="T152" s="30" t="s">
        <v>1587</v>
      </c>
      <c r="U152" s="30" t="s">
        <v>107</v>
      </c>
      <c r="V152" s="30" t="s">
        <v>92</v>
      </c>
      <c r="W152" s="30" t="s">
        <v>72</v>
      </c>
      <c r="X152" s="30" t="s">
        <v>85</v>
      </c>
      <c r="Y152" s="30" t="s">
        <v>73</v>
      </c>
      <c r="Z152" s="33">
        <v>45488</v>
      </c>
      <c r="AA152" s="33">
        <v>45488</v>
      </c>
      <c r="AB152" s="30" t="s">
        <v>74</v>
      </c>
      <c r="AC152" s="30"/>
      <c r="AD152" s="30"/>
      <c r="AE152" s="30"/>
      <c r="AF152" s="30"/>
      <c r="AG152" s="30"/>
      <c r="AH152" s="30"/>
      <c r="AI152" s="30"/>
      <c r="AJ152" s="31">
        <f t="shared" si="13"/>
        <v>144</v>
      </c>
      <c r="AK152" s="34">
        <f>331200000/AJ152</f>
        <v>2300000</v>
      </c>
      <c r="AL152" s="31">
        <f t="shared" si="14"/>
        <v>264</v>
      </c>
      <c r="AM152" s="34">
        <f>685500000/AL152</f>
        <v>2596590.9090909092</v>
      </c>
      <c r="AN152" s="34"/>
      <c r="AO152" s="34">
        <f t="shared" ref="AO152:AO178" si="18">(AJ152*AK152)+(AL152*AM152)+AN152</f>
        <v>1016700000</v>
      </c>
      <c r="AP152" s="30" t="s">
        <v>1588</v>
      </c>
      <c r="AQ152" s="30" t="s">
        <v>83</v>
      </c>
      <c r="AR152" s="30"/>
      <c r="AS152" s="30"/>
      <c r="AT152" s="30"/>
      <c r="AU152" s="30"/>
      <c r="AV152" s="35">
        <v>72</v>
      </c>
      <c r="AW152" s="34">
        <v>2430956</v>
      </c>
      <c r="AX152" s="35">
        <v>36</v>
      </c>
      <c r="AY152" s="34"/>
      <c r="AZ152" s="34">
        <v>250000000</v>
      </c>
      <c r="BA152" s="32">
        <f t="shared" si="15"/>
        <v>175028832</v>
      </c>
      <c r="BB152" s="30" t="s">
        <v>1589</v>
      </c>
      <c r="BC152" s="30" t="s">
        <v>81</v>
      </c>
      <c r="BD152" s="30" t="s">
        <v>1590</v>
      </c>
      <c r="BE152" s="30" t="s">
        <v>83</v>
      </c>
      <c r="BF152" s="30"/>
      <c r="BG152" s="30"/>
      <c r="BH152" s="30"/>
      <c r="BI152" s="30"/>
      <c r="BJ152" s="36">
        <v>60</v>
      </c>
      <c r="BK152" s="34">
        <v>2417467</v>
      </c>
      <c r="BL152" s="36">
        <v>48</v>
      </c>
      <c r="BM152" s="34"/>
      <c r="BN152" s="34">
        <v>250000000</v>
      </c>
      <c r="BO152" s="32">
        <f t="shared" si="16"/>
        <v>145048020</v>
      </c>
      <c r="BP152" s="30" t="s">
        <v>1591</v>
      </c>
      <c r="BQ152" s="30" t="s">
        <v>81</v>
      </c>
      <c r="BR152" s="30" t="s">
        <v>1592</v>
      </c>
      <c r="BS152" s="30" t="s">
        <v>83</v>
      </c>
      <c r="BT152" s="30"/>
      <c r="BU152" s="30"/>
      <c r="BV152" s="30"/>
      <c r="BW152" s="30"/>
      <c r="BX152" s="36">
        <v>60</v>
      </c>
      <c r="BY152" s="34">
        <v>2339392</v>
      </c>
      <c r="BZ152" s="36">
        <v>51</v>
      </c>
      <c r="CA152" s="34"/>
      <c r="CB152" s="34">
        <v>250000000</v>
      </c>
      <c r="CC152" s="32">
        <f t="shared" si="17"/>
        <v>140363520</v>
      </c>
      <c r="CD152" s="30" t="s">
        <v>1593</v>
      </c>
      <c r="CE152" s="30" t="s">
        <v>81</v>
      </c>
      <c r="CF152" s="30" t="s">
        <v>1594</v>
      </c>
      <c r="CG152" s="30"/>
      <c r="CH152" s="30"/>
      <c r="CI152" s="64"/>
      <c r="CJ152" s="64"/>
      <c r="CK152" s="64"/>
      <c r="CL152" s="64"/>
    </row>
    <row r="153" spans="2:90" ht="135" x14ac:dyDescent="0.25">
      <c r="B153" s="30" t="s">
        <v>1595</v>
      </c>
      <c r="C153" s="30" t="s">
        <v>1596</v>
      </c>
      <c r="D153" s="33">
        <v>45502</v>
      </c>
      <c r="E153" s="30" t="s">
        <v>93</v>
      </c>
      <c r="F153" s="30" t="s">
        <v>93</v>
      </c>
      <c r="G153" s="30"/>
      <c r="H153" s="30" t="s">
        <v>245</v>
      </c>
      <c r="I153" s="35">
        <v>6504</v>
      </c>
      <c r="J153" s="30" t="s">
        <v>70</v>
      </c>
      <c r="K153" s="35">
        <v>3779</v>
      </c>
      <c r="L153" s="35"/>
      <c r="M153" s="30" t="s">
        <v>397</v>
      </c>
      <c r="N153" s="30"/>
      <c r="O153" s="30"/>
      <c r="P153" s="30"/>
      <c r="Q153" s="30"/>
      <c r="R153" s="30" t="s">
        <v>1597</v>
      </c>
      <c r="S153" s="30" t="s">
        <v>1598</v>
      </c>
      <c r="T153" s="30" t="s">
        <v>1599</v>
      </c>
      <c r="U153" s="30" t="s">
        <v>107</v>
      </c>
      <c r="V153" s="30" t="s">
        <v>92</v>
      </c>
      <c r="W153" s="30" t="s">
        <v>72</v>
      </c>
      <c r="X153" s="30" t="s">
        <v>85</v>
      </c>
      <c r="Y153" s="30" t="s">
        <v>73</v>
      </c>
      <c r="Z153" s="33">
        <v>45483</v>
      </c>
      <c r="AA153" s="33">
        <v>45483</v>
      </c>
      <c r="AB153" s="30" t="s">
        <v>90</v>
      </c>
      <c r="AC153" s="30"/>
      <c r="AD153" s="30"/>
      <c r="AE153" s="30"/>
      <c r="AF153" s="30"/>
      <c r="AG153" s="30"/>
      <c r="AH153" s="30"/>
      <c r="AI153" s="30"/>
      <c r="AJ153" s="31">
        <f t="shared" si="13"/>
        <v>6504</v>
      </c>
      <c r="AK153" s="34">
        <f>24064800000/AJ153</f>
        <v>3700000</v>
      </c>
      <c r="AL153" s="31">
        <f t="shared" si="14"/>
        <v>3779</v>
      </c>
      <c r="AM153" s="34">
        <f>4477500000/AL153</f>
        <v>1184837.2585340037</v>
      </c>
      <c r="AN153" s="34">
        <v>319974000</v>
      </c>
      <c r="AO153" s="34">
        <f t="shared" si="18"/>
        <v>28862274000</v>
      </c>
      <c r="AP153" s="30" t="s">
        <v>1600</v>
      </c>
      <c r="AQ153" s="30" t="s">
        <v>77</v>
      </c>
      <c r="AR153" s="30"/>
      <c r="AS153" s="30"/>
      <c r="AT153" s="30"/>
      <c r="AU153" s="30"/>
      <c r="AV153" s="35">
        <v>8000</v>
      </c>
      <c r="AW153" s="34">
        <v>4200000</v>
      </c>
      <c r="AX153" s="35"/>
      <c r="AY153" s="34"/>
      <c r="AZ153" s="34">
        <v>44000000000</v>
      </c>
      <c r="BA153" s="32">
        <f t="shared" si="15"/>
        <v>33600000000</v>
      </c>
      <c r="BB153" s="30" t="s">
        <v>1601</v>
      </c>
      <c r="BC153" s="30" t="s">
        <v>81</v>
      </c>
      <c r="BD153" s="30" t="s">
        <v>1602</v>
      </c>
      <c r="BE153" s="30" t="s">
        <v>97</v>
      </c>
      <c r="BF153" s="30"/>
      <c r="BG153" s="30"/>
      <c r="BH153" s="30"/>
      <c r="BI153" s="30"/>
      <c r="BJ153" s="36">
        <v>1005</v>
      </c>
      <c r="BK153" s="34">
        <v>4550547</v>
      </c>
      <c r="BL153" s="36">
        <v>100</v>
      </c>
      <c r="BM153" s="34"/>
      <c r="BN153" s="34">
        <v>5527500000</v>
      </c>
      <c r="BO153" s="32">
        <f t="shared" si="16"/>
        <v>4573299735</v>
      </c>
      <c r="BP153" s="30" t="s">
        <v>1603</v>
      </c>
      <c r="BQ153" s="30" t="s">
        <v>81</v>
      </c>
      <c r="BR153" s="30" t="s">
        <v>1602</v>
      </c>
      <c r="BS153" s="30" t="s">
        <v>97</v>
      </c>
      <c r="BT153" s="30"/>
      <c r="BU153" s="30"/>
      <c r="BV153" s="30"/>
      <c r="BW153" s="30"/>
      <c r="BX153" s="36">
        <v>4600</v>
      </c>
      <c r="BY153" s="34">
        <v>4277011</v>
      </c>
      <c r="BZ153" s="36">
        <v>1500</v>
      </c>
      <c r="CA153" s="34"/>
      <c r="CB153" s="34">
        <v>27000000000</v>
      </c>
      <c r="CC153" s="32">
        <f t="shared" si="17"/>
        <v>19674250600</v>
      </c>
      <c r="CD153" s="30" t="s">
        <v>1604</v>
      </c>
      <c r="CE153" s="30" t="s">
        <v>81</v>
      </c>
      <c r="CF153" s="30" t="s">
        <v>1605</v>
      </c>
      <c r="CG153" s="30"/>
      <c r="CH153" s="30"/>
      <c r="CI153" s="64"/>
      <c r="CJ153" s="64"/>
      <c r="CK153" s="64"/>
      <c r="CL153" s="64"/>
    </row>
    <row r="154" spans="2:90" ht="105" x14ac:dyDescent="0.25">
      <c r="B154" s="54" t="s">
        <v>1606</v>
      </c>
      <c r="C154" s="54" t="s">
        <v>1607</v>
      </c>
      <c r="D154" s="67">
        <v>45502</v>
      </c>
      <c r="E154" s="54" t="s">
        <v>82</v>
      </c>
      <c r="F154" s="54" t="s">
        <v>82</v>
      </c>
      <c r="G154" s="30"/>
      <c r="H154" s="30" t="s">
        <v>148</v>
      </c>
      <c r="I154" s="35">
        <v>1548</v>
      </c>
      <c r="J154" s="30" t="s">
        <v>70</v>
      </c>
      <c r="K154" s="35">
        <v>1426</v>
      </c>
      <c r="L154" s="35"/>
      <c r="M154" s="30" t="s">
        <v>397</v>
      </c>
      <c r="N154" s="30"/>
      <c r="O154" s="30"/>
      <c r="P154" s="30"/>
      <c r="Q154" s="30"/>
      <c r="R154" s="30" t="s">
        <v>1608</v>
      </c>
      <c r="S154" s="30" t="s">
        <v>1609</v>
      </c>
      <c r="T154" s="30" t="s">
        <v>217</v>
      </c>
      <c r="U154" s="30" t="s">
        <v>95</v>
      </c>
      <c r="V154" s="30" t="s">
        <v>80</v>
      </c>
      <c r="W154" s="30" t="s">
        <v>72</v>
      </c>
      <c r="X154" s="30" t="s">
        <v>85</v>
      </c>
      <c r="Y154" s="30" t="s">
        <v>73</v>
      </c>
      <c r="Z154" s="33">
        <v>45474</v>
      </c>
      <c r="AA154" s="33">
        <v>45474</v>
      </c>
      <c r="AB154" s="30" t="s">
        <v>90</v>
      </c>
      <c r="AC154" s="30"/>
      <c r="AD154" s="30"/>
      <c r="AE154" s="30"/>
      <c r="AF154" s="30"/>
      <c r="AG154" s="30"/>
      <c r="AH154" s="30"/>
      <c r="AI154" s="30"/>
      <c r="AJ154" s="31">
        <f t="shared" si="13"/>
        <v>1548</v>
      </c>
      <c r="AK154" s="34">
        <f>4334400000/AJ154</f>
        <v>2800000</v>
      </c>
      <c r="AL154" s="31">
        <f t="shared" si="14"/>
        <v>1426</v>
      </c>
      <c r="AM154" s="34">
        <f>1378900000/AL154</f>
        <v>966970.5469845722</v>
      </c>
      <c r="AN154" s="34">
        <v>12826000</v>
      </c>
      <c r="AO154" s="51">
        <f>(AJ154*AK154)+(AL154*AM154)+AN154+(AJ155*AK155)+(AL155*AM155)+AN155</f>
        <v>12170025000</v>
      </c>
      <c r="AP154" s="30" t="s">
        <v>1610</v>
      </c>
      <c r="AQ154" s="30" t="s">
        <v>97</v>
      </c>
      <c r="AR154" s="30"/>
      <c r="AS154" s="30"/>
      <c r="AT154" s="30"/>
      <c r="AU154" s="30"/>
      <c r="AV154" s="35">
        <v>9855</v>
      </c>
      <c r="AW154" s="34">
        <v>2538082</v>
      </c>
      <c r="AX154" s="35">
        <v>8000</v>
      </c>
      <c r="AY154" s="34"/>
      <c r="AZ154" s="34">
        <v>45000000000</v>
      </c>
      <c r="BA154" s="32">
        <f t="shared" si="15"/>
        <v>25012798110</v>
      </c>
      <c r="BB154" s="30" t="s">
        <v>1611</v>
      </c>
      <c r="BC154" s="30" t="s">
        <v>81</v>
      </c>
      <c r="BD154" s="30" t="s">
        <v>1612</v>
      </c>
      <c r="BE154" s="30" t="s">
        <v>77</v>
      </c>
      <c r="BF154" s="30"/>
      <c r="BG154" s="30"/>
      <c r="BH154" s="30"/>
      <c r="BI154" s="30"/>
      <c r="BJ154" s="36">
        <v>8000</v>
      </c>
      <c r="BK154" s="34">
        <v>2600000</v>
      </c>
      <c r="BL154" s="36"/>
      <c r="BM154" s="34"/>
      <c r="BN154" s="34">
        <v>28000000000</v>
      </c>
      <c r="BO154" s="32">
        <f t="shared" si="16"/>
        <v>20800000000</v>
      </c>
      <c r="BP154" s="30" t="s">
        <v>1613</v>
      </c>
      <c r="BQ154" s="30" t="s">
        <v>81</v>
      </c>
      <c r="BR154" s="30" t="s">
        <v>1614</v>
      </c>
      <c r="BS154" s="30" t="s">
        <v>77</v>
      </c>
      <c r="BT154" s="30"/>
      <c r="BU154" s="30"/>
      <c r="BV154" s="30"/>
      <c r="BW154" s="30"/>
      <c r="BX154" s="36">
        <v>7980</v>
      </c>
      <c r="BY154" s="34">
        <v>2606516</v>
      </c>
      <c r="BZ154" s="36"/>
      <c r="CA154" s="34"/>
      <c r="CB154" s="34">
        <v>23940000000</v>
      </c>
      <c r="CC154" s="32">
        <f t="shared" si="17"/>
        <v>20799997680</v>
      </c>
      <c r="CD154" s="30" t="s">
        <v>219</v>
      </c>
      <c r="CE154" s="30" t="s">
        <v>81</v>
      </c>
      <c r="CF154" s="30" t="s">
        <v>1615</v>
      </c>
      <c r="CG154" s="30"/>
      <c r="CH154" s="30"/>
      <c r="CI154" s="64"/>
      <c r="CJ154" s="64"/>
      <c r="CK154" s="64"/>
      <c r="CL154" s="64"/>
    </row>
    <row r="155" spans="2:90" ht="75" customHeight="1" x14ac:dyDescent="0.25">
      <c r="B155" s="58"/>
      <c r="C155" s="58"/>
      <c r="D155" s="69"/>
      <c r="E155" s="58"/>
      <c r="F155" s="58"/>
      <c r="G155" s="30"/>
      <c r="H155" s="30" t="s">
        <v>148</v>
      </c>
      <c r="I155" s="35">
        <v>1775</v>
      </c>
      <c r="J155" s="30" t="s">
        <v>70</v>
      </c>
      <c r="K155" s="35">
        <v>1360</v>
      </c>
      <c r="L155" s="35"/>
      <c r="M155" s="30" t="s">
        <v>397</v>
      </c>
      <c r="N155" s="30"/>
      <c r="O155" s="30"/>
      <c r="P155" s="30"/>
      <c r="Q155" s="30"/>
      <c r="R155" s="30" t="s">
        <v>1616</v>
      </c>
      <c r="S155" s="30" t="s">
        <v>1617</v>
      </c>
      <c r="T155" s="30" t="s">
        <v>1618</v>
      </c>
      <c r="U155" s="30" t="s">
        <v>176</v>
      </c>
      <c r="V155" s="30" t="s">
        <v>80</v>
      </c>
      <c r="W155" s="30" t="s">
        <v>72</v>
      </c>
      <c r="X155" s="30" t="s">
        <v>85</v>
      </c>
      <c r="Y155" s="30" t="s">
        <v>73</v>
      </c>
      <c r="Z155" s="33">
        <v>45474</v>
      </c>
      <c r="AA155" s="33">
        <v>45474</v>
      </c>
      <c r="AB155" s="30" t="s">
        <v>90</v>
      </c>
      <c r="AC155" s="30"/>
      <c r="AD155" s="30"/>
      <c r="AE155" s="30"/>
      <c r="AF155" s="30"/>
      <c r="AG155" s="30"/>
      <c r="AH155" s="30"/>
      <c r="AI155" s="30"/>
      <c r="AJ155" s="31">
        <f t="shared" si="13"/>
        <v>1775</v>
      </c>
      <c r="AK155" s="34">
        <f>4970000000/AJ155</f>
        <v>2800000</v>
      </c>
      <c r="AL155" s="31">
        <f t="shared" si="14"/>
        <v>1360</v>
      </c>
      <c r="AM155" s="34">
        <f>1364200000/AL155</f>
        <v>1003088.2352941176</v>
      </c>
      <c r="AN155" s="34">
        <v>109699000</v>
      </c>
      <c r="AO155" s="53"/>
      <c r="AP155" s="30" t="s">
        <v>1610</v>
      </c>
      <c r="AQ155" s="30" t="s">
        <v>97</v>
      </c>
      <c r="AR155" s="30"/>
      <c r="AS155" s="30"/>
      <c r="AT155" s="30"/>
      <c r="AU155" s="30"/>
      <c r="AV155" s="35">
        <v>9855</v>
      </c>
      <c r="AW155" s="34">
        <v>2538082</v>
      </c>
      <c r="AX155" s="35">
        <v>8000</v>
      </c>
      <c r="AY155" s="34"/>
      <c r="AZ155" s="34">
        <v>45000000000</v>
      </c>
      <c r="BA155" s="32">
        <f t="shared" si="15"/>
        <v>25012798110</v>
      </c>
      <c r="BB155" s="30" t="s">
        <v>1611</v>
      </c>
      <c r="BC155" s="30" t="s">
        <v>81</v>
      </c>
      <c r="BD155" s="30" t="s">
        <v>1612</v>
      </c>
      <c r="BE155" s="30" t="s">
        <v>77</v>
      </c>
      <c r="BF155" s="30"/>
      <c r="BG155" s="30"/>
      <c r="BH155" s="30"/>
      <c r="BI155" s="30"/>
      <c r="BJ155" s="36">
        <v>8000</v>
      </c>
      <c r="BK155" s="34">
        <v>2600000</v>
      </c>
      <c r="BL155" s="36"/>
      <c r="BM155" s="34"/>
      <c r="BN155" s="34">
        <v>28000000000</v>
      </c>
      <c r="BO155" s="32">
        <f t="shared" si="16"/>
        <v>20800000000</v>
      </c>
      <c r="BP155" s="30" t="s">
        <v>1613</v>
      </c>
      <c r="BQ155" s="30" t="s">
        <v>81</v>
      </c>
      <c r="BR155" s="30" t="s">
        <v>1614</v>
      </c>
      <c r="BS155" s="30" t="s">
        <v>77</v>
      </c>
      <c r="BT155" s="30"/>
      <c r="BU155" s="30"/>
      <c r="BV155" s="30"/>
      <c r="BW155" s="30"/>
      <c r="BX155" s="36">
        <v>7980</v>
      </c>
      <c r="BY155" s="34">
        <v>2606516</v>
      </c>
      <c r="BZ155" s="36"/>
      <c r="CA155" s="34"/>
      <c r="CB155" s="34">
        <v>23940000000</v>
      </c>
      <c r="CC155" s="32">
        <f t="shared" si="17"/>
        <v>20799997680</v>
      </c>
      <c r="CD155" s="30" t="s">
        <v>219</v>
      </c>
      <c r="CE155" s="30" t="s">
        <v>81</v>
      </c>
      <c r="CF155" s="30" t="s">
        <v>1615</v>
      </c>
      <c r="CG155" s="30"/>
      <c r="CH155" s="30"/>
      <c r="CI155" s="64"/>
      <c r="CJ155" s="64"/>
      <c r="CK155" s="64"/>
      <c r="CL155" s="64"/>
    </row>
    <row r="156" spans="2:90" ht="105" x14ac:dyDescent="0.25">
      <c r="B156" s="54" t="s">
        <v>1619</v>
      </c>
      <c r="C156" s="54" t="s">
        <v>1620</v>
      </c>
      <c r="D156" s="67">
        <v>45504</v>
      </c>
      <c r="E156" s="54" t="s">
        <v>1621</v>
      </c>
      <c r="F156" s="54" t="s">
        <v>1621</v>
      </c>
      <c r="G156" s="30"/>
      <c r="H156" s="30" t="s">
        <v>148</v>
      </c>
      <c r="I156" s="35">
        <v>2931</v>
      </c>
      <c r="J156" s="30" t="s">
        <v>70</v>
      </c>
      <c r="K156" s="35">
        <v>2170</v>
      </c>
      <c r="L156" s="35"/>
      <c r="M156" s="30" t="s">
        <v>397</v>
      </c>
      <c r="N156" s="30"/>
      <c r="O156" s="30"/>
      <c r="P156" s="30"/>
      <c r="Q156" s="30"/>
      <c r="R156" s="30" t="s">
        <v>1622</v>
      </c>
      <c r="S156" s="30" t="s">
        <v>1623</v>
      </c>
      <c r="T156" s="30" t="s">
        <v>1624</v>
      </c>
      <c r="U156" s="30" t="s">
        <v>1625</v>
      </c>
      <c r="V156" s="30" t="s">
        <v>1626</v>
      </c>
      <c r="W156" s="30" t="s">
        <v>72</v>
      </c>
      <c r="X156" s="30" t="s">
        <v>88</v>
      </c>
      <c r="Y156" s="30" t="s">
        <v>89</v>
      </c>
      <c r="Z156" s="33">
        <v>45465</v>
      </c>
      <c r="AA156" s="33">
        <v>45465</v>
      </c>
      <c r="AB156" s="30" t="s">
        <v>90</v>
      </c>
      <c r="AC156" s="30"/>
      <c r="AD156" s="30"/>
      <c r="AE156" s="30"/>
      <c r="AF156" s="30"/>
      <c r="AG156" s="30"/>
      <c r="AH156" s="30"/>
      <c r="AI156" s="30"/>
      <c r="AJ156" s="31">
        <f t="shared" si="13"/>
        <v>2931</v>
      </c>
      <c r="AK156" s="34">
        <f>20517000000/AJ156</f>
        <v>7000000</v>
      </c>
      <c r="AL156" s="31">
        <f t="shared" si="14"/>
        <v>2170</v>
      </c>
      <c r="AM156" s="34">
        <f>1785500000/AL156</f>
        <v>822811.05990783405</v>
      </c>
      <c r="AN156" s="34">
        <v>218000000</v>
      </c>
      <c r="AO156" s="51" t="e">
        <f>(AJ156*AK156)+(AL156*AM156)+AN156+(AJ157*AK157)+(AL157*AM157)+AN157+(AJ158*AK158)+(AL158*AM158)+AN158+AL159*AM159+(AJ160*AK160)+(AL160*AM160)+AN160+(AJ161*AK161)+(AL161*AM161)+AN161</f>
        <v>#VALUE!</v>
      </c>
      <c r="AP156" s="30" t="s">
        <v>1627</v>
      </c>
      <c r="AQ156" s="30" t="s">
        <v>148</v>
      </c>
      <c r="AR156" s="30"/>
      <c r="AS156" s="30"/>
      <c r="AT156" s="30"/>
      <c r="AU156" s="30"/>
      <c r="AV156" s="35">
        <v>870</v>
      </c>
      <c r="AW156" s="34">
        <v>7724800</v>
      </c>
      <c r="AX156" s="35">
        <v>870</v>
      </c>
      <c r="AY156" s="34"/>
      <c r="AZ156" s="34">
        <v>10875000000</v>
      </c>
      <c r="BA156" s="32">
        <f t="shared" si="15"/>
        <v>6720576000</v>
      </c>
      <c r="BB156" s="30" t="s">
        <v>1628</v>
      </c>
      <c r="BC156" s="30" t="s">
        <v>81</v>
      </c>
      <c r="BD156" s="30" t="s">
        <v>1627</v>
      </c>
      <c r="BE156" s="30" t="s">
        <v>77</v>
      </c>
      <c r="BF156" s="30"/>
      <c r="BG156" s="30"/>
      <c r="BH156" s="30"/>
      <c r="BI156" s="30"/>
      <c r="BJ156" s="36">
        <v>3500</v>
      </c>
      <c r="BK156" s="34">
        <v>6714286</v>
      </c>
      <c r="BL156" s="36"/>
      <c r="BM156" s="34"/>
      <c r="BN156" s="34">
        <v>26250000000</v>
      </c>
      <c r="BO156" s="32">
        <f t="shared" si="16"/>
        <v>23500001000</v>
      </c>
      <c r="BP156" s="30" t="s">
        <v>1629</v>
      </c>
      <c r="BQ156" s="30" t="s">
        <v>81</v>
      </c>
      <c r="BR156" s="30" t="s">
        <v>1627</v>
      </c>
      <c r="BS156" s="30" t="s">
        <v>1483</v>
      </c>
      <c r="BT156" s="30"/>
      <c r="BU156" s="30"/>
      <c r="BV156" s="30"/>
      <c r="BW156" s="30"/>
      <c r="BX156" s="36">
        <v>320</v>
      </c>
      <c r="BY156" s="34">
        <v>6700000</v>
      </c>
      <c r="BZ156" s="36"/>
      <c r="CA156" s="34"/>
      <c r="CB156" s="34">
        <v>2400000000</v>
      </c>
      <c r="CC156" s="32">
        <f t="shared" si="17"/>
        <v>2144000000</v>
      </c>
      <c r="CD156" s="30" t="s">
        <v>1630</v>
      </c>
      <c r="CE156" s="30" t="s">
        <v>81</v>
      </c>
      <c r="CF156" s="30" t="s">
        <v>597</v>
      </c>
      <c r="CG156" s="30"/>
      <c r="CH156" s="30"/>
      <c r="CI156" s="64"/>
      <c r="CJ156" s="64"/>
      <c r="CK156" s="64"/>
      <c r="CL156" s="64"/>
    </row>
    <row r="157" spans="2:90" ht="105" x14ac:dyDescent="0.25">
      <c r="B157" s="57"/>
      <c r="C157" s="57"/>
      <c r="D157" s="68"/>
      <c r="E157" s="57"/>
      <c r="F157" s="57"/>
      <c r="G157" s="30"/>
      <c r="H157" s="30" t="s">
        <v>97</v>
      </c>
      <c r="I157" s="35">
        <v>1423</v>
      </c>
      <c r="J157" s="30" t="s">
        <v>70</v>
      </c>
      <c r="K157" s="35">
        <v>60</v>
      </c>
      <c r="L157" s="35"/>
      <c r="M157" s="30" t="s">
        <v>397</v>
      </c>
      <c r="N157" s="30"/>
      <c r="O157" s="30"/>
      <c r="P157" s="30"/>
      <c r="Q157" s="30"/>
      <c r="R157" s="30" t="s">
        <v>1631</v>
      </c>
      <c r="S157" s="30" t="s">
        <v>1623</v>
      </c>
      <c r="T157" s="30" t="s">
        <v>1624</v>
      </c>
      <c r="U157" s="30" t="s">
        <v>1625</v>
      </c>
      <c r="V157" s="30" t="s">
        <v>1626</v>
      </c>
      <c r="W157" s="30" t="s">
        <v>72</v>
      </c>
      <c r="X157" s="30" t="s">
        <v>88</v>
      </c>
      <c r="Y157" s="30" t="s">
        <v>89</v>
      </c>
      <c r="Z157" s="33">
        <v>45465</v>
      </c>
      <c r="AA157" s="33">
        <v>45465</v>
      </c>
      <c r="AB157" s="30" t="s">
        <v>90</v>
      </c>
      <c r="AC157" s="30"/>
      <c r="AD157" s="30"/>
      <c r="AE157" s="30"/>
      <c r="AF157" s="30"/>
      <c r="AG157" s="30"/>
      <c r="AH157" s="30"/>
      <c r="AI157" s="30"/>
      <c r="AJ157" s="31">
        <f t="shared" si="13"/>
        <v>1423</v>
      </c>
      <c r="AK157" s="34">
        <f>10387900000/AJ157</f>
        <v>7300000</v>
      </c>
      <c r="AL157" s="31">
        <f t="shared" si="14"/>
        <v>60</v>
      </c>
      <c r="AM157" s="34">
        <f>136200000/AL157</f>
        <v>2270000</v>
      </c>
      <c r="AN157" s="34">
        <v>294800000</v>
      </c>
      <c r="AO157" s="52"/>
      <c r="AP157" s="30" t="s">
        <v>1627</v>
      </c>
      <c r="AQ157" s="30" t="s">
        <v>148</v>
      </c>
      <c r="AR157" s="30"/>
      <c r="AS157" s="30"/>
      <c r="AT157" s="30"/>
      <c r="AU157" s="30"/>
      <c r="AV157" s="35">
        <v>870</v>
      </c>
      <c r="AW157" s="34">
        <v>7724800</v>
      </c>
      <c r="AX157" s="35">
        <v>870</v>
      </c>
      <c r="AY157" s="34"/>
      <c r="AZ157" s="34">
        <v>10875000000</v>
      </c>
      <c r="BA157" s="32">
        <f t="shared" si="15"/>
        <v>6720576000</v>
      </c>
      <c r="BB157" s="30" t="s">
        <v>1628</v>
      </c>
      <c r="BC157" s="30" t="s">
        <v>81</v>
      </c>
      <c r="BD157" s="30" t="s">
        <v>1627</v>
      </c>
      <c r="BE157" s="30" t="s">
        <v>77</v>
      </c>
      <c r="BF157" s="30"/>
      <c r="BG157" s="30"/>
      <c r="BH157" s="30"/>
      <c r="BI157" s="30"/>
      <c r="BJ157" s="36">
        <v>3500</v>
      </c>
      <c r="BK157" s="34">
        <v>6714286</v>
      </c>
      <c r="BL157" s="36"/>
      <c r="BM157" s="34"/>
      <c r="BN157" s="34">
        <v>26250000000</v>
      </c>
      <c r="BO157" s="32">
        <f t="shared" si="16"/>
        <v>23500001000</v>
      </c>
      <c r="BP157" s="30" t="s">
        <v>1629</v>
      </c>
      <c r="BQ157" s="30" t="s">
        <v>81</v>
      </c>
      <c r="BR157" s="30" t="s">
        <v>1627</v>
      </c>
      <c r="BS157" s="30" t="s">
        <v>1483</v>
      </c>
      <c r="BT157" s="30"/>
      <c r="BU157" s="30"/>
      <c r="BV157" s="30"/>
      <c r="BW157" s="30"/>
      <c r="BX157" s="36">
        <v>320</v>
      </c>
      <c r="BY157" s="34">
        <v>6700000</v>
      </c>
      <c r="BZ157" s="36"/>
      <c r="CA157" s="34"/>
      <c r="CB157" s="34">
        <v>2400000000</v>
      </c>
      <c r="CC157" s="32">
        <f t="shared" si="17"/>
        <v>2144000000</v>
      </c>
      <c r="CD157" s="30" t="s">
        <v>1630</v>
      </c>
      <c r="CE157" s="30" t="s">
        <v>81</v>
      </c>
      <c r="CF157" s="30" t="s">
        <v>597</v>
      </c>
      <c r="CG157" s="30"/>
      <c r="CH157" s="30"/>
      <c r="CI157" s="64"/>
      <c r="CJ157" s="64"/>
      <c r="CK157" s="64"/>
      <c r="CL157" s="64"/>
    </row>
    <row r="158" spans="2:90" ht="135" customHeight="1" x14ac:dyDescent="0.25">
      <c r="B158" s="57"/>
      <c r="C158" s="57"/>
      <c r="D158" s="68"/>
      <c r="E158" s="57"/>
      <c r="F158" s="57"/>
      <c r="G158" s="30"/>
      <c r="H158" s="30" t="s">
        <v>101</v>
      </c>
      <c r="I158" s="35">
        <v>211</v>
      </c>
      <c r="J158" s="30" t="s">
        <v>70</v>
      </c>
      <c r="K158" s="35">
        <v>577</v>
      </c>
      <c r="L158" s="35"/>
      <c r="M158" s="30"/>
      <c r="N158" s="30"/>
      <c r="O158" s="30"/>
      <c r="P158" s="30"/>
      <c r="Q158" s="30"/>
      <c r="R158" s="30" t="s">
        <v>1412</v>
      </c>
      <c r="S158" s="30" t="s">
        <v>1632</v>
      </c>
      <c r="T158" s="30" t="s">
        <v>1633</v>
      </c>
      <c r="U158" s="30" t="s">
        <v>1634</v>
      </c>
      <c r="V158" s="30" t="s">
        <v>1626</v>
      </c>
      <c r="W158" s="30" t="s">
        <v>72</v>
      </c>
      <c r="X158" s="30" t="s">
        <v>88</v>
      </c>
      <c r="Y158" s="30" t="s">
        <v>89</v>
      </c>
      <c r="Z158" s="33">
        <v>45464</v>
      </c>
      <c r="AA158" s="33">
        <v>45464</v>
      </c>
      <c r="AB158" s="30" t="s">
        <v>90</v>
      </c>
      <c r="AC158" s="30"/>
      <c r="AD158" s="30"/>
      <c r="AE158" s="30"/>
      <c r="AF158" s="30"/>
      <c r="AG158" s="30"/>
      <c r="AH158" s="30"/>
      <c r="AI158" s="30"/>
      <c r="AJ158" s="31">
        <f t="shared" si="13"/>
        <v>211</v>
      </c>
      <c r="AK158" s="34"/>
      <c r="AL158" s="31">
        <f t="shared" si="14"/>
        <v>577</v>
      </c>
      <c r="AM158" s="34">
        <f>2713000000/AL158</f>
        <v>4701906.4124783361</v>
      </c>
      <c r="AN158" s="34"/>
      <c r="AO158" s="52"/>
      <c r="AP158" s="30" t="s">
        <v>1635</v>
      </c>
      <c r="AQ158" s="30" t="s">
        <v>101</v>
      </c>
      <c r="AR158" s="30"/>
      <c r="AS158" s="30"/>
      <c r="AT158" s="30"/>
      <c r="AU158" s="30"/>
      <c r="AV158" s="35">
        <v>60</v>
      </c>
      <c r="AW158" s="34">
        <v>4666667</v>
      </c>
      <c r="AX158" s="35">
        <v>150</v>
      </c>
      <c r="AY158" s="34"/>
      <c r="AZ158" s="34">
        <v>800000000</v>
      </c>
      <c r="BA158" s="32">
        <f t="shared" si="15"/>
        <v>280000020</v>
      </c>
      <c r="BB158" s="30" t="s">
        <v>1636</v>
      </c>
      <c r="BC158" s="30" t="s">
        <v>156</v>
      </c>
      <c r="BD158" s="30" t="s">
        <v>1635</v>
      </c>
      <c r="BE158" s="30" t="s">
        <v>101</v>
      </c>
      <c r="BF158" s="30"/>
      <c r="BG158" s="30"/>
      <c r="BH158" s="30"/>
      <c r="BI158" s="30"/>
      <c r="BJ158" s="36">
        <v>63</v>
      </c>
      <c r="BK158" s="34">
        <v>6000000</v>
      </c>
      <c r="BL158" s="36">
        <v>150</v>
      </c>
      <c r="BM158" s="34"/>
      <c r="BN158" s="34">
        <v>1000000000</v>
      </c>
      <c r="BO158" s="32">
        <f t="shared" si="16"/>
        <v>378000000</v>
      </c>
      <c r="BP158" s="30" t="s">
        <v>1637</v>
      </c>
      <c r="BQ158" s="30" t="s">
        <v>81</v>
      </c>
      <c r="BR158" s="30" t="s">
        <v>1638</v>
      </c>
      <c r="BS158" s="30" t="s">
        <v>101</v>
      </c>
      <c r="BT158" s="30"/>
      <c r="BU158" s="30"/>
      <c r="BV158" s="30"/>
      <c r="BW158" s="30"/>
      <c r="BX158" s="36">
        <v>150</v>
      </c>
      <c r="BY158" s="34">
        <v>4333333</v>
      </c>
      <c r="BZ158" s="36">
        <v>300</v>
      </c>
      <c r="CA158" s="34"/>
      <c r="CB158" s="34">
        <v>1500000000</v>
      </c>
      <c r="CC158" s="32">
        <f t="shared" si="17"/>
        <v>649999950</v>
      </c>
      <c r="CD158" s="30" t="s">
        <v>1639</v>
      </c>
      <c r="CE158" s="30" t="s">
        <v>81</v>
      </c>
      <c r="CF158" s="30" t="s">
        <v>597</v>
      </c>
      <c r="CG158" s="30"/>
      <c r="CH158" s="30"/>
      <c r="CI158" s="64"/>
      <c r="CJ158" s="64"/>
      <c r="CK158" s="64"/>
      <c r="CL158" s="64"/>
    </row>
    <row r="159" spans="2:90" ht="120" x14ac:dyDescent="0.25">
      <c r="B159" s="57"/>
      <c r="C159" s="57"/>
      <c r="D159" s="68"/>
      <c r="E159" s="57"/>
      <c r="F159" s="57"/>
      <c r="G159" s="30"/>
      <c r="H159" s="30" t="s">
        <v>101</v>
      </c>
      <c r="I159" s="35">
        <v>249</v>
      </c>
      <c r="J159" s="30" t="s">
        <v>70</v>
      </c>
      <c r="K159" s="35">
        <v>680</v>
      </c>
      <c r="L159" s="35"/>
      <c r="M159" s="30"/>
      <c r="N159" s="30"/>
      <c r="O159" s="30"/>
      <c r="P159" s="30"/>
      <c r="Q159" s="30"/>
      <c r="R159" s="30" t="s">
        <v>1640</v>
      </c>
      <c r="S159" s="30" t="s">
        <v>1641</v>
      </c>
      <c r="T159" s="30" t="s">
        <v>1642</v>
      </c>
      <c r="U159" s="30" t="s">
        <v>1643</v>
      </c>
      <c r="V159" s="30" t="s">
        <v>1626</v>
      </c>
      <c r="W159" s="30" t="s">
        <v>72</v>
      </c>
      <c r="X159" s="30" t="s">
        <v>88</v>
      </c>
      <c r="Y159" s="30" t="s">
        <v>89</v>
      </c>
      <c r="Z159" s="33">
        <v>45463</v>
      </c>
      <c r="AA159" s="33">
        <v>45463</v>
      </c>
      <c r="AB159" s="30" t="s">
        <v>90</v>
      </c>
      <c r="AC159" s="30"/>
      <c r="AD159" s="30"/>
      <c r="AE159" s="30"/>
      <c r="AF159" s="30"/>
      <c r="AG159" s="30"/>
      <c r="AH159" s="30"/>
      <c r="AI159" s="30"/>
      <c r="AJ159" s="31">
        <f t="shared" si="13"/>
        <v>249</v>
      </c>
      <c r="AK159" s="48"/>
      <c r="AL159" s="31">
        <f t="shared" si="14"/>
        <v>680</v>
      </c>
      <c r="AM159" s="48">
        <f>3325000000/AL159</f>
        <v>4889705.8823529407</v>
      </c>
      <c r="AN159" s="48"/>
      <c r="AO159" s="52"/>
      <c r="AP159" s="30" t="s">
        <v>1644</v>
      </c>
      <c r="AQ159" s="30" t="s">
        <v>101</v>
      </c>
      <c r="AR159" s="30"/>
      <c r="AS159" s="30"/>
      <c r="AT159" s="30"/>
      <c r="AU159" s="30"/>
      <c r="AV159" s="35">
        <v>216</v>
      </c>
      <c r="AW159" s="34">
        <v>4528986</v>
      </c>
      <c r="AX159" s="35">
        <v>497</v>
      </c>
      <c r="AY159" s="34"/>
      <c r="AZ159" s="34">
        <v>2500000000</v>
      </c>
      <c r="BA159" s="32">
        <f t="shared" si="15"/>
        <v>978260976</v>
      </c>
      <c r="BB159" s="30" t="s">
        <v>1636</v>
      </c>
      <c r="BC159" s="30" t="s">
        <v>156</v>
      </c>
      <c r="BD159" s="30" t="s">
        <v>1644</v>
      </c>
      <c r="BE159" s="30" t="s">
        <v>1645</v>
      </c>
      <c r="BF159" s="30"/>
      <c r="BG159" s="30"/>
      <c r="BH159" s="30"/>
      <c r="BI159" s="30"/>
      <c r="BJ159" s="36">
        <v>568</v>
      </c>
      <c r="BK159" s="34">
        <v>5813953</v>
      </c>
      <c r="BL159" s="36">
        <v>688</v>
      </c>
      <c r="BM159" s="34"/>
      <c r="BN159" s="34">
        <v>5000000000</v>
      </c>
      <c r="BO159" s="32">
        <f t="shared" si="16"/>
        <v>3302325304</v>
      </c>
      <c r="BP159" s="30" t="s">
        <v>1637</v>
      </c>
      <c r="BQ159" s="30" t="s">
        <v>81</v>
      </c>
      <c r="BR159" s="30" t="s">
        <v>1644</v>
      </c>
      <c r="BS159" s="30" t="s">
        <v>1646</v>
      </c>
      <c r="BT159" s="30"/>
      <c r="BU159" s="30"/>
      <c r="BV159" s="30"/>
      <c r="BW159" s="30"/>
      <c r="BX159" s="36">
        <v>207</v>
      </c>
      <c r="BY159" s="34">
        <v>5228758</v>
      </c>
      <c r="BZ159" s="36">
        <v>383</v>
      </c>
      <c r="CA159" s="34"/>
      <c r="CB159" s="34">
        <v>2500000000</v>
      </c>
      <c r="CC159" s="32">
        <f t="shared" si="17"/>
        <v>1082352906</v>
      </c>
      <c r="CD159" s="30" t="s">
        <v>1639</v>
      </c>
      <c r="CE159" s="30" t="s">
        <v>81</v>
      </c>
      <c r="CF159" s="30" t="s">
        <v>597</v>
      </c>
      <c r="CG159" s="30"/>
      <c r="CH159" s="30"/>
      <c r="CI159" s="64"/>
      <c r="CJ159" s="64"/>
      <c r="CK159" s="64"/>
      <c r="CL159" s="64"/>
    </row>
    <row r="160" spans="2:90" ht="120" customHeight="1" x14ac:dyDescent="0.25">
      <c r="B160" s="57"/>
      <c r="C160" s="57"/>
      <c r="D160" s="68"/>
      <c r="E160" s="57"/>
      <c r="F160" s="57"/>
      <c r="G160" s="30"/>
      <c r="H160" s="30" t="s">
        <v>97</v>
      </c>
      <c r="I160" s="35" t="s">
        <v>1647</v>
      </c>
      <c r="J160" s="30" t="s">
        <v>70</v>
      </c>
      <c r="K160" s="35">
        <v>914</v>
      </c>
      <c r="L160" s="35"/>
      <c r="M160" s="30"/>
      <c r="N160" s="30"/>
      <c r="O160" s="30"/>
      <c r="P160" s="30"/>
      <c r="Q160" s="30"/>
      <c r="R160" s="30" t="s">
        <v>1648</v>
      </c>
      <c r="S160" s="30" t="s">
        <v>1649</v>
      </c>
      <c r="T160" s="30" t="s">
        <v>1650</v>
      </c>
      <c r="U160" s="30" t="s">
        <v>1625</v>
      </c>
      <c r="V160" s="30" t="s">
        <v>1626</v>
      </c>
      <c r="W160" s="30" t="s">
        <v>72</v>
      </c>
      <c r="X160" s="30" t="s">
        <v>88</v>
      </c>
      <c r="Y160" s="30" t="s">
        <v>89</v>
      </c>
      <c r="Z160" s="33">
        <v>45465</v>
      </c>
      <c r="AA160" s="33">
        <v>45465</v>
      </c>
      <c r="AB160" s="30" t="s">
        <v>90</v>
      </c>
      <c r="AC160" s="30"/>
      <c r="AD160" s="30"/>
      <c r="AE160" s="30"/>
      <c r="AF160" s="30"/>
      <c r="AG160" s="30"/>
      <c r="AH160" s="30"/>
      <c r="AI160" s="30"/>
      <c r="AJ160" s="31" t="str">
        <f t="shared" si="13"/>
        <v>436,65</v>
      </c>
      <c r="AK160" s="34" t="e">
        <f>2838225000/AJ160</f>
        <v>#VALUE!</v>
      </c>
      <c r="AL160" s="31">
        <f t="shared" si="14"/>
        <v>914</v>
      </c>
      <c r="AM160" s="34">
        <f>2648500000/AL160</f>
        <v>2897702.4070021883</v>
      </c>
      <c r="AN160" s="34"/>
      <c r="AO160" s="52"/>
      <c r="AP160" s="30" t="s">
        <v>1651</v>
      </c>
      <c r="AQ160" s="30" t="s">
        <v>97</v>
      </c>
      <c r="AR160" s="30"/>
      <c r="AS160" s="30"/>
      <c r="AT160" s="30"/>
      <c r="AU160" s="30"/>
      <c r="AV160" s="35">
        <v>340</v>
      </c>
      <c r="AW160" s="34">
        <v>6516894</v>
      </c>
      <c r="AX160" s="35">
        <v>340</v>
      </c>
      <c r="AY160" s="34"/>
      <c r="AZ160" s="34">
        <v>3200000000</v>
      </c>
      <c r="BA160" s="32">
        <f t="shared" si="15"/>
        <v>2215743960</v>
      </c>
      <c r="BB160" s="30" t="s">
        <v>1652</v>
      </c>
      <c r="BC160" s="30" t="s">
        <v>81</v>
      </c>
      <c r="BD160" s="30" t="s">
        <v>1651</v>
      </c>
      <c r="BE160" s="30" t="s">
        <v>97</v>
      </c>
      <c r="BF160" s="30"/>
      <c r="BG160" s="30"/>
      <c r="BH160" s="30"/>
      <c r="BI160" s="30"/>
      <c r="BJ160" s="36">
        <v>410</v>
      </c>
      <c r="BK160" s="34">
        <v>6585665</v>
      </c>
      <c r="BL160" s="36">
        <v>390</v>
      </c>
      <c r="BM160" s="34"/>
      <c r="BN160" s="34">
        <v>3800000000</v>
      </c>
      <c r="BO160" s="32">
        <f t="shared" si="16"/>
        <v>2700122650</v>
      </c>
      <c r="BP160" s="30" t="s">
        <v>1653</v>
      </c>
      <c r="BQ160" s="30" t="s">
        <v>81</v>
      </c>
      <c r="BR160" s="30" t="s">
        <v>1651</v>
      </c>
      <c r="BS160" s="30" t="s">
        <v>1483</v>
      </c>
      <c r="BT160" s="30"/>
      <c r="BU160" s="30"/>
      <c r="BV160" s="30"/>
      <c r="BW160" s="30"/>
      <c r="BX160" s="36">
        <v>1600</v>
      </c>
      <c r="BY160" s="34">
        <v>6562500</v>
      </c>
      <c r="BZ160" s="36"/>
      <c r="CA160" s="34"/>
      <c r="CB160" s="34">
        <v>12000000000</v>
      </c>
      <c r="CC160" s="32">
        <f t="shared" si="17"/>
        <v>10500000000</v>
      </c>
      <c r="CD160" s="30" t="s">
        <v>1654</v>
      </c>
      <c r="CE160" s="30" t="s">
        <v>81</v>
      </c>
      <c r="CF160" s="30" t="s">
        <v>597</v>
      </c>
      <c r="CG160" s="30"/>
      <c r="CH160" s="30"/>
      <c r="CI160" s="64"/>
      <c r="CJ160" s="64"/>
      <c r="CK160" s="64"/>
      <c r="CL160" s="64"/>
    </row>
    <row r="161" spans="2:90" ht="120" customHeight="1" x14ac:dyDescent="0.25">
      <c r="B161" s="58"/>
      <c r="C161" s="58"/>
      <c r="D161" s="69"/>
      <c r="E161" s="58"/>
      <c r="F161" s="58"/>
      <c r="G161" s="30"/>
      <c r="H161" s="30" t="s">
        <v>832</v>
      </c>
      <c r="I161" s="35">
        <v>253</v>
      </c>
      <c r="J161" s="30" t="s">
        <v>70</v>
      </c>
      <c r="K161" s="35">
        <v>710</v>
      </c>
      <c r="L161" s="35"/>
      <c r="M161" s="30"/>
      <c r="N161" s="30"/>
      <c r="O161" s="30"/>
      <c r="P161" s="30"/>
      <c r="Q161" s="30"/>
      <c r="R161" s="30" t="s">
        <v>1655</v>
      </c>
      <c r="S161" s="30" t="s">
        <v>1649</v>
      </c>
      <c r="T161" s="30" t="s">
        <v>1650</v>
      </c>
      <c r="U161" s="30" t="s">
        <v>1625</v>
      </c>
      <c r="V161" s="30" t="s">
        <v>1626</v>
      </c>
      <c r="W161" s="30" t="s">
        <v>72</v>
      </c>
      <c r="X161" s="30" t="s">
        <v>88</v>
      </c>
      <c r="Y161" s="30" t="s">
        <v>89</v>
      </c>
      <c r="Z161" s="33">
        <v>45466</v>
      </c>
      <c r="AA161" s="33">
        <v>45466</v>
      </c>
      <c r="AB161" s="30" t="s">
        <v>90</v>
      </c>
      <c r="AC161" s="30"/>
      <c r="AD161" s="30"/>
      <c r="AE161" s="30"/>
      <c r="AF161" s="30"/>
      <c r="AG161" s="30"/>
      <c r="AH161" s="30"/>
      <c r="AI161" s="30"/>
      <c r="AJ161" s="31">
        <f t="shared" si="13"/>
        <v>253</v>
      </c>
      <c r="AK161" s="34"/>
      <c r="AL161" s="31">
        <f t="shared" si="14"/>
        <v>710</v>
      </c>
      <c r="AM161" s="34">
        <f>5809000000/AL161</f>
        <v>8181690.1408450706</v>
      </c>
      <c r="AN161" s="34"/>
      <c r="AO161" s="53"/>
      <c r="AP161" s="30" t="s">
        <v>1651</v>
      </c>
      <c r="AQ161" s="30" t="s">
        <v>1646</v>
      </c>
      <c r="AR161" s="30"/>
      <c r="AS161" s="30"/>
      <c r="AT161" s="30"/>
      <c r="AU161" s="30"/>
      <c r="AV161" s="35">
        <v>144</v>
      </c>
      <c r="AW161" s="34">
        <v>8680556</v>
      </c>
      <c r="AX161" s="35">
        <v>432</v>
      </c>
      <c r="AY161" s="34"/>
      <c r="AZ161" s="34">
        <v>4200000000</v>
      </c>
      <c r="BA161" s="32">
        <f t="shared" si="15"/>
        <v>1250000064</v>
      </c>
      <c r="BB161" s="30" t="s">
        <v>1636</v>
      </c>
      <c r="BC161" s="30" t="s">
        <v>81</v>
      </c>
      <c r="BD161" s="30" t="s">
        <v>1651</v>
      </c>
      <c r="BE161" s="30" t="s">
        <v>101</v>
      </c>
      <c r="BF161" s="30"/>
      <c r="BG161" s="30"/>
      <c r="BH161" s="30"/>
      <c r="BI161" s="30"/>
      <c r="BJ161" s="36">
        <v>72</v>
      </c>
      <c r="BK161" s="34">
        <v>8854167</v>
      </c>
      <c r="BL161" s="36">
        <v>192</v>
      </c>
      <c r="BM161" s="34"/>
      <c r="BN161" s="34">
        <v>2100000000</v>
      </c>
      <c r="BO161" s="32">
        <f t="shared" si="16"/>
        <v>637500024</v>
      </c>
      <c r="BP161" s="30" t="s">
        <v>1637</v>
      </c>
      <c r="BQ161" s="30" t="s">
        <v>81</v>
      </c>
      <c r="BR161" s="30" t="s">
        <v>1651</v>
      </c>
      <c r="BS161" s="30" t="s">
        <v>101</v>
      </c>
      <c r="BT161" s="30"/>
      <c r="BU161" s="30"/>
      <c r="BV161" s="30"/>
      <c r="BW161" s="30"/>
      <c r="BX161" s="36">
        <v>80</v>
      </c>
      <c r="BY161" s="34">
        <v>8928571</v>
      </c>
      <c r="BZ161" s="36">
        <v>252</v>
      </c>
      <c r="CA161" s="34"/>
      <c r="CB161" s="34">
        <v>2500000000</v>
      </c>
      <c r="CC161" s="32">
        <f t="shared" si="17"/>
        <v>714285680</v>
      </c>
      <c r="CD161" s="30" t="s">
        <v>1656</v>
      </c>
      <c r="CE161" s="30" t="s">
        <v>81</v>
      </c>
      <c r="CF161" s="30" t="s">
        <v>597</v>
      </c>
      <c r="CG161" s="30"/>
      <c r="CH161" s="30"/>
      <c r="CI161" s="64"/>
      <c r="CJ161" s="64"/>
      <c r="CK161" s="64"/>
      <c r="CL161" s="64"/>
    </row>
    <row r="162" spans="2:90" ht="120" customHeight="1" x14ac:dyDescent="0.25">
      <c r="B162" s="30" t="s">
        <v>1657</v>
      </c>
      <c r="C162" s="30" t="s">
        <v>1658</v>
      </c>
      <c r="D162" s="33">
        <v>45505</v>
      </c>
      <c r="E162" s="30" t="s">
        <v>93</v>
      </c>
      <c r="F162" s="30" t="s">
        <v>93</v>
      </c>
      <c r="G162" s="30"/>
      <c r="H162" s="30" t="s">
        <v>97</v>
      </c>
      <c r="I162" s="35">
        <v>1137</v>
      </c>
      <c r="J162" s="30" t="s">
        <v>70</v>
      </c>
      <c r="K162" s="35">
        <v>1208</v>
      </c>
      <c r="L162" s="35"/>
      <c r="M162" s="30"/>
      <c r="N162" s="30"/>
      <c r="O162" s="30"/>
      <c r="P162" s="30"/>
      <c r="Q162" s="30"/>
      <c r="R162" s="30" t="s">
        <v>720</v>
      </c>
      <c r="S162" s="30" t="s">
        <v>322</v>
      </c>
      <c r="T162" s="30" t="s">
        <v>323</v>
      </c>
      <c r="U162" s="30" t="s">
        <v>164</v>
      </c>
      <c r="V162" s="30" t="s">
        <v>84</v>
      </c>
      <c r="W162" s="30" t="s">
        <v>72</v>
      </c>
      <c r="X162" s="30" t="s">
        <v>85</v>
      </c>
      <c r="Y162" s="30" t="s">
        <v>73</v>
      </c>
      <c r="Z162" s="33">
        <v>45492</v>
      </c>
      <c r="AA162" s="33">
        <v>45492</v>
      </c>
      <c r="AB162" s="30" t="s">
        <v>74</v>
      </c>
      <c r="AC162" s="30"/>
      <c r="AD162" s="30"/>
      <c r="AE162" s="30"/>
      <c r="AF162" s="30"/>
      <c r="AG162" s="30"/>
      <c r="AH162" s="30"/>
      <c r="AI162" s="30"/>
      <c r="AJ162" s="31">
        <f t="shared" si="13"/>
        <v>1137</v>
      </c>
      <c r="AK162" s="34">
        <f>16372800000/AJ162</f>
        <v>14400000</v>
      </c>
      <c r="AL162" s="31">
        <f t="shared" si="14"/>
        <v>1208</v>
      </c>
      <c r="AM162" s="34">
        <f>3884400000/AL162</f>
        <v>3215562.9139072848</v>
      </c>
      <c r="AN162" s="34"/>
      <c r="AO162" s="34">
        <f t="shared" si="18"/>
        <v>20257200000</v>
      </c>
      <c r="AP162" s="30" t="s">
        <v>721</v>
      </c>
      <c r="AQ162" s="30" t="s">
        <v>83</v>
      </c>
      <c r="AR162" s="30"/>
      <c r="AS162" s="30"/>
      <c r="AT162" s="30"/>
      <c r="AU162" s="30"/>
      <c r="AV162" s="35">
        <v>584</v>
      </c>
      <c r="AW162" s="34">
        <v>14539840</v>
      </c>
      <c r="AX162" s="35">
        <v>199</v>
      </c>
      <c r="AY162" s="34"/>
      <c r="AZ162" s="34">
        <v>10000000000</v>
      </c>
      <c r="BA162" s="32">
        <f t="shared" si="15"/>
        <v>8491266560</v>
      </c>
      <c r="BB162" s="30" t="s">
        <v>722</v>
      </c>
      <c r="BC162" s="30" t="s">
        <v>81</v>
      </c>
      <c r="BD162" s="30" t="s">
        <v>723</v>
      </c>
      <c r="BE162" s="30" t="s">
        <v>83</v>
      </c>
      <c r="BF162" s="30"/>
      <c r="BG162" s="30"/>
      <c r="BH162" s="30"/>
      <c r="BI162" s="30"/>
      <c r="BJ162" s="36">
        <v>220</v>
      </c>
      <c r="BK162" s="34">
        <v>14917955</v>
      </c>
      <c r="BL162" s="36">
        <v>250</v>
      </c>
      <c r="BM162" s="34"/>
      <c r="BN162" s="34">
        <v>5000000000</v>
      </c>
      <c r="BO162" s="32">
        <f t="shared" si="16"/>
        <v>3281950100</v>
      </c>
      <c r="BP162" s="30" t="s">
        <v>724</v>
      </c>
      <c r="BQ162" s="30" t="s">
        <v>81</v>
      </c>
      <c r="BR162" s="30" t="s">
        <v>725</v>
      </c>
      <c r="BS162" s="30" t="s">
        <v>83</v>
      </c>
      <c r="BT162" s="30"/>
      <c r="BU162" s="30"/>
      <c r="BV162" s="30"/>
      <c r="BW162" s="30"/>
      <c r="BX162" s="36">
        <v>590</v>
      </c>
      <c r="BY162" s="34">
        <v>14969322</v>
      </c>
      <c r="BZ162" s="36">
        <v>200</v>
      </c>
      <c r="CA162" s="34"/>
      <c r="CB162" s="34">
        <v>10700000000</v>
      </c>
      <c r="CC162" s="32">
        <f t="shared" si="17"/>
        <v>8831899980</v>
      </c>
      <c r="CD162" s="30" t="s">
        <v>726</v>
      </c>
      <c r="CE162" s="30" t="s">
        <v>81</v>
      </c>
      <c r="CF162" s="30" t="s">
        <v>196</v>
      </c>
      <c r="CG162" s="30"/>
      <c r="CH162" s="30"/>
      <c r="CI162" s="64"/>
      <c r="CJ162" s="64"/>
      <c r="CK162" s="64"/>
      <c r="CL162" s="64"/>
    </row>
    <row r="163" spans="2:90" ht="135" customHeight="1" x14ac:dyDescent="0.25">
      <c r="B163" s="30" t="s">
        <v>1659</v>
      </c>
      <c r="C163" s="30" t="s">
        <v>1660</v>
      </c>
      <c r="D163" s="33">
        <v>45506</v>
      </c>
      <c r="E163" s="30" t="s">
        <v>1661</v>
      </c>
      <c r="F163" s="30" t="s">
        <v>93</v>
      </c>
      <c r="G163" s="30"/>
      <c r="H163" s="30" t="s">
        <v>1662</v>
      </c>
      <c r="I163" s="35">
        <v>8081</v>
      </c>
      <c r="J163" s="30" t="s">
        <v>70</v>
      </c>
      <c r="K163" s="35">
        <v>7355</v>
      </c>
      <c r="L163" s="35"/>
      <c r="M163" s="30" t="s">
        <v>397</v>
      </c>
      <c r="N163" s="30"/>
      <c r="O163" s="30"/>
      <c r="P163" s="30"/>
      <c r="Q163" s="30"/>
      <c r="R163" s="30" t="s">
        <v>1412</v>
      </c>
      <c r="S163" s="30" t="s">
        <v>1663</v>
      </c>
      <c r="T163" s="30" t="s">
        <v>1664</v>
      </c>
      <c r="U163" s="30" t="s">
        <v>1665</v>
      </c>
      <c r="V163" s="30" t="s">
        <v>1666</v>
      </c>
      <c r="W163" s="30" t="s">
        <v>72</v>
      </c>
      <c r="X163" s="30" t="s">
        <v>85</v>
      </c>
      <c r="Y163" s="30" t="s">
        <v>73</v>
      </c>
      <c r="Z163" s="33">
        <v>45477</v>
      </c>
      <c r="AA163" s="33">
        <v>45478</v>
      </c>
      <c r="AB163" s="30" t="s">
        <v>90</v>
      </c>
      <c r="AC163" s="30"/>
      <c r="AD163" s="30"/>
      <c r="AE163" s="30"/>
      <c r="AF163" s="30"/>
      <c r="AG163" s="30"/>
      <c r="AH163" s="30"/>
      <c r="AI163" s="30"/>
      <c r="AJ163" s="31">
        <f t="shared" si="13"/>
        <v>8081</v>
      </c>
      <c r="AK163" s="34">
        <f>29091600000/AJ163</f>
        <v>3600000</v>
      </c>
      <c r="AL163" s="31">
        <f t="shared" si="14"/>
        <v>7355</v>
      </c>
      <c r="AM163" s="34">
        <f>45989300000/AL163</f>
        <v>6252794.0176750505</v>
      </c>
      <c r="AN163" s="34">
        <v>3487937000</v>
      </c>
      <c r="AO163" s="34">
        <f t="shared" si="18"/>
        <v>78568837000</v>
      </c>
      <c r="AP163" s="30" t="s">
        <v>1667</v>
      </c>
      <c r="AQ163" s="30" t="s">
        <v>77</v>
      </c>
      <c r="AR163" s="30"/>
      <c r="AS163" s="30"/>
      <c r="AT163" s="30"/>
      <c r="AU163" s="30"/>
      <c r="AV163" s="35">
        <v>3060</v>
      </c>
      <c r="AW163" s="34">
        <v>4000000</v>
      </c>
      <c r="AX163" s="35"/>
      <c r="AY163" s="34"/>
      <c r="AZ163" s="34">
        <v>15300000000</v>
      </c>
      <c r="BA163" s="32">
        <f t="shared" si="15"/>
        <v>12240000000</v>
      </c>
      <c r="BB163" s="30" t="s">
        <v>1668</v>
      </c>
      <c r="BC163" s="30" t="s">
        <v>81</v>
      </c>
      <c r="BD163" s="30" t="s">
        <v>1667</v>
      </c>
      <c r="BE163" s="30" t="s">
        <v>77</v>
      </c>
      <c r="BF163" s="30"/>
      <c r="BG163" s="30"/>
      <c r="BH163" s="30"/>
      <c r="BI163" s="30"/>
      <c r="BJ163" s="36">
        <v>3300</v>
      </c>
      <c r="BK163" s="34">
        <v>4000000</v>
      </c>
      <c r="BL163" s="36"/>
      <c r="BM163" s="34"/>
      <c r="BN163" s="34">
        <v>16500000000</v>
      </c>
      <c r="BO163" s="32">
        <f t="shared" si="16"/>
        <v>13200000000</v>
      </c>
      <c r="BP163" s="30" t="s">
        <v>1669</v>
      </c>
      <c r="BQ163" s="30" t="s">
        <v>81</v>
      </c>
      <c r="BR163" s="30" t="s">
        <v>1667</v>
      </c>
      <c r="BS163" s="30" t="s">
        <v>97</v>
      </c>
      <c r="BT163" s="30"/>
      <c r="BU163" s="30"/>
      <c r="BV163" s="30"/>
      <c r="BW163" s="30"/>
      <c r="BX163" s="36">
        <v>1647</v>
      </c>
      <c r="BY163" s="34">
        <v>4256041</v>
      </c>
      <c r="BZ163" s="36">
        <v>600</v>
      </c>
      <c r="CA163" s="34"/>
      <c r="CB163" s="34">
        <v>9500000000</v>
      </c>
      <c r="CC163" s="32">
        <f t="shared" si="17"/>
        <v>7009699527</v>
      </c>
      <c r="CD163" s="30" t="s">
        <v>1670</v>
      </c>
      <c r="CE163" s="30" t="s">
        <v>81</v>
      </c>
      <c r="CF163" s="30" t="s">
        <v>597</v>
      </c>
      <c r="CG163" s="30"/>
      <c r="CH163" s="30"/>
      <c r="CI163" s="64"/>
      <c r="CJ163" s="64"/>
      <c r="CK163" s="64"/>
      <c r="CL163" s="64"/>
    </row>
    <row r="164" spans="2:90" ht="135" customHeight="1" x14ac:dyDescent="0.25">
      <c r="B164" s="30" t="s">
        <v>1671</v>
      </c>
      <c r="C164" s="30" t="s">
        <v>1672</v>
      </c>
      <c r="D164" s="33">
        <v>45509</v>
      </c>
      <c r="E164" s="30" t="s">
        <v>1673</v>
      </c>
      <c r="F164" s="30" t="s">
        <v>93</v>
      </c>
      <c r="G164" s="30"/>
      <c r="H164" s="30" t="s">
        <v>1674</v>
      </c>
      <c r="I164" s="35">
        <v>10023</v>
      </c>
      <c r="J164" s="30" t="s">
        <v>70</v>
      </c>
      <c r="K164" s="35">
        <v>8115</v>
      </c>
      <c r="L164" s="35"/>
      <c r="M164" s="30" t="s">
        <v>397</v>
      </c>
      <c r="N164" s="30"/>
      <c r="O164" s="30"/>
      <c r="P164" s="30"/>
      <c r="Q164" s="30"/>
      <c r="R164" s="30" t="s">
        <v>1675</v>
      </c>
      <c r="S164" s="30" t="s">
        <v>1676</v>
      </c>
      <c r="T164" s="30" t="s">
        <v>1677</v>
      </c>
      <c r="U164" s="30" t="s">
        <v>509</v>
      </c>
      <c r="V164" s="30" t="s">
        <v>92</v>
      </c>
      <c r="W164" s="30" t="s">
        <v>72</v>
      </c>
      <c r="X164" s="30" t="s">
        <v>85</v>
      </c>
      <c r="Y164" s="30" t="s">
        <v>73</v>
      </c>
      <c r="Z164" s="33">
        <v>45471</v>
      </c>
      <c r="AA164" s="33">
        <v>45471</v>
      </c>
      <c r="AB164" s="30" t="s">
        <v>90</v>
      </c>
      <c r="AC164" s="30"/>
      <c r="AD164" s="30"/>
      <c r="AE164" s="30"/>
      <c r="AF164" s="30"/>
      <c r="AG164" s="30"/>
      <c r="AH164" s="30"/>
      <c r="AI164" s="30"/>
      <c r="AJ164" s="31">
        <f t="shared" si="13"/>
        <v>10023</v>
      </c>
      <c r="AK164" s="34">
        <f>35080500000/AJ164</f>
        <v>3500000</v>
      </c>
      <c r="AL164" s="31">
        <f t="shared" si="14"/>
        <v>8115</v>
      </c>
      <c r="AM164" s="34">
        <f>55834700000/AL164</f>
        <v>6880431.3000616143</v>
      </c>
      <c r="AN164" s="34">
        <v>3445400000</v>
      </c>
      <c r="AO164" s="34">
        <f t="shared" si="18"/>
        <v>94360600000</v>
      </c>
      <c r="AP164" s="30" t="s">
        <v>1678</v>
      </c>
      <c r="AQ164" s="30" t="s">
        <v>77</v>
      </c>
      <c r="AR164" s="30"/>
      <c r="AS164" s="30"/>
      <c r="AT164" s="30"/>
      <c r="AU164" s="30"/>
      <c r="AV164" s="35">
        <v>7570</v>
      </c>
      <c r="AW164" s="34">
        <v>3698811</v>
      </c>
      <c r="AX164" s="35"/>
      <c r="AY164" s="34"/>
      <c r="AZ164" s="34">
        <v>35000000000</v>
      </c>
      <c r="BA164" s="32">
        <f t="shared" si="15"/>
        <v>27999999270</v>
      </c>
      <c r="BB164" s="30" t="s">
        <v>1679</v>
      </c>
      <c r="BC164" s="30" t="s">
        <v>81</v>
      </c>
      <c r="BD164" s="30" t="s">
        <v>1678</v>
      </c>
      <c r="BE164" s="30" t="s">
        <v>1680</v>
      </c>
      <c r="BF164" s="30"/>
      <c r="BG164" s="30"/>
      <c r="BH164" s="30"/>
      <c r="BI164" s="30"/>
      <c r="BJ164" s="36">
        <v>15000</v>
      </c>
      <c r="BK164" s="34">
        <v>3333333</v>
      </c>
      <c r="BL164" s="36"/>
      <c r="BM164" s="34"/>
      <c r="BN164" s="34">
        <v>57000000000</v>
      </c>
      <c r="BO164" s="32">
        <f t="shared" si="16"/>
        <v>49999995000</v>
      </c>
      <c r="BP164" s="30" t="s">
        <v>1681</v>
      </c>
      <c r="BQ164" s="30" t="s">
        <v>81</v>
      </c>
      <c r="BR164" s="30" t="s">
        <v>1678</v>
      </c>
      <c r="BS164" s="30" t="s">
        <v>97</v>
      </c>
      <c r="BT164" s="30"/>
      <c r="BU164" s="30"/>
      <c r="BV164" s="30"/>
      <c r="BW164" s="30"/>
      <c r="BX164" s="36">
        <v>20863</v>
      </c>
      <c r="BY164" s="34">
        <v>3465771</v>
      </c>
      <c r="BZ164" s="36">
        <v>1632</v>
      </c>
      <c r="CA164" s="34"/>
      <c r="CB164" s="34">
        <v>93883500000</v>
      </c>
      <c r="CC164" s="32">
        <f t="shared" si="17"/>
        <v>72306380373</v>
      </c>
      <c r="CD164" s="30" t="s">
        <v>1682</v>
      </c>
      <c r="CE164" s="30" t="s">
        <v>81</v>
      </c>
      <c r="CF164" s="30" t="s">
        <v>1683</v>
      </c>
      <c r="CG164" s="30"/>
      <c r="CH164" s="30"/>
      <c r="CI164" s="64"/>
      <c r="CJ164" s="64"/>
      <c r="CK164" s="64"/>
      <c r="CL164" s="64"/>
    </row>
    <row r="165" spans="2:90" ht="120" customHeight="1" x14ac:dyDescent="0.25">
      <c r="B165" s="30" t="s">
        <v>1684</v>
      </c>
      <c r="C165" s="30" t="s">
        <v>1685</v>
      </c>
      <c r="D165" s="33">
        <v>45519</v>
      </c>
      <c r="E165" s="30" t="s">
        <v>93</v>
      </c>
      <c r="F165" s="30" t="s">
        <v>93</v>
      </c>
      <c r="G165" s="30"/>
      <c r="H165" s="30" t="s">
        <v>77</v>
      </c>
      <c r="I165" s="35">
        <v>17885</v>
      </c>
      <c r="J165" s="30" t="s">
        <v>70</v>
      </c>
      <c r="K165" s="35"/>
      <c r="L165" s="35"/>
      <c r="M165" s="30"/>
      <c r="N165" s="30"/>
      <c r="O165" s="30"/>
      <c r="P165" s="30"/>
      <c r="Q165" s="30"/>
      <c r="R165" s="30" t="s">
        <v>1686</v>
      </c>
      <c r="S165" s="30" t="s">
        <v>1687</v>
      </c>
      <c r="T165" s="30" t="s">
        <v>1574</v>
      </c>
      <c r="U165" s="30" t="s">
        <v>107</v>
      </c>
      <c r="V165" s="30" t="s">
        <v>92</v>
      </c>
      <c r="W165" s="30" t="s">
        <v>72</v>
      </c>
      <c r="X165" s="30" t="s">
        <v>85</v>
      </c>
      <c r="Y165" s="30" t="s">
        <v>73</v>
      </c>
      <c r="Z165" s="33">
        <v>45366</v>
      </c>
      <c r="AA165" s="33">
        <v>45366</v>
      </c>
      <c r="AB165" s="30" t="s">
        <v>90</v>
      </c>
      <c r="AC165" s="30"/>
      <c r="AD165" s="30"/>
      <c r="AE165" s="30"/>
      <c r="AF165" s="30"/>
      <c r="AG165" s="30"/>
      <c r="AH165" s="30"/>
      <c r="AI165" s="30"/>
      <c r="AJ165" s="31">
        <f t="shared" si="13"/>
        <v>17885</v>
      </c>
      <c r="AK165" s="34">
        <f>39347000000/AJ165</f>
        <v>2200000</v>
      </c>
      <c r="AL165" s="31">
        <f t="shared" si="14"/>
        <v>0</v>
      </c>
      <c r="AM165" s="34"/>
      <c r="AN165" s="34"/>
      <c r="AO165" s="34">
        <f t="shared" si="18"/>
        <v>39347000000</v>
      </c>
      <c r="AP165" s="30" t="s">
        <v>1688</v>
      </c>
      <c r="AQ165" s="30" t="s">
        <v>245</v>
      </c>
      <c r="AR165" s="30"/>
      <c r="AS165" s="30"/>
      <c r="AT165" s="30"/>
      <c r="AU165" s="30"/>
      <c r="AV165" s="35">
        <v>3000</v>
      </c>
      <c r="AW165" s="34">
        <v>2620625</v>
      </c>
      <c r="AX165" s="35">
        <v>2500</v>
      </c>
      <c r="AY165" s="34"/>
      <c r="AZ165" s="34">
        <v>12000000000</v>
      </c>
      <c r="BA165" s="32">
        <f t="shared" si="15"/>
        <v>7861875000</v>
      </c>
      <c r="BB165" s="30" t="s">
        <v>1689</v>
      </c>
      <c r="BC165" s="30" t="s">
        <v>81</v>
      </c>
      <c r="BD165" s="30" t="s">
        <v>1688</v>
      </c>
      <c r="BE165" s="30" t="s">
        <v>245</v>
      </c>
      <c r="BF165" s="30"/>
      <c r="BG165" s="30"/>
      <c r="BH165" s="30"/>
      <c r="BI165" s="30"/>
      <c r="BJ165" s="36">
        <v>19945</v>
      </c>
      <c r="BK165" s="34">
        <v>2153146</v>
      </c>
      <c r="BL165" s="36">
        <v>11000</v>
      </c>
      <c r="BM165" s="34"/>
      <c r="BN165" s="34">
        <v>75000000000</v>
      </c>
      <c r="BO165" s="32">
        <f t="shared" si="16"/>
        <v>42944496970</v>
      </c>
      <c r="BP165" s="30" t="s">
        <v>1690</v>
      </c>
      <c r="BQ165" s="30" t="s">
        <v>81</v>
      </c>
      <c r="BR165" s="30" t="s">
        <v>1688</v>
      </c>
      <c r="BS165" s="30" t="s">
        <v>77</v>
      </c>
      <c r="BT165" s="30"/>
      <c r="BU165" s="30"/>
      <c r="BV165" s="30"/>
      <c r="BW165" s="30"/>
      <c r="BX165" s="36">
        <v>5300</v>
      </c>
      <c r="BY165" s="34">
        <v>3500000</v>
      </c>
      <c r="BZ165" s="36"/>
      <c r="CA165" s="34"/>
      <c r="CB165" s="34">
        <v>24910000000</v>
      </c>
      <c r="CC165" s="32">
        <f t="shared" si="17"/>
        <v>18550000000</v>
      </c>
      <c r="CD165" s="30" t="s">
        <v>1691</v>
      </c>
      <c r="CE165" s="30" t="s">
        <v>81</v>
      </c>
      <c r="CF165" s="30" t="s">
        <v>1692</v>
      </c>
      <c r="CG165" s="30"/>
      <c r="CH165" s="30"/>
      <c r="CI165" s="64"/>
      <c r="CJ165" s="64"/>
      <c r="CK165" s="64"/>
      <c r="CL165" s="64"/>
    </row>
    <row r="166" spans="2:90" ht="105" x14ac:dyDescent="0.25">
      <c r="B166" s="30" t="s">
        <v>1693</v>
      </c>
      <c r="C166" s="30" t="s">
        <v>1694</v>
      </c>
      <c r="D166" s="33">
        <v>45520</v>
      </c>
      <c r="E166" s="30" t="s">
        <v>749</v>
      </c>
      <c r="F166" s="30" t="s">
        <v>749</v>
      </c>
      <c r="G166" s="30"/>
      <c r="H166" s="30" t="s">
        <v>97</v>
      </c>
      <c r="I166" s="35">
        <v>3135</v>
      </c>
      <c r="J166" s="30" t="s">
        <v>70</v>
      </c>
      <c r="K166" s="35">
        <v>1090</v>
      </c>
      <c r="L166" s="35"/>
      <c r="M166" s="30"/>
      <c r="N166" s="30"/>
      <c r="O166" s="30"/>
      <c r="P166" s="30"/>
      <c r="Q166" s="30"/>
      <c r="R166" s="30" t="s">
        <v>1695</v>
      </c>
      <c r="S166" s="30" t="s">
        <v>324</v>
      </c>
      <c r="T166" s="30" t="s">
        <v>495</v>
      </c>
      <c r="U166" s="30" t="s">
        <v>124</v>
      </c>
      <c r="V166" s="30" t="s">
        <v>92</v>
      </c>
      <c r="W166" s="30" t="s">
        <v>72</v>
      </c>
      <c r="X166" s="30" t="s">
        <v>754</v>
      </c>
      <c r="Y166" s="30" t="s">
        <v>169</v>
      </c>
      <c r="Z166" s="33">
        <v>45476</v>
      </c>
      <c r="AA166" s="33">
        <v>45476</v>
      </c>
      <c r="AB166" s="30" t="s">
        <v>90</v>
      </c>
      <c r="AC166" s="30"/>
      <c r="AD166" s="30"/>
      <c r="AE166" s="30"/>
      <c r="AF166" s="30"/>
      <c r="AG166" s="30"/>
      <c r="AH166" s="30"/>
      <c r="AI166" s="30"/>
      <c r="AJ166" s="31">
        <f t="shared" si="13"/>
        <v>3135</v>
      </c>
      <c r="AK166" s="34"/>
      <c r="AL166" s="31">
        <f t="shared" si="14"/>
        <v>1090</v>
      </c>
      <c r="AM166" s="34">
        <v>426000</v>
      </c>
      <c r="AN166" s="34"/>
      <c r="AO166" s="34">
        <f t="shared" si="18"/>
        <v>464340000</v>
      </c>
      <c r="AP166" s="30" t="s">
        <v>1696</v>
      </c>
      <c r="AQ166" s="30" t="s">
        <v>97</v>
      </c>
      <c r="AR166" s="30"/>
      <c r="AS166" s="30"/>
      <c r="AT166" s="30"/>
      <c r="AU166" s="30"/>
      <c r="AV166" s="35">
        <v>2006</v>
      </c>
      <c r="AW166" s="34">
        <v>420000</v>
      </c>
      <c r="AX166" s="35">
        <v>1000</v>
      </c>
      <c r="AY166" s="34"/>
      <c r="AZ166" s="34">
        <v>500000000</v>
      </c>
      <c r="BA166" s="32">
        <f t="shared" si="15"/>
        <v>842520000</v>
      </c>
      <c r="BB166" s="30" t="s">
        <v>1697</v>
      </c>
      <c r="BC166" s="30" t="s">
        <v>81</v>
      </c>
      <c r="BD166" s="30" t="s">
        <v>1698</v>
      </c>
      <c r="BE166" s="30" t="s">
        <v>97</v>
      </c>
      <c r="BF166" s="30"/>
      <c r="BG166" s="30"/>
      <c r="BH166" s="30"/>
      <c r="BI166" s="30"/>
      <c r="BJ166" s="36">
        <v>1105</v>
      </c>
      <c r="BK166" s="34">
        <v>436508</v>
      </c>
      <c r="BL166" s="36">
        <v>504</v>
      </c>
      <c r="BM166" s="34"/>
      <c r="BN166" s="34">
        <v>250000000</v>
      </c>
      <c r="BO166" s="32">
        <f t="shared" si="16"/>
        <v>482341340</v>
      </c>
      <c r="BP166" s="30" t="s">
        <v>1699</v>
      </c>
      <c r="BQ166" s="30" t="s">
        <v>156</v>
      </c>
      <c r="BR166" s="30" t="s">
        <v>1700</v>
      </c>
      <c r="BS166" s="30" t="s">
        <v>97</v>
      </c>
      <c r="BT166" s="30"/>
      <c r="BU166" s="30"/>
      <c r="BV166" s="30"/>
      <c r="BW166" s="30"/>
      <c r="BX166" s="36">
        <v>504</v>
      </c>
      <c r="BY166" s="34">
        <v>476190</v>
      </c>
      <c r="BZ166" s="36">
        <v>400</v>
      </c>
      <c r="CA166" s="34"/>
      <c r="CB166" s="34">
        <v>280000000</v>
      </c>
      <c r="CC166" s="32">
        <f t="shared" si="17"/>
        <v>239999760</v>
      </c>
      <c r="CD166" s="30" t="s">
        <v>1604</v>
      </c>
      <c r="CE166" s="30" t="s">
        <v>81</v>
      </c>
      <c r="CF166" s="30" t="s">
        <v>1701</v>
      </c>
      <c r="CG166" s="30"/>
      <c r="CH166" s="30"/>
      <c r="CI166" s="64"/>
      <c r="CJ166" s="64"/>
      <c r="CK166" s="64"/>
      <c r="CL166" s="64"/>
    </row>
    <row r="167" spans="2:90" ht="120" customHeight="1" x14ac:dyDescent="0.25">
      <c r="B167" s="30" t="s">
        <v>1693</v>
      </c>
      <c r="C167" s="30" t="s">
        <v>1702</v>
      </c>
      <c r="D167" s="33">
        <v>45520</v>
      </c>
      <c r="E167" s="30" t="s">
        <v>749</v>
      </c>
      <c r="F167" s="30" t="s">
        <v>749</v>
      </c>
      <c r="G167" s="30"/>
      <c r="H167" s="30" t="s">
        <v>1703</v>
      </c>
      <c r="I167" s="35">
        <v>350</v>
      </c>
      <c r="J167" s="30" t="s">
        <v>70</v>
      </c>
      <c r="K167" s="35">
        <v>172</v>
      </c>
      <c r="L167" s="35"/>
      <c r="M167" s="30"/>
      <c r="N167" s="30"/>
      <c r="O167" s="30"/>
      <c r="P167" s="30"/>
      <c r="Q167" s="30"/>
      <c r="R167" s="30" t="s">
        <v>1704</v>
      </c>
      <c r="S167" s="30" t="s">
        <v>1705</v>
      </c>
      <c r="T167" s="30" t="s">
        <v>1706</v>
      </c>
      <c r="U167" s="30" t="s">
        <v>114</v>
      </c>
      <c r="V167" s="30" t="s">
        <v>115</v>
      </c>
      <c r="W167" s="30" t="s">
        <v>72</v>
      </c>
      <c r="X167" s="30" t="s">
        <v>754</v>
      </c>
      <c r="Y167" s="30" t="s">
        <v>169</v>
      </c>
      <c r="Z167" s="33">
        <v>45476</v>
      </c>
      <c r="AA167" s="33">
        <v>45477</v>
      </c>
      <c r="AB167" s="30" t="s">
        <v>90</v>
      </c>
      <c r="AC167" s="30"/>
      <c r="AD167" s="30"/>
      <c r="AE167" s="30"/>
      <c r="AF167" s="30"/>
      <c r="AG167" s="30"/>
      <c r="AH167" s="30"/>
      <c r="AI167" s="30"/>
      <c r="AJ167" s="31">
        <f t="shared" si="13"/>
        <v>350</v>
      </c>
      <c r="AK167" s="34"/>
      <c r="AL167" s="31">
        <f t="shared" si="14"/>
        <v>172</v>
      </c>
      <c r="AM167" s="34">
        <v>981000</v>
      </c>
      <c r="AN167" s="34"/>
      <c r="AO167" s="34">
        <f t="shared" si="18"/>
        <v>168732000</v>
      </c>
      <c r="AP167" s="30" t="s">
        <v>1707</v>
      </c>
      <c r="AQ167" s="30" t="s">
        <v>97</v>
      </c>
      <c r="AR167" s="30"/>
      <c r="AS167" s="30"/>
      <c r="AT167" s="30"/>
      <c r="AU167" s="30"/>
      <c r="AV167" s="35">
        <v>1225</v>
      </c>
      <c r="AW167" s="34">
        <v>800000</v>
      </c>
      <c r="AX167" s="35">
        <v>500</v>
      </c>
      <c r="AY167" s="34"/>
      <c r="AZ167" s="34">
        <v>500000000</v>
      </c>
      <c r="BA167" s="32">
        <f t="shared" si="15"/>
        <v>980000000</v>
      </c>
      <c r="BB167" s="30" t="s">
        <v>1708</v>
      </c>
      <c r="BC167" s="30" t="s">
        <v>81</v>
      </c>
      <c r="BD167" s="30" t="s">
        <v>1709</v>
      </c>
      <c r="BE167" s="30" t="s">
        <v>97</v>
      </c>
      <c r="BF167" s="30"/>
      <c r="BG167" s="30"/>
      <c r="BH167" s="30"/>
      <c r="BI167" s="30"/>
      <c r="BJ167" s="36">
        <v>300</v>
      </c>
      <c r="BK167" s="34">
        <v>1000000</v>
      </c>
      <c r="BL167" s="36">
        <v>200</v>
      </c>
      <c r="BM167" s="34"/>
      <c r="BN167" s="34">
        <v>250000000</v>
      </c>
      <c r="BO167" s="32">
        <f t="shared" si="16"/>
        <v>300000000</v>
      </c>
      <c r="BP167" s="30" t="s">
        <v>1710</v>
      </c>
      <c r="BQ167" s="30" t="s">
        <v>81</v>
      </c>
      <c r="BR167" s="30" t="s">
        <v>1711</v>
      </c>
      <c r="BS167" s="30" t="s">
        <v>97</v>
      </c>
      <c r="BT167" s="30"/>
      <c r="BU167" s="30"/>
      <c r="BV167" s="30"/>
      <c r="BW167" s="30"/>
      <c r="BX167" s="36">
        <v>420</v>
      </c>
      <c r="BY167" s="34">
        <v>960000</v>
      </c>
      <c r="BZ167" s="36">
        <v>250</v>
      </c>
      <c r="CA167" s="34"/>
      <c r="CB167" s="34">
        <v>300000000</v>
      </c>
      <c r="CC167" s="32">
        <f t="shared" si="17"/>
        <v>403200000</v>
      </c>
      <c r="CD167" s="30" t="s">
        <v>1712</v>
      </c>
      <c r="CE167" s="30" t="s">
        <v>81</v>
      </c>
      <c r="CF167" s="30" t="s">
        <v>216</v>
      </c>
      <c r="CG167" s="30"/>
      <c r="CH167" s="30"/>
      <c r="CI167" s="64"/>
      <c r="CJ167" s="64"/>
      <c r="CK167" s="64"/>
      <c r="CL167" s="64"/>
    </row>
    <row r="168" spans="2:90" ht="120" customHeight="1" x14ac:dyDescent="0.25">
      <c r="B168" s="54" t="s">
        <v>1713</v>
      </c>
      <c r="C168" s="54" t="s">
        <v>1714</v>
      </c>
      <c r="D168" s="67">
        <v>45524</v>
      </c>
      <c r="E168" s="54" t="s">
        <v>1715</v>
      </c>
      <c r="F168" s="54" t="s">
        <v>845</v>
      </c>
      <c r="G168" s="30"/>
      <c r="H168" s="30" t="s">
        <v>1716</v>
      </c>
      <c r="I168" s="35">
        <v>180600</v>
      </c>
      <c r="J168" s="30" t="s">
        <v>70</v>
      </c>
      <c r="K168" s="35">
        <v>11710</v>
      </c>
      <c r="L168" s="35"/>
      <c r="M168" s="30" t="s">
        <v>1717</v>
      </c>
      <c r="N168" s="30"/>
      <c r="O168" s="30"/>
      <c r="P168" s="30"/>
      <c r="Q168" s="30"/>
      <c r="R168" s="54"/>
      <c r="S168" s="54" t="s">
        <v>1718</v>
      </c>
      <c r="T168" s="54" t="s">
        <v>1719</v>
      </c>
      <c r="U168" s="54" t="s">
        <v>1720</v>
      </c>
      <c r="V168" s="54" t="s">
        <v>121</v>
      </c>
      <c r="W168" s="54" t="s">
        <v>72</v>
      </c>
      <c r="X168" s="54" t="s">
        <v>85</v>
      </c>
      <c r="Y168" s="54" t="s">
        <v>73</v>
      </c>
      <c r="Z168" s="67">
        <v>45483</v>
      </c>
      <c r="AA168" s="67">
        <v>45484</v>
      </c>
      <c r="AB168" s="54" t="s">
        <v>90</v>
      </c>
      <c r="AC168" s="30"/>
      <c r="AD168" s="30"/>
      <c r="AE168" s="30"/>
      <c r="AF168" s="30"/>
      <c r="AG168" s="30"/>
      <c r="AH168" s="30"/>
      <c r="AI168" s="30"/>
      <c r="AJ168" s="31">
        <f t="shared" si="13"/>
        <v>180600</v>
      </c>
      <c r="AK168" s="34">
        <f>8668800000/AJ168</f>
        <v>48000</v>
      </c>
      <c r="AL168" s="31">
        <f t="shared" si="14"/>
        <v>11710</v>
      </c>
      <c r="AM168" s="34">
        <f>24508200000/AL168</f>
        <v>2092929.1204099061</v>
      </c>
      <c r="AN168" s="34">
        <f>1883146000+40149139000+820431000+295622000</f>
        <v>43148338000</v>
      </c>
      <c r="AO168" s="51">
        <f>(AJ168*AK168)+(AL168*AM168)+AN168+AN169+AN170+AN171+AN172+AN173</f>
        <v>78630238000</v>
      </c>
      <c r="AP168" s="30" t="s">
        <v>1721</v>
      </c>
      <c r="AQ168" s="30" t="s">
        <v>77</v>
      </c>
      <c r="AR168" s="30"/>
      <c r="AS168" s="30"/>
      <c r="AT168" s="30"/>
      <c r="AU168" s="30"/>
      <c r="AV168" s="35">
        <v>70000</v>
      </c>
      <c r="AW168" s="34">
        <v>71429</v>
      </c>
      <c r="AX168" s="35"/>
      <c r="AY168" s="34"/>
      <c r="AZ168" s="34">
        <v>7000000000</v>
      </c>
      <c r="BA168" s="32">
        <f t="shared" si="15"/>
        <v>5000030000</v>
      </c>
      <c r="BB168" s="30" t="s">
        <v>1722</v>
      </c>
      <c r="BC168" s="30" t="s">
        <v>81</v>
      </c>
      <c r="BD168" s="30" t="s">
        <v>1723</v>
      </c>
      <c r="BE168" s="30" t="s">
        <v>77</v>
      </c>
      <c r="BF168" s="30"/>
      <c r="BG168" s="30"/>
      <c r="BH168" s="30"/>
      <c r="BI168" s="30"/>
      <c r="BJ168" s="36">
        <v>275000</v>
      </c>
      <c r="BK168" s="34">
        <v>70000</v>
      </c>
      <c r="BL168" s="36"/>
      <c r="BM168" s="34"/>
      <c r="BN168" s="34">
        <v>27500000000</v>
      </c>
      <c r="BO168" s="32">
        <f t="shared" si="16"/>
        <v>19250000000</v>
      </c>
      <c r="BP168" s="30" t="s">
        <v>1724</v>
      </c>
      <c r="BQ168" s="30" t="s">
        <v>81</v>
      </c>
      <c r="BR168" s="30" t="s">
        <v>1721</v>
      </c>
      <c r="BS168" s="30" t="s">
        <v>77</v>
      </c>
      <c r="BT168" s="30"/>
      <c r="BU168" s="30"/>
      <c r="BV168" s="30"/>
      <c r="BW168" s="30"/>
      <c r="BX168" s="36">
        <v>17610</v>
      </c>
      <c r="BY168" s="34">
        <v>113572</v>
      </c>
      <c r="BZ168" s="36"/>
      <c r="CA168" s="34"/>
      <c r="CB168" s="34">
        <v>2800000000</v>
      </c>
      <c r="CC168" s="32">
        <f t="shared" si="17"/>
        <v>2000002920</v>
      </c>
      <c r="CD168" s="30" t="s">
        <v>1725</v>
      </c>
      <c r="CE168" s="30" t="s">
        <v>81</v>
      </c>
      <c r="CF168" s="30" t="s">
        <v>196</v>
      </c>
      <c r="CG168" s="30"/>
      <c r="CH168" s="30"/>
      <c r="CI168" s="64"/>
      <c r="CJ168" s="64"/>
      <c r="CK168" s="64"/>
      <c r="CL168" s="64"/>
    </row>
    <row r="169" spans="2:90" ht="150" customHeight="1" x14ac:dyDescent="0.25">
      <c r="B169" s="57"/>
      <c r="C169" s="57"/>
      <c r="D169" s="68"/>
      <c r="E169" s="57"/>
      <c r="F169" s="57"/>
      <c r="G169" s="30"/>
      <c r="H169" s="30" t="s">
        <v>1726</v>
      </c>
      <c r="I169" s="35"/>
      <c r="J169" s="30"/>
      <c r="K169" s="35"/>
      <c r="L169" s="35"/>
      <c r="M169" s="30"/>
      <c r="N169" s="30"/>
      <c r="O169" s="30"/>
      <c r="P169" s="30"/>
      <c r="Q169" s="30"/>
      <c r="R169" s="57"/>
      <c r="S169" s="57"/>
      <c r="T169" s="57"/>
      <c r="U169" s="57"/>
      <c r="V169" s="57"/>
      <c r="W169" s="57"/>
      <c r="X169" s="57"/>
      <c r="Y169" s="57"/>
      <c r="Z169" s="68"/>
      <c r="AA169" s="68"/>
      <c r="AB169" s="57"/>
      <c r="AC169" s="30"/>
      <c r="AD169" s="30">
        <v>2022</v>
      </c>
      <c r="AE169" s="30" t="s">
        <v>1727</v>
      </c>
      <c r="AF169" s="30"/>
      <c r="AG169" s="30"/>
      <c r="AH169" s="30"/>
      <c r="AI169" s="30"/>
      <c r="AJ169" s="31">
        <f t="shared" si="13"/>
        <v>0</v>
      </c>
      <c r="AK169" s="34"/>
      <c r="AL169" s="31">
        <f t="shared" si="14"/>
        <v>0</v>
      </c>
      <c r="AM169" s="34"/>
      <c r="AN169" s="34">
        <v>756700000</v>
      </c>
      <c r="AO169" s="52"/>
      <c r="AP169" s="30" t="s">
        <v>1728</v>
      </c>
      <c r="AQ169" s="30" t="s">
        <v>1729</v>
      </c>
      <c r="AR169" s="30"/>
      <c r="AS169" s="30"/>
      <c r="AT169" s="30" t="s">
        <v>1730</v>
      </c>
      <c r="AU169" s="30">
        <v>2022</v>
      </c>
      <c r="AV169" s="35"/>
      <c r="AW169" s="34"/>
      <c r="AX169" s="35"/>
      <c r="AY169" s="34"/>
      <c r="AZ169" s="34">
        <v>975000000</v>
      </c>
      <c r="BA169" s="32">
        <f t="shared" si="15"/>
        <v>0</v>
      </c>
      <c r="BB169" s="30" t="s">
        <v>1731</v>
      </c>
      <c r="BC169" s="30" t="s">
        <v>81</v>
      </c>
      <c r="BD169" s="30" t="s">
        <v>1732</v>
      </c>
      <c r="BE169" s="30" t="s">
        <v>1729</v>
      </c>
      <c r="BF169" s="30"/>
      <c r="BG169" s="30"/>
      <c r="BH169" s="30" t="s">
        <v>1730</v>
      </c>
      <c r="BI169" s="30">
        <v>2020</v>
      </c>
      <c r="BJ169" s="36"/>
      <c r="BK169" s="34"/>
      <c r="BL169" s="36"/>
      <c r="BM169" s="34"/>
      <c r="BN169" s="34">
        <v>850000000</v>
      </c>
      <c r="BO169" s="32">
        <f t="shared" si="16"/>
        <v>0</v>
      </c>
      <c r="BP169" s="30" t="s">
        <v>1733</v>
      </c>
      <c r="BQ169" s="30" t="s">
        <v>81</v>
      </c>
      <c r="BR169" s="30" t="s">
        <v>71</v>
      </c>
      <c r="BS169" s="30" t="s">
        <v>1729</v>
      </c>
      <c r="BT169" s="30"/>
      <c r="BU169" s="30"/>
      <c r="BV169" s="30" t="s">
        <v>1730</v>
      </c>
      <c r="BW169" s="30">
        <v>2018</v>
      </c>
      <c r="BX169" s="36"/>
      <c r="BY169" s="34"/>
      <c r="BZ169" s="36"/>
      <c r="CA169" s="34"/>
      <c r="CB169" s="34">
        <v>775000000</v>
      </c>
      <c r="CC169" s="32">
        <f t="shared" si="17"/>
        <v>0</v>
      </c>
      <c r="CD169" s="30" t="s">
        <v>1734</v>
      </c>
      <c r="CE169" s="30" t="s">
        <v>81</v>
      </c>
      <c r="CF169" s="30" t="s">
        <v>196</v>
      </c>
      <c r="CG169" s="30"/>
      <c r="CH169" s="30"/>
      <c r="CI169" s="64"/>
      <c r="CJ169" s="64"/>
      <c r="CK169" s="64"/>
      <c r="CL169" s="64"/>
    </row>
    <row r="170" spans="2:90" ht="60" customHeight="1" x14ac:dyDescent="0.25">
      <c r="B170" s="57"/>
      <c r="C170" s="57"/>
      <c r="D170" s="68"/>
      <c r="E170" s="57"/>
      <c r="F170" s="57"/>
      <c r="G170" s="30"/>
      <c r="H170" s="30" t="s">
        <v>1735</v>
      </c>
      <c r="I170" s="35"/>
      <c r="J170" s="30"/>
      <c r="K170" s="35"/>
      <c r="L170" s="35"/>
      <c r="M170" s="30"/>
      <c r="N170" s="30"/>
      <c r="O170" s="30"/>
      <c r="P170" s="30"/>
      <c r="Q170" s="30"/>
      <c r="R170" s="57"/>
      <c r="S170" s="57"/>
      <c r="T170" s="57"/>
      <c r="U170" s="57"/>
      <c r="V170" s="57"/>
      <c r="W170" s="57"/>
      <c r="X170" s="57"/>
      <c r="Y170" s="57"/>
      <c r="Z170" s="68"/>
      <c r="AA170" s="68"/>
      <c r="AB170" s="57"/>
      <c r="AC170" s="30"/>
      <c r="AD170" s="30">
        <v>2016</v>
      </c>
      <c r="AE170" s="30" t="s">
        <v>1736</v>
      </c>
      <c r="AF170" s="30"/>
      <c r="AG170" s="30"/>
      <c r="AH170" s="30"/>
      <c r="AI170" s="30"/>
      <c r="AJ170" s="31">
        <f t="shared" si="13"/>
        <v>0</v>
      </c>
      <c r="AK170" s="34"/>
      <c r="AL170" s="31">
        <f t="shared" si="14"/>
        <v>0</v>
      </c>
      <c r="AM170" s="34"/>
      <c r="AN170" s="34">
        <v>904800000</v>
      </c>
      <c r="AO170" s="52"/>
      <c r="AP170" s="30" t="s">
        <v>124</v>
      </c>
      <c r="AQ170" s="30" t="s">
        <v>1737</v>
      </c>
      <c r="AR170" s="30"/>
      <c r="AS170" s="30"/>
      <c r="AT170" s="30" t="s">
        <v>1738</v>
      </c>
      <c r="AU170" s="30">
        <v>2016</v>
      </c>
      <c r="AV170" s="35"/>
      <c r="AW170" s="34"/>
      <c r="AX170" s="35"/>
      <c r="AY170" s="34"/>
      <c r="AZ170" s="34">
        <v>925000000</v>
      </c>
      <c r="BA170" s="32">
        <f t="shared" si="15"/>
        <v>0</v>
      </c>
      <c r="BB170" s="30" t="s">
        <v>1739</v>
      </c>
      <c r="BC170" s="30" t="s">
        <v>81</v>
      </c>
      <c r="BD170" s="30" t="s">
        <v>1740</v>
      </c>
      <c r="BE170" s="30" t="s">
        <v>1741</v>
      </c>
      <c r="BF170" s="30"/>
      <c r="BG170" s="30"/>
      <c r="BH170" s="30" t="s">
        <v>1738</v>
      </c>
      <c r="BI170" s="30">
        <v>2017</v>
      </c>
      <c r="BJ170" s="36"/>
      <c r="BK170" s="34"/>
      <c r="BL170" s="36"/>
      <c r="BM170" s="34"/>
      <c r="BN170" s="34">
        <v>900000000</v>
      </c>
      <c r="BO170" s="32">
        <f t="shared" si="16"/>
        <v>0</v>
      </c>
      <c r="BP170" s="30" t="s">
        <v>1742</v>
      </c>
      <c r="BQ170" s="30" t="s">
        <v>81</v>
      </c>
      <c r="BR170" s="30" t="s">
        <v>1743</v>
      </c>
      <c r="BS170" s="30" t="s">
        <v>1737</v>
      </c>
      <c r="BT170" s="30"/>
      <c r="BU170" s="30"/>
      <c r="BV170" s="30" t="s">
        <v>1744</v>
      </c>
      <c r="BW170" s="30">
        <v>2015</v>
      </c>
      <c r="BX170" s="36"/>
      <c r="BY170" s="34"/>
      <c r="BZ170" s="36"/>
      <c r="CA170" s="34"/>
      <c r="CB170" s="34">
        <v>960895463</v>
      </c>
      <c r="CC170" s="32">
        <f t="shared" si="17"/>
        <v>0</v>
      </c>
      <c r="CD170" s="30" t="s">
        <v>1745</v>
      </c>
      <c r="CE170" s="30" t="s">
        <v>81</v>
      </c>
      <c r="CF170" s="30" t="s">
        <v>196</v>
      </c>
      <c r="CG170" s="30"/>
      <c r="CH170" s="30"/>
      <c r="CI170" s="64"/>
      <c r="CJ170" s="64"/>
      <c r="CK170" s="64"/>
      <c r="CL170" s="64"/>
    </row>
    <row r="171" spans="2:90" ht="270" customHeight="1" x14ac:dyDescent="0.25">
      <c r="B171" s="57"/>
      <c r="C171" s="57"/>
      <c r="D171" s="68"/>
      <c r="E171" s="57"/>
      <c r="F171" s="57"/>
      <c r="G171" s="30"/>
      <c r="H171" s="30" t="s">
        <v>1746</v>
      </c>
      <c r="I171" s="35"/>
      <c r="J171" s="30"/>
      <c r="K171" s="35"/>
      <c r="L171" s="35"/>
      <c r="M171" s="30"/>
      <c r="N171" s="30"/>
      <c r="O171" s="30"/>
      <c r="P171" s="30"/>
      <c r="Q171" s="30"/>
      <c r="R171" s="57"/>
      <c r="S171" s="57"/>
      <c r="T171" s="57"/>
      <c r="U171" s="57"/>
      <c r="V171" s="57"/>
      <c r="W171" s="57"/>
      <c r="X171" s="57"/>
      <c r="Y171" s="57"/>
      <c r="Z171" s="68"/>
      <c r="AA171" s="68"/>
      <c r="AB171" s="57"/>
      <c r="AC171" s="30" t="s">
        <v>1747</v>
      </c>
      <c r="AD171" s="30">
        <v>2008</v>
      </c>
      <c r="AE171" s="30" t="s">
        <v>1748</v>
      </c>
      <c r="AF171" s="30"/>
      <c r="AG171" s="30"/>
      <c r="AH171" s="30"/>
      <c r="AI171" s="30"/>
      <c r="AJ171" s="31">
        <f t="shared" si="13"/>
        <v>0</v>
      </c>
      <c r="AK171" s="34"/>
      <c r="AL171" s="31">
        <f t="shared" si="14"/>
        <v>0</v>
      </c>
      <c r="AM171" s="34"/>
      <c r="AN171" s="34">
        <v>72000000</v>
      </c>
      <c r="AO171" s="52"/>
      <c r="AP171" s="30" t="s">
        <v>201</v>
      </c>
      <c r="AQ171" s="30" t="s">
        <v>130</v>
      </c>
      <c r="AR171" s="30"/>
      <c r="AS171" s="30"/>
      <c r="AT171" s="30" t="s">
        <v>1749</v>
      </c>
      <c r="AU171" s="30">
        <v>2008</v>
      </c>
      <c r="AV171" s="35"/>
      <c r="AW171" s="34"/>
      <c r="AX171" s="35"/>
      <c r="AY171" s="34"/>
      <c r="AZ171" s="34">
        <v>99000000</v>
      </c>
      <c r="BA171" s="32">
        <f t="shared" si="15"/>
        <v>0</v>
      </c>
      <c r="BB171" s="30" t="s">
        <v>1750</v>
      </c>
      <c r="BC171" s="30" t="s">
        <v>81</v>
      </c>
      <c r="BD171" s="30" t="s">
        <v>1751</v>
      </c>
      <c r="BE171" s="30" t="s">
        <v>130</v>
      </c>
      <c r="BF171" s="30"/>
      <c r="BG171" s="30"/>
      <c r="BH171" s="30" t="s">
        <v>1752</v>
      </c>
      <c r="BI171" s="30">
        <v>2008</v>
      </c>
      <c r="BJ171" s="36"/>
      <c r="BK171" s="34"/>
      <c r="BL171" s="36"/>
      <c r="BM171" s="34"/>
      <c r="BN171" s="34">
        <v>99500000</v>
      </c>
      <c r="BO171" s="32">
        <f t="shared" si="16"/>
        <v>0</v>
      </c>
      <c r="BP171" s="30" t="s">
        <v>1753</v>
      </c>
      <c r="BQ171" s="30" t="s">
        <v>81</v>
      </c>
      <c r="BR171" s="30" t="s">
        <v>1754</v>
      </c>
      <c r="BS171" s="30" t="s">
        <v>130</v>
      </c>
      <c r="BT171" s="30"/>
      <c r="BU171" s="30"/>
      <c r="BV171" s="30" t="s">
        <v>1752</v>
      </c>
      <c r="BW171" s="30">
        <v>2008</v>
      </c>
      <c r="BX171" s="36"/>
      <c r="BY171" s="34"/>
      <c r="BZ171" s="36"/>
      <c r="CA171" s="34"/>
      <c r="CB171" s="34">
        <v>90000000</v>
      </c>
      <c r="CC171" s="32">
        <f t="shared" si="17"/>
        <v>0</v>
      </c>
      <c r="CD171" s="30" t="s">
        <v>1755</v>
      </c>
      <c r="CE171" s="30" t="s">
        <v>81</v>
      </c>
      <c r="CF171" s="30" t="s">
        <v>196</v>
      </c>
      <c r="CG171" s="30"/>
      <c r="CH171" s="30"/>
      <c r="CI171" s="64"/>
      <c r="CJ171" s="64"/>
      <c r="CK171" s="64"/>
      <c r="CL171" s="64"/>
    </row>
    <row r="172" spans="2:90" ht="45" x14ac:dyDescent="0.25">
      <c r="B172" s="57"/>
      <c r="C172" s="57"/>
      <c r="D172" s="68"/>
      <c r="E172" s="57"/>
      <c r="F172" s="57"/>
      <c r="G172" s="30"/>
      <c r="H172" s="30" t="s">
        <v>1756</v>
      </c>
      <c r="I172" s="35"/>
      <c r="J172" s="30"/>
      <c r="K172" s="35"/>
      <c r="L172" s="35"/>
      <c r="M172" s="30"/>
      <c r="N172" s="30"/>
      <c r="O172" s="30"/>
      <c r="P172" s="30"/>
      <c r="Q172" s="30"/>
      <c r="R172" s="57"/>
      <c r="S172" s="57"/>
      <c r="T172" s="57"/>
      <c r="U172" s="57"/>
      <c r="V172" s="57"/>
      <c r="W172" s="57"/>
      <c r="X172" s="57"/>
      <c r="Y172" s="57"/>
      <c r="Z172" s="68"/>
      <c r="AA172" s="68"/>
      <c r="AB172" s="57"/>
      <c r="AC172" s="30" t="s">
        <v>1747</v>
      </c>
      <c r="AD172" s="30">
        <v>2022</v>
      </c>
      <c r="AE172" s="30" t="s">
        <v>1757</v>
      </c>
      <c r="AF172" s="30"/>
      <c r="AG172" s="30"/>
      <c r="AH172" s="30"/>
      <c r="AI172" s="30"/>
      <c r="AJ172" s="31">
        <f t="shared" si="13"/>
        <v>0</v>
      </c>
      <c r="AK172" s="34"/>
      <c r="AL172" s="31">
        <f t="shared" si="14"/>
        <v>0</v>
      </c>
      <c r="AM172" s="34"/>
      <c r="AN172" s="34">
        <v>335600000</v>
      </c>
      <c r="AO172" s="52"/>
      <c r="AP172" s="30" t="s">
        <v>1758</v>
      </c>
      <c r="AQ172" s="30" t="s">
        <v>130</v>
      </c>
      <c r="AR172" s="30"/>
      <c r="AS172" s="30"/>
      <c r="AT172" s="30" t="s">
        <v>1759</v>
      </c>
      <c r="AU172" s="30">
        <v>2022</v>
      </c>
      <c r="AV172" s="35"/>
      <c r="AW172" s="34"/>
      <c r="AX172" s="35"/>
      <c r="AY172" s="34"/>
      <c r="AZ172" s="34">
        <v>415000000</v>
      </c>
      <c r="BA172" s="32">
        <f t="shared" si="15"/>
        <v>0</v>
      </c>
      <c r="BB172" s="30" t="s">
        <v>1760</v>
      </c>
      <c r="BC172" s="30" t="s">
        <v>81</v>
      </c>
      <c r="BD172" s="30" t="s">
        <v>1728</v>
      </c>
      <c r="BE172" s="30" t="s">
        <v>130</v>
      </c>
      <c r="BF172" s="30"/>
      <c r="BG172" s="30"/>
      <c r="BH172" s="30" t="s">
        <v>1759</v>
      </c>
      <c r="BI172" s="30">
        <v>2022</v>
      </c>
      <c r="BJ172" s="36"/>
      <c r="BK172" s="34"/>
      <c r="BL172" s="36"/>
      <c r="BM172" s="34"/>
      <c r="BN172" s="34">
        <v>485000000</v>
      </c>
      <c r="BO172" s="32">
        <f t="shared" si="16"/>
        <v>0</v>
      </c>
      <c r="BP172" s="30" t="s">
        <v>1761</v>
      </c>
      <c r="BQ172" s="30" t="s">
        <v>81</v>
      </c>
      <c r="BR172" s="30" t="s">
        <v>1762</v>
      </c>
      <c r="BS172" s="30" t="s">
        <v>130</v>
      </c>
      <c r="BT172" s="30"/>
      <c r="BU172" s="30"/>
      <c r="BV172" s="30" t="s">
        <v>1763</v>
      </c>
      <c r="BW172" s="30">
        <v>2020</v>
      </c>
      <c r="BX172" s="36"/>
      <c r="BY172" s="34"/>
      <c r="BZ172" s="36"/>
      <c r="CA172" s="34"/>
      <c r="CB172" s="34">
        <v>380000000</v>
      </c>
      <c r="CC172" s="32">
        <f t="shared" si="17"/>
        <v>0</v>
      </c>
      <c r="CD172" s="30" t="s">
        <v>1764</v>
      </c>
      <c r="CE172" s="30" t="s">
        <v>81</v>
      </c>
      <c r="CF172" s="30" t="s">
        <v>196</v>
      </c>
      <c r="CG172" s="30"/>
      <c r="CH172" s="30"/>
      <c r="CI172" s="64"/>
      <c r="CJ172" s="64"/>
      <c r="CK172" s="64"/>
      <c r="CL172" s="64"/>
    </row>
    <row r="173" spans="2:90" ht="75" customHeight="1" x14ac:dyDescent="0.25">
      <c r="B173" s="58"/>
      <c r="C173" s="58"/>
      <c r="D173" s="69"/>
      <c r="E173" s="58"/>
      <c r="F173" s="58"/>
      <c r="G173" s="30"/>
      <c r="H173" s="30" t="s">
        <v>1765</v>
      </c>
      <c r="I173" s="35"/>
      <c r="J173" s="30"/>
      <c r="K173" s="35"/>
      <c r="L173" s="35"/>
      <c r="M173" s="30"/>
      <c r="N173" s="30"/>
      <c r="O173" s="30"/>
      <c r="P173" s="30"/>
      <c r="Q173" s="30"/>
      <c r="R173" s="58"/>
      <c r="S173" s="58"/>
      <c r="T173" s="58"/>
      <c r="U173" s="58"/>
      <c r="V173" s="58"/>
      <c r="W173" s="58"/>
      <c r="X173" s="58"/>
      <c r="Y173" s="58"/>
      <c r="Z173" s="69"/>
      <c r="AA173" s="69"/>
      <c r="AB173" s="58"/>
      <c r="AC173" s="30" t="s">
        <v>1766</v>
      </c>
      <c r="AD173" s="30">
        <v>2016</v>
      </c>
      <c r="AE173" s="30" t="s">
        <v>1767</v>
      </c>
      <c r="AF173" s="30"/>
      <c r="AG173" s="30"/>
      <c r="AH173" s="30"/>
      <c r="AI173" s="30"/>
      <c r="AJ173" s="31">
        <f t="shared" si="13"/>
        <v>0</v>
      </c>
      <c r="AK173" s="34"/>
      <c r="AL173" s="31">
        <f t="shared" si="14"/>
        <v>0</v>
      </c>
      <c r="AM173" s="34"/>
      <c r="AN173" s="34">
        <v>235800000</v>
      </c>
      <c r="AO173" s="53"/>
      <c r="AP173" s="30" t="s">
        <v>1768</v>
      </c>
      <c r="AQ173" s="30" t="s">
        <v>130</v>
      </c>
      <c r="AR173" s="30"/>
      <c r="AS173" s="30"/>
      <c r="AT173" s="30" t="s">
        <v>1769</v>
      </c>
      <c r="AU173" s="30">
        <v>2016</v>
      </c>
      <c r="AV173" s="35"/>
      <c r="AW173" s="34"/>
      <c r="AX173" s="35"/>
      <c r="AY173" s="34"/>
      <c r="AZ173" s="34">
        <v>265000000</v>
      </c>
      <c r="BA173" s="32">
        <f t="shared" si="15"/>
        <v>0</v>
      </c>
      <c r="BB173" s="30" t="s">
        <v>1770</v>
      </c>
      <c r="BC173" s="30" t="s">
        <v>81</v>
      </c>
      <c r="BD173" s="30" t="s">
        <v>1771</v>
      </c>
      <c r="BE173" s="30" t="s">
        <v>130</v>
      </c>
      <c r="BF173" s="30"/>
      <c r="BG173" s="30"/>
      <c r="BH173" s="30" t="s">
        <v>1769</v>
      </c>
      <c r="BI173" s="30">
        <v>2016</v>
      </c>
      <c r="BJ173" s="36"/>
      <c r="BK173" s="34"/>
      <c r="BL173" s="36"/>
      <c r="BM173" s="34"/>
      <c r="BN173" s="34">
        <v>260000000</v>
      </c>
      <c r="BO173" s="32">
        <f t="shared" si="16"/>
        <v>0</v>
      </c>
      <c r="BP173" s="30" t="s">
        <v>1772</v>
      </c>
      <c r="BQ173" s="30" t="s">
        <v>81</v>
      </c>
      <c r="BR173" s="30" t="s">
        <v>1773</v>
      </c>
      <c r="BS173" s="30" t="s">
        <v>130</v>
      </c>
      <c r="BT173" s="30"/>
      <c r="BU173" s="30"/>
      <c r="BV173" s="30" t="s">
        <v>1769</v>
      </c>
      <c r="BW173" s="30">
        <v>2016</v>
      </c>
      <c r="BX173" s="36"/>
      <c r="BY173" s="34"/>
      <c r="BZ173" s="36"/>
      <c r="CA173" s="34"/>
      <c r="CB173" s="34">
        <v>239500000</v>
      </c>
      <c r="CC173" s="32">
        <f t="shared" si="17"/>
        <v>0</v>
      </c>
      <c r="CD173" s="30" t="s">
        <v>1774</v>
      </c>
      <c r="CE173" s="30" t="s">
        <v>81</v>
      </c>
      <c r="CF173" s="30" t="s">
        <v>196</v>
      </c>
      <c r="CG173" s="30"/>
      <c r="CH173" s="30"/>
      <c r="CI173" s="64"/>
      <c r="CJ173" s="64"/>
      <c r="CK173" s="64"/>
      <c r="CL173" s="64"/>
    </row>
    <row r="174" spans="2:90" ht="135" customHeight="1" x14ac:dyDescent="0.25">
      <c r="B174" s="54" t="s">
        <v>1775</v>
      </c>
      <c r="C174" s="54" t="s">
        <v>1776</v>
      </c>
      <c r="D174" s="67">
        <v>45525</v>
      </c>
      <c r="E174" s="54" t="s">
        <v>1715</v>
      </c>
      <c r="F174" s="54" t="s">
        <v>845</v>
      </c>
      <c r="G174" s="30"/>
      <c r="H174" s="30" t="s">
        <v>1716</v>
      </c>
      <c r="I174" s="35">
        <v>55788</v>
      </c>
      <c r="J174" s="30" t="s">
        <v>70</v>
      </c>
      <c r="K174" s="35">
        <v>5890</v>
      </c>
      <c r="L174" s="35"/>
      <c r="M174" s="30" t="s">
        <v>1717</v>
      </c>
      <c r="N174" s="30"/>
      <c r="O174" s="30"/>
      <c r="P174" s="30"/>
      <c r="Q174" s="30"/>
      <c r="R174" s="54" t="s">
        <v>1777</v>
      </c>
      <c r="S174" s="54" t="s">
        <v>1778</v>
      </c>
      <c r="T174" s="54" t="s">
        <v>1779</v>
      </c>
      <c r="U174" s="54" t="s">
        <v>1780</v>
      </c>
      <c r="V174" s="54" t="s">
        <v>121</v>
      </c>
      <c r="W174" s="54" t="s">
        <v>72</v>
      </c>
      <c r="X174" s="54" t="s">
        <v>85</v>
      </c>
      <c r="Y174" s="54" t="s">
        <v>73</v>
      </c>
      <c r="Z174" s="67">
        <v>45484</v>
      </c>
      <c r="AA174" s="67">
        <v>45485</v>
      </c>
      <c r="AB174" s="54" t="s">
        <v>90</v>
      </c>
      <c r="AC174" s="30"/>
      <c r="AD174" s="30"/>
      <c r="AE174" s="30"/>
      <c r="AF174" s="30"/>
      <c r="AG174" s="30"/>
      <c r="AH174" s="30"/>
      <c r="AI174" s="30"/>
      <c r="AJ174" s="31">
        <f t="shared" si="13"/>
        <v>55788</v>
      </c>
      <c r="AK174" s="34">
        <f>5578800000/AJ174</f>
        <v>100000</v>
      </c>
      <c r="AL174" s="31">
        <f t="shared" si="14"/>
        <v>5890</v>
      </c>
      <c r="AM174" s="34">
        <f>14490000000/AL174</f>
        <v>2460101.8675721562</v>
      </c>
      <c r="AN174" s="34">
        <f>3782994000+85575610000+108634000+158790000</f>
        <v>89626028000</v>
      </c>
      <c r="AO174" s="51">
        <f>(AJ174*AK174)+(AL174*AM174)+AN174+AN175+AN176+AN177</f>
        <v>111011328000</v>
      </c>
      <c r="AP174" s="30" t="s">
        <v>1781</v>
      </c>
      <c r="AQ174" s="30" t="s">
        <v>77</v>
      </c>
      <c r="AR174" s="30"/>
      <c r="AS174" s="30"/>
      <c r="AT174" s="30"/>
      <c r="AU174" s="30"/>
      <c r="AV174" s="35">
        <v>70000</v>
      </c>
      <c r="AW174" s="34">
        <v>160000</v>
      </c>
      <c r="AX174" s="35"/>
      <c r="AY174" s="34"/>
      <c r="AZ174" s="34">
        <v>15400000000</v>
      </c>
      <c r="BA174" s="32">
        <f t="shared" si="15"/>
        <v>11200000000</v>
      </c>
      <c r="BB174" s="30" t="s">
        <v>1782</v>
      </c>
      <c r="BC174" s="30" t="s">
        <v>81</v>
      </c>
      <c r="BD174" s="30" t="s">
        <v>1783</v>
      </c>
      <c r="BE174" s="30" t="s">
        <v>77</v>
      </c>
      <c r="BF174" s="30"/>
      <c r="BG174" s="30"/>
      <c r="BH174" s="30"/>
      <c r="BI174" s="30"/>
      <c r="BJ174" s="36">
        <v>92440</v>
      </c>
      <c r="BK174" s="34">
        <v>120000</v>
      </c>
      <c r="BL174" s="36"/>
      <c r="BM174" s="34"/>
      <c r="BN174" s="34">
        <v>13866000000</v>
      </c>
      <c r="BO174" s="32">
        <f t="shared" si="16"/>
        <v>11092800000</v>
      </c>
      <c r="BP174" s="30" t="s">
        <v>1784</v>
      </c>
      <c r="BQ174" s="30" t="s">
        <v>81</v>
      </c>
      <c r="BR174" s="30" t="s">
        <v>1785</v>
      </c>
      <c r="BS174" s="30" t="s">
        <v>77</v>
      </c>
      <c r="BT174" s="30"/>
      <c r="BU174" s="30"/>
      <c r="BV174" s="30"/>
      <c r="BW174" s="30"/>
      <c r="BX174" s="36">
        <v>18535</v>
      </c>
      <c r="BY174" s="34">
        <v>180000</v>
      </c>
      <c r="BZ174" s="36"/>
      <c r="CA174" s="34"/>
      <c r="CB174" s="34">
        <v>4541075000</v>
      </c>
      <c r="CC174" s="32">
        <f t="shared" si="17"/>
        <v>3336300000</v>
      </c>
      <c r="CD174" s="30" t="s">
        <v>1786</v>
      </c>
      <c r="CE174" s="30" t="s">
        <v>81</v>
      </c>
      <c r="CF174" s="30" t="s">
        <v>196</v>
      </c>
      <c r="CG174" s="30"/>
      <c r="CH174" s="30"/>
      <c r="CI174" s="64"/>
      <c r="CJ174" s="64"/>
      <c r="CK174" s="64"/>
      <c r="CL174" s="64"/>
    </row>
    <row r="175" spans="2:90" ht="135" customHeight="1" x14ac:dyDescent="0.25">
      <c r="B175" s="57"/>
      <c r="C175" s="57"/>
      <c r="D175" s="68"/>
      <c r="E175" s="57"/>
      <c r="F175" s="57"/>
      <c r="G175" s="30"/>
      <c r="H175" s="30" t="s">
        <v>144</v>
      </c>
      <c r="I175" s="35"/>
      <c r="J175" s="30"/>
      <c r="K175" s="35"/>
      <c r="L175" s="35"/>
      <c r="M175" s="30"/>
      <c r="N175" s="30"/>
      <c r="O175" s="30"/>
      <c r="P175" s="30"/>
      <c r="Q175" s="30"/>
      <c r="R175" s="57"/>
      <c r="S175" s="57"/>
      <c r="T175" s="57"/>
      <c r="U175" s="57"/>
      <c r="V175" s="57"/>
      <c r="W175" s="57"/>
      <c r="X175" s="57"/>
      <c r="Y175" s="57"/>
      <c r="Z175" s="68"/>
      <c r="AA175" s="68"/>
      <c r="AB175" s="57"/>
      <c r="AC175" s="30"/>
      <c r="AD175" s="30">
        <v>2016</v>
      </c>
      <c r="AE175" s="30" t="s">
        <v>1736</v>
      </c>
      <c r="AF175" s="30"/>
      <c r="AG175" s="30"/>
      <c r="AH175" s="30"/>
      <c r="AI175" s="30"/>
      <c r="AJ175" s="31">
        <f t="shared" si="13"/>
        <v>0</v>
      </c>
      <c r="AK175" s="34"/>
      <c r="AL175" s="31">
        <f t="shared" si="14"/>
        <v>0</v>
      </c>
      <c r="AM175" s="34"/>
      <c r="AN175" s="34">
        <v>904800000</v>
      </c>
      <c r="AO175" s="52"/>
      <c r="AP175" s="30" t="s">
        <v>124</v>
      </c>
      <c r="AQ175" s="30" t="s">
        <v>1737</v>
      </c>
      <c r="AR175" s="30"/>
      <c r="AS175" s="30"/>
      <c r="AT175" s="30" t="s">
        <v>1738</v>
      </c>
      <c r="AU175" s="30">
        <v>2016</v>
      </c>
      <c r="AV175" s="35"/>
      <c r="AW175" s="34"/>
      <c r="AX175" s="35"/>
      <c r="AY175" s="34"/>
      <c r="AZ175" s="34">
        <v>925000000</v>
      </c>
      <c r="BA175" s="32">
        <f t="shared" si="15"/>
        <v>0</v>
      </c>
      <c r="BB175" s="30" t="s">
        <v>1739</v>
      </c>
      <c r="BC175" s="30" t="s">
        <v>81</v>
      </c>
      <c r="BD175" s="30" t="s">
        <v>1740</v>
      </c>
      <c r="BE175" s="30" t="s">
        <v>1741</v>
      </c>
      <c r="BF175" s="30"/>
      <c r="BG175" s="30"/>
      <c r="BH175" s="30" t="s">
        <v>1738</v>
      </c>
      <c r="BI175" s="30">
        <v>2017</v>
      </c>
      <c r="BJ175" s="36"/>
      <c r="BK175" s="34"/>
      <c r="BL175" s="36"/>
      <c r="BM175" s="34"/>
      <c r="BN175" s="34">
        <v>900000000</v>
      </c>
      <c r="BO175" s="32">
        <f t="shared" si="16"/>
        <v>0</v>
      </c>
      <c r="BP175" s="30" t="s">
        <v>1742</v>
      </c>
      <c r="BQ175" s="30" t="s">
        <v>81</v>
      </c>
      <c r="BR175" s="30" t="s">
        <v>1743</v>
      </c>
      <c r="BS175" s="30" t="s">
        <v>1737</v>
      </c>
      <c r="BT175" s="30"/>
      <c r="BU175" s="30"/>
      <c r="BV175" s="30" t="s">
        <v>1744</v>
      </c>
      <c r="BW175" s="30">
        <v>2015</v>
      </c>
      <c r="BX175" s="36"/>
      <c r="BY175" s="34"/>
      <c r="BZ175" s="36"/>
      <c r="CA175" s="34"/>
      <c r="CB175" s="34">
        <v>960895463</v>
      </c>
      <c r="CC175" s="32">
        <f t="shared" si="17"/>
        <v>0</v>
      </c>
      <c r="CD175" s="30" t="s">
        <v>1745</v>
      </c>
      <c r="CE175" s="30" t="s">
        <v>81</v>
      </c>
      <c r="CF175" s="30" t="s">
        <v>196</v>
      </c>
      <c r="CG175" s="30"/>
      <c r="CH175" s="30"/>
      <c r="CI175" s="64"/>
      <c r="CJ175" s="64"/>
      <c r="CK175" s="64"/>
      <c r="CL175" s="64"/>
    </row>
    <row r="176" spans="2:90" ht="180" customHeight="1" x14ac:dyDescent="0.25">
      <c r="B176" s="57"/>
      <c r="C176" s="57"/>
      <c r="D176" s="68"/>
      <c r="E176" s="57"/>
      <c r="F176" s="57"/>
      <c r="G176" s="30"/>
      <c r="H176" s="30" t="s">
        <v>1787</v>
      </c>
      <c r="I176" s="35"/>
      <c r="J176" s="30"/>
      <c r="K176" s="35"/>
      <c r="L176" s="35"/>
      <c r="M176" s="30"/>
      <c r="N176" s="30"/>
      <c r="O176" s="30"/>
      <c r="P176" s="30"/>
      <c r="Q176" s="30"/>
      <c r="R176" s="57"/>
      <c r="S176" s="57"/>
      <c r="T176" s="57"/>
      <c r="U176" s="57"/>
      <c r="V176" s="57"/>
      <c r="W176" s="57"/>
      <c r="X176" s="57"/>
      <c r="Y176" s="57"/>
      <c r="Z176" s="68"/>
      <c r="AA176" s="68"/>
      <c r="AB176" s="57"/>
      <c r="AC176" s="30" t="s">
        <v>1788</v>
      </c>
      <c r="AD176" s="30">
        <v>2015</v>
      </c>
      <c r="AE176" s="30" t="s">
        <v>1789</v>
      </c>
      <c r="AF176" s="30"/>
      <c r="AG176" s="30"/>
      <c r="AH176" s="30"/>
      <c r="AI176" s="30"/>
      <c r="AJ176" s="31">
        <f t="shared" si="13"/>
        <v>0</v>
      </c>
      <c r="AK176" s="34"/>
      <c r="AL176" s="31">
        <f t="shared" si="14"/>
        <v>0</v>
      </c>
      <c r="AM176" s="34"/>
      <c r="AN176" s="34">
        <v>188200000</v>
      </c>
      <c r="AO176" s="52"/>
      <c r="AP176" s="30" t="s">
        <v>361</v>
      </c>
      <c r="AQ176" s="30" t="s">
        <v>130</v>
      </c>
      <c r="AR176" s="30"/>
      <c r="AS176" s="30"/>
      <c r="AT176" s="30" t="s">
        <v>1790</v>
      </c>
      <c r="AU176" s="30">
        <v>2015</v>
      </c>
      <c r="AV176" s="35"/>
      <c r="AW176" s="34"/>
      <c r="AX176" s="35"/>
      <c r="AY176" s="34"/>
      <c r="AZ176" s="34">
        <v>235000000</v>
      </c>
      <c r="BA176" s="32">
        <f t="shared" si="15"/>
        <v>0</v>
      </c>
      <c r="BB176" s="30" t="s">
        <v>1791</v>
      </c>
      <c r="BC176" s="30" t="s">
        <v>81</v>
      </c>
      <c r="BD176" s="30" t="s">
        <v>1339</v>
      </c>
      <c r="BE176" s="30" t="s">
        <v>130</v>
      </c>
      <c r="BF176" s="30"/>
      <c r="BG176" s="30"/>
      <c r="BH176" s="30" t="s">
        <v>1790</v>
      </c>
      <c r="BI176" s="30">
        <v>2015</v>
      </c>
      <c r="BJ176" s="36"/>
      <c r="BK176" s="34"/>
      <c r="BL176" s="36"/>
      <c r="BM176" s="34"/>
      <c r="BN176" s="34">
        <v>245000000</v>
      </c>
      <c r="BO176" s="32">
        <f t="shared" si="16"/>
        <v>0</v>
      </c>
      <c r="BP176" s="30" t="s">
        <v>1792</v>
      </c>
      <c r="BQ176" s="30" t="s">
        <v>81</v>
      </c>
      <c r="BR176" s="30" t="s">
        <v>1793</v>
      </c>
      <c r="BS176" s="30" t="s">
        <v>130</v>
      </c>
      <c r="BT176" s="30"/>
      <c r="BU176" s="30"/>
      <c r="BV176" s="30" t="s">
        <v>1790</v>
      </c>
      <c r="BW176" s="30">
        <v>2016</v>
      </c>
      <c r="BX176" s="36"/>
      <c r="BY176" s="34"/>
      <c r="BZ176" s="36"/>
      <c r="CA176" s="34"/>
      <c r="CB176" s="34">
        <v>275000000</v>
      </c>
      <c r="CC176" s="32">
        <f t="shared" si="17"/>
        <v>0</v>
      </c>
      <c r="CD176" s="30" t="s">
        <v>1794</v>
      </c>
      <c r="CE176" s="30" t="s">
        <v>81</v>
      </c>
      <c r="CF176" s="30" t="s">
        <v>196</v>
      </c>
      <c r="CG176" s="30"/>
      <c r="CH176" s="30"/>
      <c r="CI176" s="64"/>
      <c r="CJ176" s="64"/>
      <c r="CK176" s="64"/>
      <c r="CL176" s="64"/>
    </row>
    <row r="177" spans="2:90" ht="210" customHeight="1" x14ac:dyDescent="0.25">
      <c r="B177" s="58"/>
      <c r="C177" s="58"/>
      <c r="D177" s="69"/>
      <c r="E177" s="58"/>
      <c r="F177" s="58"/>
      <c r="G177" s="30"/>
      <c r="H177" s="30" t="s">
        <v>1787</v>
      </c>
      <c r="I177" s="35"/>
      <c r="J177" s="30"/>
      <c r="K177" s="35"/>
      <c r="L177" s="35"/>
      <c r="M177" s="30"/>
      <c r="N177" s="30"/>
      <c r="O177" s="30"/>
      <c r="P177" s="30"/>
      <c r="Q177" s="30"/>
      <c r="R177" s="58"/>
      <c r="S177" s="58"/>
      <c r="T177" s="58"/>
      <c r="U177" s="58"/>
      <c r="V177" s="58"/>
      <c r="W177" s="58"/>
      <c r="X177" s="58"/>
      <c r="Y177" s="58"/>
      <c r="Z177" s="69"/>
      <c r="AA177" s="69"/>
      <c r="AB177" s="58"/>
      <c r="AC177" s="30" t="s">
        <v>1795</v>
      </c>
      <c r="AD177" s="30">
        <v>2016</v>
      </c>
      <c r="AE177" s="30" t="s">
        <v>1767</v>
      </c>
      <c r="AF177" s="30"/>
      <c r="AG177" s="30"/>
      <c r="AH177" s="30"/>
      <c r="AI177" s="30"/>
      <c r="AJ177" s="31">
        <f t="shared" si="13"/>
        <v>0</v>
      </c>
      <c r="AK177" s="34"/>
      <c r="AL177" s="31">
        <f t="shared" si="14"/>
        <v>0</v>
      </c>
      <c r="AM177" s="34"/>
      <c r="AN177" s="34">
        <v>223500000</v>
      </c>
      <c r="AO177" s="53"/>
      <c r="AP177" s="30" t="s">
        <v>1768</v>
      </c>
      <c r="AQ177" s="30" t="s">
        <v>130</v>
      </c>
      <c r="AR177" s="30"/>
      <c r="AS177" s="30"/>
      <c r="AT177" s="30" t="s">
        <v>1769</v>
      </c>
      <c r="AU177" s="30">
        <v>2016</v>
      </c>
      <c r="AV177" s="35"/>
      <c r="AW177" s="34"/>
      <c r="AX177" s="35"/>
      <c r="AY177" s="34"/>
      <c r="AZ177" s="34">
        <v>265000000</v>
      </c>
      <c r="BA177" s="32">
        <f t="shared" si="15"/>
        <v>0</v>
      </c>
      <c r="BB177" s="30" t="s">
        <v>1770</v>
      </c>
      <c r="BC177" s="30" t="s">
        <v>81</v>
      </c>
      <c r="BD177" s="30" t="s">
        <v>1771</v>
      </c>
      <c r="BE177" s="30" t="s">
        <v>130</v>
      </c>
      <c r="BF177" s="30"/>
      <c r="BG177" s="30"/>
      <c r="BH177" s="30" t="s">
        <v>1769</v>
      </c>
      <c r="BI177" s="30">
        <v>2016</v>
      </c>
      <c r="BJ177" s="36"/>
      <c r="BK177" s="34"/>
      <c r="BL177" s="36"/>
      <c r="BM177" s="34"/>
      <c r="BN177" s="34">
        <v>260000000</v>
      </c>
      <c r="BO177" s="32">
        <f t="shared" si="16"/>
        <v>0</v>
      </c>
      <c r="BP177" s="30" t="s">
        <v>1772</v>
      </c>
      <c r="BQ177" s="30" t="s">
        <v>81</v>
      </c>
      <c r="BR177" s="30" t="s">
        <v>1773</v>
      </c>
      <c r="BS177" s="30" t="s">
        <v>130</v>
      </c>
      <c r="BT177" s="30"/>
      <c r="BU177" s="30"/>
      <c r="BV177" s="30" t="s">
        <v>1769</v>
      </c>
      <c r="BW177" s="30">
        <v>2016</v>
      </c>
      <c r="BX177" s="36"/>
      <c r="BY177" s="34"/>
      <c r="BZ177" s="36"/>
      <c r="CA177" s="34"/>
      <c r="CB177" s="34">
        <v>239500000</v>
      </c>
      <c r="CC177" s="32">
        <f t="shared" si="17"/>
        <v>0</v>
      </c>
      <c r="CD177" s="30" t="s">
        <v>1774</v>
      </c>
      <c r="CE177" s="30" t="s">
        <v>81</v>
      </c>
      <c r="CF177" s="30" t="s">
        <v>196</v>
      </c>
      <c r="CG177" s="30"/>
      <c r="CH177" s="30"/>
      <c r="CI177" s="64"/>
      <c r="CJ177" s="64"/>
      <c r="CK177" s="64"/>
      <c r="CL177" s="64"/>
    </row>
    <row r="178" spans="2:90" ht="210" customHeight="1" x14ac:dyDescent="0.25">
      <c r="B178" s="30" t="s">
        <v>1796</v>
      </c>
      <c r="C178" s="30" t="s">
        <v>1797</v>
      </c>
      <c r="D178" s="33">
        <v>45525</v>
      </c>
      <c r="E178" s="30" t="s">
        <v>1798</v>
      </c>
      <c r="F178" s="30" t="s">
        <v>1798</v>
      </c>
      <c r="G178" s="30"/>
      <c r="H178" s="30" t="s">
        <v>148</v>
      </c>
      <c r="I178" s="35">
        <v>4982</v>
      </c>
      <c r="J178" s="30" t="s">
        <v>70</v>
      </c>
      <c r="K178" s="35">
        <v>2881</v>
      </c>
      <c r="L178" s="35"/>
      <c r="M178" s="30" t="s">
        <v>397</v>
      </c>
      <c r="N178" s="30"/>
      <c r="O178" s="30"/>
      <c r="P178" s="30"/>
      <c r="Q178" s="30" t="s">
        <v>1799</v>
      </c>
      <c r="R178" s="30" t="s">
        <v>1800</v>
      </c>
      <c r="S178" s="30" t="s">
        <v>1801</v>
      </c>
      <c r="T178" s="30" t="s">
        <v>199</v>
      </c>
      <c r="U178" s="30" t="s">
        <v>107</v>
      </c>
      <c r="V178" s="30" t="s">
        <v>92</v>
      </c>
      <c r="W178" s="30" t="s">
        <v>72</v>
      </c>
      <c r="X178" s="30" t="s">
        <v>142</v>
      </c>
      <c r="Y178" s="30" t="s">
        <v>89</v>
      </c>
      <c r="Z178" s="33">
        <v>45517</v>
      </c>
      <c r="AA178" s="33">
        <v>45504</v>
      </c>
      <c r="AB178" s="30" t="s">
        <v>90</v>
      </c>
      <c r="AC178" s="30"/>
      <c r="AD178" s="30"/>
      <c r="AE178" s="30"/>
      <c r="AF178" s="30"/>
      <c r="AG178" s="30"/>
      <c r="AH178" s="30"/>
      <c r="AI178" s="30"/>
      <c r="AJ178" s="31">
        <f t="shared" si="13"/>
        <v>4982</v>
      </c>
      <c r="AK178" s="34">
        <f>19928000000/AJ178</f>
        <v>4000000</v>
      </c>
      <c r="AL178" s="31">
        <f t="shared" si="14"/>
        <v>2881</v>
      </c>
      <c r="AM178" s="34">
        <f>4029400000/AL178</f>
        <v>1398611.5931968067</v>
      </c>
      <c r="AN178" s="34">
        <v>449704000</v>
      </c>
      <c r="AO178" s="34">
        <f t="shared" si="18"/>
        <v>24407104000</v>
      </c>
      <c r="AP178" s="30" t="s">
        <v>1802</v>
      </c>
      <c r="AQ178" s="30" t="s">
        <v>97</v>
      </c>
      <c r="AR178" s="30"/>
      <c r="AS178" s="30"/>
      <c r="AT178" s="30"/>
      <c r="AU178" s="30"/>
      <c r="AV178" s="35">
        <v>5000</v>
      </c>
      <c r="AW178" s="34">
        <v>4117500</v>
      </c>
      <c r="AX178" s="35">
        <v>1250</v>
      </c>
      <c r="AY178" s="34"/>
      <c r="AZ178" s="34">
        <v>30000000000</v>
      </c>
      <c r="BA178" s="32">
        <f>AV178*AW178+(2730000*AX178)</f>
        <v>24000000000</v>
      </c>
      <c r="BB178" s="30" t="s">
        <v>1803</v>
      </c>
      <c r="BC178" s="30" t="s">
        <v>81</v>
      </c>
      <c r="BD178" s="30" t="s">
        <v>1804</v>
      </c>
      <c r="BE178" s="30" t="s">
        <v>148</v>
      </c>
      <c r="BF178" s="30"/>
      <c r="BG178" s="30"/>
      <c r="BH178" s="30"/>
      <c r="BI178" s="30"/>
      <c r="BJ178" s="36">
        <v>10567</v>
      </c>
      <c r="BK178" s="34">
        <v>3829487</v>
      </c>
      <c r="BL178" s="36">
        <v>6020</v>
      </c>
      <c r="BM178" s="34"/>
      <c r="BN178" s="34">
        <v>55000000000</v>
      </c>
      <c r="BO178" s="32">
        <f>BJ178*BK178+(1085350*BL178)</f>
        <v>46999996129</v>
      </c>
      <c r="BP178" s="30" t="s">
        <v>1805</v>
      </c>
      <c r="BQ178" s="30" t="s">
        <v>81</v>
      </c>
      <c r="BR178" s="30" t="s">
        <v>1806</v>
      </c>
      <c r="BS178" s="30" t="s">
        <v>148</v>
      </c>
      <c r="BT178" s="30"/>
      <c r="BU178" s="30"/>
      <c r="BV178" s="30"/>
      <c r="BW178" s="30"/>
      <c r="BX178" s="36">
        <v>31765</v>
      </c>
      <c r="BY178" s="34">
        <v>3169926</v>
      </c>
      <c r="BZ178" s="36">
        <v>17789</v>
      </c>
      <c r="CA178" s="34"/>
      <c r="CB178" s="34">
        <v>133020400000</v>
      </c>
      <c r="CC178" s="32">
        <f>BX178*BY178+(1085350*BZ178)</f>
        <v>119999990540</v>
      </c>
      <c r="CD178" s="30" t="s">
        <v>1807</v>
      </c>
      <c r="CE178" s="30" t="s">
        <v>81</v>
      </c>
      <c r="CF178" s="30" t="s">
        <v>379</v>
      </c>
      <c r="CG178" s="30"/>
      <c r="CH178" s="30"/>
      <c r="CI178" s="64"/>
      <c r="CJ178" s="64"/>
      <c r="CK178" s="64"/>
      <c r="CL178" s="64"/>
    </row>
    <row r="179" spans="2:90" ht="165" customHeight="1" x14ac:dyDescent="0.25">
      <c r="B179" s="30" t="s">
        <v>1808</v>
      </c>
      <c r="C179" s="30" t="s">
        <v>1809</v>
      </c>
      <c r="D179" s="33">
        <v>45527</v>
      </c>
      <c r="E179" s="30" t="s">
        <v>93</v>
      </c>
      <c r="F179" s="30" t="s">
        <v>93</v>
      </c>
      <c r="G179" s="30"/>
      <c r="H179" s="30" t="s">
        <v>128</v>
      </c>
      <c r="I179" s="35" t="s">
        <v>1810</v>
      </c>
      <c r="J179" s="30" t="s">
        <v>70</v>
      </c>
      <c r="K179" s="35"/>
      <c r="L179" s="35"/>
      <c r="M179" s="30"/>
      <c r="N179" s="30"/>
      <c r="O179" s="30"/>
      <c r="P179" s="30"/>
      <c r="Q179" s="30" t="s">
        <v>1811</v>
      </c>
      <c r="R179" s="30" t="s">
        <v>1812</v>
      </c>
      <c r="S179" s="30" t="s">
        <v>1813</v>
      </c>
      <c r="T179" s="30" t="s">
        <v>1814</v>
      </c>
      <c r="U179" s="30" t="s">
        <v>176</v>
      </c>
      <c r="V179" s="30" t="s">
        <v>80</v>
      </c>
      <c r="W179" s="30" t="s">
        <v>72</v>
      </c>
      <c r="X179" s="30" t="s">
        <v>85</v>
      </c>
      <c r="Y179" s="30" t="s">
        <v>73</v>
      </c>
      <c r="Z179" s="33">
        <v>45513</v>
      </c>
      <c r="AA179" s="33">
        <v>45513</v>
      </c>
      <c r="AB179" s="30" t="s">
        <v>74</v>
      </c>
      <c r="AC179" s="30"/>
      <c r="AD179" s="30"/>
      <c r="AE179" s="30"/>
      <c r="AF179" s="30"/>
      <c r="AG179" s="30"/>
      <c r="AH179" s="30"/>
      <c r="AI179" s="30"/>
      <c r="AJ179" s="31" t="str">
        <f t="shared" si="13"/>
        <v>46,13</v>
      </c>
      <c r="AK179" s="34">
        <v>14080827</v>
      </c>
      <c r="AL179" s="31">
        <f t="shared" si="14"/>
        <v>0</v>
      </c>
      <c r="AM179" s="34"/>
      <c r="AN179" s="34"/>
      <c r="AO179" s="34" t="e">
        <f>(AJ179*AK179)</f>
        <v>#VALUE!</v>
      </c>
      <c r="AP179" s="30" t="s">
        <v>1815</v>
      </c>
      <c r="AQ179" s="30" t="s">
        <v>128</v>
      </c>
      <c r="AR179" s="30"/>
      <c r="AS179" s="30"/>
      <c r="AT179" s="30"/>
      <c r="AU179" s="30"/>
      <c r="AV179" s="35">
        <v>55</v>
      </c>
      <c r="AW179" s="34">
        <v>13818182</v>
      </c>
      <c r="AX179" s="35"/>
      <c r="AY179" s="34"/>
      <c r="AZ179" s="34">
        <v>850000000</v>
      </c>
      <c r="BA179" s="32">
        <f>AV179*AW179</f>
        <v>760000010</v>
      </c>
      <c r="BB179" s="30" t="s">
        <v>1816</v>
      </c>
      <c r="BC179" s="30" t="s">
        <v>81</v>
      </c>
      <c r="BD179" s="30" t="s">
        <v>1817</v>
      </c>
      <c r="BE179" s="30" t="s">
        <v>128</v>
      </c>
      <c r="BF179" s="30"/>
      <c r="BG179" s="30"/>
      <c r="BH179" s="30"/>
      <c r="BI179" s="30"/>
      <c r="BJ179" s="36">
        <v>46</v>
      </c>
      <c r="BK179" s="34">
        <v>13804348</v>
      </c>
      <c r="BL179" s="36"/>
      <c r="BM179" s="34"/>
      <c r="BN179" s="34">
        <v>700000000</v>
      </c>
      <c r="BO179" s="32">
        <f t="shared" si="16"/>
        <v>635000008</v>
      </c>
      <c r="BP179" s="30" t="s">
        <v>1818</v>
      </c>
      <c r="BQ179" s="30" t="s">
        <v>81</v>
      </c>
      <c r="BR179" s="30" t="s">
        <v>1819</v>
      </c>
      <c r="BS179" s="30" t="s">
        <v>128</v>
      </c>
      <c r="BT179" s="30"/>
      <c r="BU179" s="30"/>
      <c r="BV179" s="30"/>
      <c r="BW179" s="30"/>
      <c r="BX179" s="36">
        <v>48</v>
      </c>
      <c r="BY179" s="34">
        <v>13791667</v>
      </c>
      <c r="BZ179" s="36"/>
      <c r="CA179" s="34"/>
      <c r="CB179" s="34">
        <v>750000000</v>
      </c>
      <c r="CC179" s="32">
        <f t="shared" si="17"/>
        <v>662000016</v>
      </c>
      <c r="CD179" s="30" t="s">
        <v>1820</v>
      </c>
      <c r="CE179" s="30" t="s">
        <v>81</v>
      </c>
      <c r="CF179" s="30" t="s">
        <v>379</v>
      </c>
      <c r="CG179" s="30"/>
      <c r="CH179" s="30"/>
      <c r="CI179" s="64"/>
      <c r="CJ179" s="64"/>
      <c r="CK179" s="64"/>
      <c r="CL179" s="64"/>
    </row>
    <row r="180" spans="2:90" ht="135" x14ac:dyDescent="0.25">
      <c r="B180" s="54" t="s">
        <v>1821</v>
      </c>
      <c r="C180" s="54" t="s">
        <v>1822</v>
      </c>
      <c r="D180" s="67">
        <v>45537</v>
      </c>
      <c r="E180" s="54" t="s">
        <v>1823</v>
      </c>
      <c r="F180" s="54" t="s">
        <v>93</v>
      </c>
      <c r="G180" s="30">
        <v>1</v>
      </c>
      <c r="H180" s="30" t="s">
        <v>1824</v>
      </c>
      <c r="I180" s="35"/>
      <c r="J180" s="30" t="s">
        <v>70</v>
      </c>
      <c r="K180" s="35">
        <v>552</v>
      </c>
      <c r="L180" s="35"/>
      <c r="M180" s="30" t="s">
        <v>1825</v>
      </c>
      <c r="N180" s="30"/>
      <c r="O180" s="30" t="s">
        <v>1826</v>
      </c>
      <c r="P180" s="30" t="s">
        <v>1827</v>
      </c>
      <c r="Q180" s="30"/>
      <c r="R180" s="54" t="s">
        <v>1828</v>
      </c>
      <c r="S180" s="54" t="s">
        <v>1829</v>
      </c>
      <c r="T180" s="54" t="s">
        <v>1830</v>
      </c>
      <c r="U180" s="54" t="s">
        <v>1831</v>
      </c>
      <c r="V180" s="54" t="s">
        <v>1626</v>
      </c>
      <c r="W180" s="54" t="s">
        <v>72</v>
      </c>
      <c r="X180" s="54" t="s">
        <v>85</v>
      </c>
      <c r="Y180" s="54" t="s">
        <v>73</v>
      </c>
      <c r="Z180" s="67">
        <v>45405</v>
      </c>
      <c r="AA180" s="67">
        <v>45406</v>
      </c>
      <c r="AB180" s="54" t="s">
        <v>90</v>
      </c>
      <c r="AC180" s="30"/>
      <c r="AD180" s="30"/>
      <c r="AE180" s="30"/>
      <c r="AF180" s="30"/>
      <c r="AG180" s="30"/>
      <c r="AH180" s="30"/>
      <c r="AI180" s="30"/>
      <c r="AJ180" s="31">
        <f t="shared" si="13"/>
        <v>0</v>
      </c>
      <c r="AK180" s="34"/>
      <c r="AL180" s="31">
        <f t="shared" si="14"/>
        <v>552</v>
      </c>
      <c r="AM180" s="34">
        <f>622700000/AL180</f>
        <v>1128079.7101449275</v>
      </c>
      <c r="AN180" s="34">
        <f>367754000+3613489000+8848228000+101333000</f>
        <v>12930804000</v>
      </c>
      <c r="AO180" s="51">
        <f>(AJ180*AK180)+(AL180*AM180)+AN180+AO181</f>
        <v>13553504000</v>
      </c>
      <c r="AP180" s="30"/>
      <c r="AQ180" s="30"/>
      <c r="AR180" s="30"/>
      <c r="AS180" s="30"/>
      <c r="AT180" s="30"/>
      <c r="AU180" s="30"/>
      <c r="AV180" s="35"/>
      <c r="AW180" s="34"/>
      <c r="AX180" s="35"/>
      <c r="AY180" s="34"/>
      <c r="AZ180" s="34"/>
      <c r="BA180" s="32">
        <f>AV180*AW180</f>
        <v>0</v>
      </c>
      <c r="BB180" s="30"/>
      <c r="BC180" s="30"/>
      <c r="BD180" s="30"/>
      <c r="BE180" s="30"/>
      <c r="BF180" s="30"/>
      <c r="BG180" s="30"/>
      <c r="BH180" s="30"/>
      <c r="BI180" s="30"/>
      <c r="BJ180" s="36"/>
      <c r="BK180" s="34"/>
      <c r="BL180" s="36"/>
      <c r="BM180" s="34"/>
      <c r="BN180" s="34"/>
      <c r="BO180" s="32">
        <f t="shared" si="16"/>
        <v>0</v>
      </c>
      <c r="BP180" s="30"/>
      <c r="BQ180" s="30"/>
      <c r="BR180" s="30"/>
      <c r="BS180" s="30"/>
      <c r="BT180" s="30"/>
      <c r="BU180" s="30"/>
      <c r="BV180" s="30"/>
      <c r="BW180" s="30"/>
      <c r="BX180" s="36"/>
      <c r="BY180" s="34"/>
      <c r="BZ180" s="36"/>
      <c r="CA180" s="34"/>
      <c r="CB180" s="34"/>
      <c r="CC180" s="32">
        <f t="shared" si="17"/>
        <v>0</v>
      </c>
      <c r="CD180" s="30"/>
      <c r="CE180" s="30"/>
      <c r="CF180" s="54" t="s">
        <v>597</v>
      </c>
      <c r="CG180" s="30"/>
      <c r="CH180" s="30"/>
      <c r="CI180" s="64"/>
      <c r="CJ180" s="64"/>
      <c r="CK180" s="64"/>
      <c r="CL180" s="64"/>
    </row>
    <row r="181" spans="2:90" ht="135" customHeight="1" x14ac:dyDescent="0.25">
      <c r="B181" s="57"/>
      <c r="C181" s="57"/>
      <c r="D181" s="68"/>
      <c r="E181" s="57"/>
      <c r="F181" s="57"/>
      <c r="G181" s="30">
        <v>2</v>
      </c>
      <c r="H181" s="54" t="s">
        <v>130</v>
      </c>
      <c r="I181" s="35"/>
      <c r="J181" s="30"/>
      <c r="K181" s="35"/>
      <c r="L181" s="35"/>
      <c r="M181" s="30"/>
      <c r="N181" s="30"/>
      <c r="O181" s="30"/>
      <c r="P181" s="30"/>
      <c r="Q181" s="30"/>
      <c r="R181" s="57"/>
      <c r="S181" s="57"/>
      <c r="T181" s="57"/>
      <c r="U181" s="57"/>
      <c r="V181" s="57"/>
      <c r="W181" s="57"/>
      <c r="X181" s="57"/>
      <c r="Y181" s="57"/>
      <c r="Z181" s="68"/>
      <c r="AA181" s="68"/>
      <c r="AB181" s="57"/>
      <c r="AC181" s="30" t="s">
        <v>1832</v>
      </c>
      <c r="AD181" s="30">
        <v>2012</v>
      </c>
      <c r="AE181" s="30" t="s">
        <v>1833</v>
      </c>
      <c r="AF181" s="30"/>
      <c r="AG181" s="30"/>
      <c r="AH181" s="30"/>
      <c r="AI181" s="30"/>
      <c r="AJ181" s="31">
        <f t="shared" si="13"/>
        <v>0</v>
      </c>
      <c r="AK181" s="34"/>
      <c r="AL181" s="31">
        <f t="shared" si="14"/>
        <v>0</v>
      </c>
      <c r="AM181" s="34"/>
      <c r="AN181" s="34">
        <f>287924332*3</f>
        <v>863772996</v>
      </c>
      <c r="AO181" s="52"/>
      <c r="AP181" s="30" t="s">
        <v>433</v>
      </c>
      <c r="AQ181" s="30" t="s">
        <v>143</v>
      </c>
      <c r="AR181" s="30"/>
      <c r="AS181" s="30"/>
      <c r="AT181" s="30" t="s">
        <v>1834</v>
      </c>
      <c r="AU181" s="30">
        <v>2006</v>
      </c>
      <c r="AV181" s="35"/>
      <c r="AW181" s="34"/>
      <c r="AX181" s="35"/>
      <c r="AY181" s="34"/>
      <c r="AZ181" s="34">
        <v>250000000</v>
      </c>
      <c r="BA181" s="32">
        <f>AZ181-40000000</f>
        <v>210000000</v>
      </c>
      <c r="BB181" s="30" t="s">
        <v>1835</v>
      </c>
      <c r="BC181" s="30" t="s">
        <v>81</v>
      </c>
      <c r="BD181" s="30" t="s">
        <v>433</v>
      </c>
      <c r="BE181" s="30" t="s">
        <v>143</v>
      </c>
      <c r="BF181" s="30"/>
      <c r="BG181" s="30"/>
      <c r="BH181" s="30" t="s">
        <v>1834</v>
      </c>
      <c r="BI181" s="30">
        <v>2009</v>
      </c>
      <c r="BJ181" s="36"/>
      <c r="BK181" s="34"/>
      <c r="BL181" s="36"/>
      <c r="BM181" s="34"/>
      <c r="BN181" s="34">
        <v>235000000</v>
      </c>
      <c r="BO181" s="32">
        <f>35000000-BN181</f>
        <v>-200000000</v>
      </c>
      <c r="BP181" s="30" t="s">
        <v>1836</v>
      </c>
      <c r="BQ181" s="30" t="s">
        <v>81</v>
      </c>
      <c r="BR181" s="30" t="s">
        <v>95</v>
      </c>
      <c r="BS181" s="30" t="s">
        <v>143</v>
      </c>
      <c r="BT181" s="30"/>
      <c r="BU181" s="30"/>
      <c r="BV181" s="30" t="s">
        <v>1834</v>
      </c>
      <c r="BW181" s="30">
        <v>2013</v>
      </c>
      <c r="BX181" s="36"/>
      <c r="BY181" s="34"/>
      <c r="BZ181" s="36"/>
      <c r="CA181" s="34"/>
      <c r="CB181" s="34">
        <v>366000000</v>
      </c>
      <c r="CC181" s="32">
        <f>CB181-56000000</f>
        <v>310000000</v>
      </c>
      <c r="CD181" s="30" t="s">
        <v>1837</v>
      </c>
      <c r="CE181" s="30" t="s">
        <v>81</v>
      </c>
      <c r="CF181" s="57"/>
      <c r="CG181" s="30"/>
      <c r="CH181" s="30"/>
      <c r="CI181" s="64"/>
      <c r="CJ181" s="64"/>
      <c r="CK181" s="64"/>
      <c r="CL181" s="64"/>
    </row>
    <row r="182" spans="2:90" ht="135" customHeight="1" x14ac:dyDescent="0.25">
      <c r="B182" s="57"/>
      <c r="C182" s="57"/>
      <c r="D182" s="68"/>
      <c r="E182" s="57"/>
      <c r="F182" s="57"/>
      <c r="G182" s="30">
        <v>3</v>
      </c>
      <c r="H182" s="57"/>
      <c r="I182" s="35"/>
      <c r="J182" s="30"/>
      <c r="K182" s="35"/>
      <c r="L182" s="35"/>
      <c r="M182" s="30"/>
      <c r="N182" s="30"/>
      <c r="O182" s="30"/>
      <c r="P182" s="30"/>
      <c r="Q182" s="30"/>
      <c r="R182" s="57"/>
      <c r="S182" s="57"/>
      <c r="T182" s="57"/>
      <c r="U182" s="57"/>
      <c r="V182" s="57"/>
      <c r="W182" s="57"/>
      <c r="X182" s="57"/>
      <c r="Y182" s="57"/>
      <c r="Z182" s="68"/>
      <c r="AA182" s="68"/>
      <c r="AB182" s="57"/>
      <c r="AC182" s="30" t="s">
        <v>1838</v>
      </c>
      <c r="AD182" s="30">
        <v>2015</v>
      </c>
      <c r="AE182" s="30" t="s">
        <v>1839</v>
      </c>
      <c r="AF182" s="30"/>
      <c r="AG182" s="30"/>
      <c r="AH182" s="30"/>
      <c r="AI182" s="30"/>
      <c r="AJ182" s="31">
        <f t="shared" si="13"/>
        <v>0</v>
      </c>
      <c r="AK182" s="34"/>
      <c r="AL182" s="31">
        <f t="shared" si="14"/>
        <v>0</v>
      </c>
      <c r="AM182" s="34"/>
      <c r="AN182" s="34">
        <f>472600000+468600000+468600000+472600000+468600000</f>
        <v>2351000000</v>
      </c>
      <c r="AO182" s="52"/>
      <c r="AP182" s="30" t="s">
        <v>1840</v>
      </c>
      <c r="AQ182" s="30" t="s">
        <v>143</v>
      </c>
      <c r="AR182" s="30"/>
      <c r="AS182" s="30"/>
      <c r="AT182" s="30" t="s">
        <v>1841</v>
      </c>
      <c r="AU182" s="30">
        <v>2013</v>
      </c>
      <c r="AV182" s="35"/>
      <c r="AW182" s="34"/>
      <c r="AX182" s="35"/>
      <c r="AY182" s="34"/>
      <c r="AZ182" s="34">
        <v>445000000</v>
      </c>
      <c r="BA182" s="32">
        <f>AZ182-45000000</f>
        <v>400000000</v>
      </c>
      <c r="BB182" s="30" t="s">
        <v>1842</v>
      </c>
      <c r="BC182" s="30" t="s">
        <v>81</v>
      </c>
      <c r="BD182" s="30" t="s">
        <v>1843</v>
      </c>
      <c r="BE182" s="30" t="s">
        <v>143</v>
      </c>
      <c r="BF182" s="30"/>
      <c r="BG182" s="30"/>
      <c r="BH182" s="30" t="s">
        <v>1841</v>
      </c>
      <c r="BI182" s="30">
        <v>2013</v>
      </c>
      <c r="BJ182" s="36"/>
      <c r="BK182" s="34"/>
      <c r="BL182" s="36"/>
      <c r="BM182" s="34"/>
      <c r="BN182" s="34">
        <v>435000000</v>
      </c>
      <c r="BO182" s="32">
        <f>BN182-35000000</f>
        <v>400000000</v>
      </c>
      <c r="BP182" s="30" t="s">
        <v>1844</v>
      </c>
      <c r="BQ182" s="30" t="s">
        <v>81</v>
      </c>
      <c r="BR182" s="30" t="s">
        <v>1845</v>
      </c>
      <c r="BS182" s="30" t="s">
        <v>143</v>
      </c>
      <c r="BT182" s="30"/>
      <c r="BU182" s="30"/>
      <c r="BV182" s="30" t="s">
        <v>1846</v>
      </c>
      <c r="BW182" s="30">
        <v>2013</v>
      </c>
      <c r="BX182" s="36"/>
      <c r="BY182" s="34"/>
      <c r="BZ182" s="36"/>
      <c r="CA182" s="34"/>
      <c r="CB182" s="34">
        <v>450000000</v>
      </c>
      <c r="CC182" s="32">
        <f>CB182-50000000</f>
        <v>400000000</v>
      </c>
      <c r="CD182" s="30" t="s">
        <v>1847</v>
      </c>
      <c r="CE182" s="30" t="s">
        <v>81</v>
      </c>
      <c r="CF182" s="57"/>
      <c r="CG182" s="30"/>
      <c r="CH182" s="30"/>
      <c r="CI182" s="64"/>
      <c r="CJ182" s="64"/>
      <c r="CK182" s="64"/>
      <c r="CL182" s="64"/>
    </row>
    <row r="183" spans="2:90" ht="135" customHeight="1" x14ac:dyDescent="0.25">
      <c r="B183" s="57"/>
      <c r="C183" s="57"/>
      <c r="D183" s="68"/>
      <c r="E183" s="57"/>
      <c r="F183" s="57"/>
      <c r="G183" s="30">
        <v>4</v>
      </c>
      <c r="H183" s="57"/>
      <c r="I183" s="35"/>
      <c r="J183" s="30"/>
      <c r="K183" s="35"/>
      <c r="L183" s="35"/>
      <c r="M183" s="30"/>
      <c r="N183" s="30"/>
      <c r="O183" s="30"/>
      <c r="P183" s="30"/>
      <c r="Q183" s="30"/>
      <c r="R183" s="57"/>
      <c r="S183" s="57"/>
      <c r="T183" s="57"/>
      <c r="U183" s="57"/>
      <c r="V183" s="57"/>
      <c r="W183" s="57"/>
      <c r="X183" s="57"/>
      <c r="Y183" s="57"/>
      <c r="Z183" s="68"/>
      <c r="AA183" s="68"/>
      <c r="AB183" s="57"/>
      <c r="AC183" s="30" t="s">
        <v>1848</v>
      </c>
      <c r="AD183" s="30">
        <v>2018</v>
      </c>
      <c r="AE183" s="30" t="s">
        <v>1849</v>
      </c>
      <c r="AF183" s="30"/>
      <c r="AG183" s="30"/>
      <c r="AH183" s="30"/>
      <c r="AI183" s="30"/>
      <c r="AJ183" s="31">
        <f t="shared" si="13"/>
        <v>0</v>
      </c>
      <c r="AK183" s="34"/>
      <c r="AL183" s="31">
        <f t="shared" si="14"/>
        <v>0</v>
      </c>
      <c r="AM183" s="34"/>
      <c r="AN183" s="34">
        <f>820000000+820000000+820000000+815000000+820000000+867000000+861000000+863918871+863918871</f>
        <v>7550837742</v>
      </c>
      <c r="AO183" s="52"/>
      <c r="AP183" s="30" t="s">
        <v>1850</v>
      </c>
      <c r="AQ183" s="30" t="s">
        <v>143</v>
      </c>
      <c r="AR183" s="30"/>
      <c r="AS183" s="30"/>
      <c r="AT183" s="30" t="s">
        <v>1851</v>
      </c>
      <c r="AU183" s="30">
        <v>2021</v>
      </c>
      <c r="AV183" s="35"/>
      <c r="AW183" s="34"/>
      <c r="AX183" s="35"/>
      <c r="AY183" s="34"/>
      <c r="AZ183" s="34">
        <v>1100000000</v>
      </c>
      <c r="BA183" s="32">
        <f>AZ183-150000000</f>
        <v>950000000</v>
      </c>
      <c r="BB183" s="30" t="s">
        <v>1852</v>
      </c>
      <c r="BC183" s="30" t="s">
        <v>81</v>
      </c>
      <c r="BD183" s="30" t="s">
        <v>1853</v>
      </c>
      <c r="BE183" s="30" t="s">
        <v>143</v>
      </c>
      <c r="BF183" s="30"/>
      <c r="BG183" s="30"/>
      <c r="BH183" s="30" t="s">
        <v>1851</v>
      </c>
      <c r="BI183" s="30">
        <v>2017</v>
      </c>
      <c r="BJ183" s="36"/>
      <c r="BK183" s="34"/>
      <c r="BL183" s="36"/>
      <c r="BM183" s="34"/>
      <c r="BN183" s="34">
        <v>775000000</v>
      </c>
      <c r="BO183" s="32">
        <f>BN183-105000000</f>
        <v>670000000</v>
      </c>
      <c r="BP183" s="30" t="s">
        <v>1854</v>
      </c>
      <c r="BQ183" s="30" t="s">
        <v>81</v>
      </c>
      <c r="BR183" s="30" t="s">
        <v>331</v>
      </c>
      <c r="BS183" s="30" t="s">
        <v>143</v>
      </c>
      <c r="BT183" s="30"/>
      <c r="BU183" s="30"/>
      <c r="BV183" s="30" t="s">
        <v>1851</v>
      </c>
      <c r="BW183" s="30">
        <v>2017</v>
      </c>
      <c r="BX183" s="36"/>
      <c r="BY183" s="34"/>
      <c r="BZ183" s="36"/>
      <c r="CA183" s="34"/>
      <c r="CB183" s="34">
        <v>730000000</v>
      </c>
      <c r="CC183" s="32">
        <f>CB183-100000000</f>
        <v>630000000</v>
      </c>
      <c r="CD183" s="30" t="s">
        <v>1847</v>
      </c>
      <c r="CE183" s="30" t="s">
        <v>81</v>
      </c>
      <c r="CF183" s="57"/>
      <c r="CG183" s="30"/>
      <c r="CH183" s="30"/>
      <c r="CI183" s="64"/>
      <c r="CJ183" s="64"/>
      <c r="CK183" s="64"/>
      <c r="CL183" s="64"/>
    </row>
    <row r="184" spans="2:90" ht="30" x14ac:dyDescent="0.25">
      <c r="B184" s="57"/>
      <c r="C184" s="57"/>
      <c r="D184" s="68"/>
      <c r="E184" s="57"/>
      <c r="F184" s="57"/>
      <c r="G184" s="30">
        <v>5</v>
      </c>
      <c r="H184" s="57"/>
      <c r="I184" s="35"/>
      <c r="J184" s="30"/>
      <c r="K184" s="35"/>
      <c r="L184" s="35"/>
      <c r="M184" s="30"/>
      <c r="N184" s="30"/>
      <c r="O184" s="30"/>
      <c r="P184" s="30"/>
      <c r="Q184" s="30"/>
      <c r="R184" s="57"/>
      <c r="S184" s="57"/>
      <c r="T184" s="57"/>
      <c r="U184" s="57"/>
      <c r="V184" s="57"/>
      <c r="W184" s="57"/>
      <c r="X184" s="57"/>
      <c r="Y184" s="57"/>
      <c r="Z184" s="68"/>
      <c r="AA184" s="68"/>
      <c r="AB184" s="57"/>
      <c r="AC184" s="30" t="s">
        <v>1855</v>
      </c>
      <c r="AD184" s="30">
        <v>2012</v>
      </c>
      <c r="AE184" s="30" t="s">
        <v>1856</v>
      </c>
      <c r="AF184" s="30"/>
      <c r="AG184" s="30"/>
      <c r="AH184" s="30"/>
      <c r="AI184" s="30"/>
      <c r="AJ184" s="31">
        <f t="shared" si="13"/>
        <v>0</v>
      </c>
      <c r="AK184" s="34"/>
      <c r="AL184" s="31">
        <f t="shared" si="14"/>
        <v>0</v>
      </c>
      <c r="AM184" s="34"/>
      <c r="AN184" s="34">
        <v>4770000</v>
      </c>
      <c r="AO184" s="52"/>
      <c r="AP184" s="30" t="s">
        <v>1857</v>
      </c>
      <c r="AQ184" s="30" t="s">
        <v>1858</v>
      </c>
      <c r="AR184" s="30"/>
      <c r="AS184" s="30"/>
      <c r="AT184" s="30" t="s">
        <v>1856</v>
      </c>
      <c r="AU184" s="30">
        <v>2012</v>
      </c>
      <c r="AV184" s="35"/>
      <c r="AW184" s="34"/>
      <c r="AX184" s="35"/>
      <c r="AY184" s="34"/>
      <c r="AZ184" s="34">
        <v>6000000</v>
      </c>
      <c r="BA184" s="32">
        <f>AZ184-700000</f>
        <v>5300000</v>
      </c>
      <c r="BB184" s="30" t="s">
        <v>1859</v>
      </c>
      <c r="BC184" s="30" t="s">
        <v>81</v>
      </c>
      <c r="BD184" s="30" t="s">
        <v>1857</v>
      </c>
      <c r="BE184" s="30" t="s">
        <v>1858</v>
      </c>
      <c r="BF184" s="30"/>
      <c r="BG184" s="30"/>
      <c r="BH184" s="30" t="s">
        <v>1856</v>
      </c>
      <c r="BI184" s="30">
        <v>2012</v>
      </c>
      <c r="BJ184" s="36"/>
      <c r="BK184" s="34"/>
      <c r="BL184" s="36"/>
      <c r="BM184" s="34"/>
      <c r="BN184" s="34">
        <v>5900000</v>
      </c>
      <c r="BO184" s="32">
        <f>BN184-600000</f>
        <v>5300000</v>
      </c>
      <c r="BP184" s="30" t="s">
        <v>1859</v>
      </c>
      <c r="BQ184" s="30" t="s">
        <v>81</v>
      </c>
      <c r="BR184" s="30" t="s">
        <v>1857</v>
      </c>
      <c r="BS184" s="30" t="s">
        <v>1858</v>
      </c>
      <c r="BT184" s="30"/>
      <c r="BU184" s="30"/>
      <c r="BV184" s="30" t="s">
        <v>1856</v>
      </c>
      <c r="BW184" s="30">
        <v>2012</v>
      </c>
      <c r="BX184" s="36"/>
      <c r="BY184" s="34"/>
      <c r="BZ184" s="36"/>
      <c r="CA184" s="34"/>
      <c r="CB184" s="34">
        <v>6000000</v>
      </c>
      <c r="CC184" s="32">
        <f>CB184-700000</f>
        <v>5300000</v>
      </c>
      <c r="CD184" s="30" t="s">
        <v>1860</v>
      </c>
      <c r="CE184" s="30" t="s">
        <v>81</v>
      </c>
      <c r="CF184" s="57"/>
      <c r="CG184" s="30"/>
      <c r="CH184" s="30"/>
      <c r="CI184" s="64"/>
      <c r="CJ184" s="64"/>
      <c r="CK184" s="64"/>
      <c r="CL184" s="64"/>
    </row>
    <row r="185" spans="2:90" ht="150" customHeight="1" x14ac:dyDescent="0.25">
      <c r="B185" s="57"/>
      <c r="C185" s="57"/>
      <c r="D185" s="68"/>
      <c r="E185" s="57"/>
      <c r="F185" s="57"/>
      <c r="G185" s="30">
        <v>6</v>
      </c>
      <c r="H185" s="57"/>
      <c r="I185" s="35"/>
      <c r="J185" s="30"/>
      <c r="K185" s="35"/>
      <c r="L185" s="35"/>
      <c r="M185" s="30"/>
      <c r="N185" s="30"/>
      <c r="O185" s="30"/>
      <c r="P185" s="30"/>
      <c r="Q185" s="30"/>
      <c r="R185" s="57"/>
      <c r="S185" s="57"/>
      <c r="T185" s="57"/>
      <c r="U185" s="57"/>
      <c r="V185" s="57"/>
      <c r="W185" s="57"/>
      <c r="X185" s="57"/>
      <c r="Y185" s="57"/>
      <c r="Z185" s="68"/>
      <c r="AA185" s="68"/>
      <c r="AB185" s="57"/>
      <c r="AC185" s="30" t="s">
        <v>1861</v>
      </c>
      <c r="AD185" s="30">
        <v>2012</v>
      </c>
      <c r="AE185" s="30" t="s">
        <v>1862</v>
      </c>
      <c r="AF185" s="30"/>
      <c r="AG185" s="30"/>
      <c r="AH185" s="30"/>
      <c r="AI185" s="30"/>
      <c r="AJ185" s="31">
        <f t="shared" si="13"/>
        <v>0</v>
      </c>
      <c r="AK185" s="34"/>
      <c r="AL185" s="31">
        <f t="shared" si="14"/>
        <v>0</v>
      </c>
      <c r="AM185" s="34"/>
      <c r="AN185" s="34">
        <v>74000000</v>
      </c>
      <c r="AO185" s="52"/>
      <c r="AP185" s="30" t="s">
        <v>1863</v>
      </c>
      <c r="AQ185" s="30" t="s">
        <v>143</v>
      </c>
      <c r="AR185" s="30"/>
      <c r="AS185" s="30"/>
      <c r="AT185" s="30" t="s">
        <v>1862</v>
      </c>
      <c r="AU185" s="30">
        <v>2012</v>
      </c>
      <c r="AV185" s="35"/>
      <c r="AW185" s="34"/>
      <c r="AX185" s="35"/>
      <c r="AY185" s="34"/>
      <c r="AZ185" s="34">
        <v>84500000</v>
      </c>
      <c r="BA185" s="32">
        <f>AZ185-11500000</f>
        <v>73000000</v>
      </c>
      <c r="BB185" s="30" t="s">
        <v>1864</v>
      </c>
      <c r="BC185" s="30" t="s">
        <v>81</v>
      </c>
      <c r="BD185" s="30" t="s">
        <v>1843</v>
      </c>
      <c r="BE185" s="30" t="s">
        <v>143</v>
      </c>
      <c r="BF185" s="30"/>
      <c r="BG185" s="30"/>
      <c r="BH185" s="30" t="s">
        <v>1862</v>
      </c>
      <c r="BI185" s="30">
        <v>2010</v>
      </c>
      <c r="BJ185" s="36"/>
      <c r="BK185" s="34"/>
      <c r="BL185" s="36"/>
      <c r="BM185" s="34"/>
      <c r="BN185" s="34">
        <v>77000000</v>
      </c>
      <c r="BO185" s="32">
        <f>BN185-12000000</f>
        <v>65000000</v>
      </c>
      <c r="BP185" s="30" t="s">
        <v>1865</v>
      </c>
      <c r="BQ185" s="30" t="s">
        <v>81</v>
      </c>
      <c r="BR185" s="30" t="s">
        <v>1845</v>
      </c>
      <c r="BS185" s="30" t="s">
        <v>143</v>
      </c>
      <c r="BT185" s="30"/>
      <c r="BU185" s="30"/>
      <c r="BV185" s="30" t="s">
        <v>1862</v>
      </c>
      <c r="BW185" s="30">
        <v>2011</v>
      </c>
      <c r="BX185" s="36"/>
      <c r="BY185" s="34"/>
      <c r="BZ185" s="36"/>
      <c r="CA185" s="34"/>
      <c r="CB185" s="34">
        <v>87000000</v>
      </c>
      <c r="CC185" s="32">
        <f>CB185-15000000</f>
        <v>72000000</v>
      </c>
      <c r="CD185" s="30" t="s">
        <v>1847</v>
      </c>
      <c r="CE185" s="30" t="s">
        <v>81</v>
      </c>
      <c r="CF185" s="57"/>
      <c r="CG185" s="30"/>
      <c r="CH185" s="30"/>
      <c r="CI185" s="64"/>
      <c r="CJ185" s="64"/>
      <c r="CK185" s="64"/>
      <c r="CL185" s="64"/>
    </row>
    <row r="186" spans="2:90" ht="135" customHeight="1" x14ac:dyDescent="0.25">
      <c r="B186" s="57"/>
      <c r="C186" s="57"/>
      <c r="D186" s="68"/>
      <c r="E186" s="57"/>
      <c r="F186" s="57"/>
      <c r="G186" s="30">
        <v>7</v>
      </c>
      <c r="H186" s="57"/>
      <c r="I186" s="35"/>
      <c r="J186" s="30"/>
      <c r="K186" s="35"/>
      <c r="L186" s="35"/>
      <c r="M186" s="30"/>
      <c r="N186" s="30"/>
      <c r="O186" s="30"/>
      <c r="P186" s="30"/>
      <c r="Q186" s="30"/>
      <c r="R186" s="57"/>
      <c r="S186" s="57"/>
      <c r="T186" s="57"/>
      <c r="U186" s="57"/>
      <c r="V186" s="57"/>
      <c r="W186" s="57"/>
      <c r="X186" s="57"/>
      <c r="Y186" s="57"/>
      <c r="Z186" s="68"/>
      <c r="AA186" s="68"/>
      <c r="AB186" s="57"/>
      <c r="AC186" s="30" t="s">
        <v>1866</v>
      </c>
      <c r="AD186" s="30">
        <v>2012</v>
      </c>
      <c r="AE186" s="30" t="s">
        <v>1867</v>
      </c>
      <c r="AF186" s="30"/>
      <c r="AG186" s="30"/>
      <c r="AH186" s="30"/>
      <c r="AI186" s="30"/>
      <c r="AJ186" s="31">
        <f t="shared" si="13"/>
        <v>0</v>
      </c>
      <c r="AK186" s="34"/>
      <c r="AL186" s="31">
        <f t="shared" si="14"/>
        <v>0</v>
      </c>
      <c r="AM186" s="34"/>
      <c r="AN186" s="34">
        <v>116829234</v>
      </c>
      <c r="AO186" s="52"/>
      <c r="AP186" s="30" t="s">
        <v>1857</v>
      </c>
      <c r="AQ186" s="30" t="s">
        <v>1868</v>
      </c>
      <c r="AR186" s="30"/>
      <c r="AS186" s="30"/>
      <c r="AT186" s="30" t="s">
        <v>1867</v>
      </c>
      <c r="AU186" s="30">
        <v>2012</v>
      </c>
      <c r="AV186" s="35"/>
      <c r="AW186" s="34"/>
      <c r="AX186" s="35"/>
      <c r="AY186" s="34"/>
      <c r="AZ186" s="34">
        <v>130000000</v>
      </c>
      <c r="BA186" s="32">
        <f>AZ186-10000000</f>
        <v>120000000</v>
      </c>
      <c r="BB186" s="30" t="s">
        <v>1869</v>
      </c>
      <c r="BC186" s="30" t="s">
        <v>81</v>
      </c>
      <c r="BD186" s="30" t="s">
        <v>1870</v>
      </c>
      <c r="BE186" s="30" t="s">
        <v>1868</v>
      </c>
      <c r="BF186" s="30"/>
      <c r="BG186" s="30"/>
      <c r="BH186" s="30" t="s">
        <v>1867</v>
      </c>
      <c r="BI186" s="30">
        <v>2012</v>
      </c>
      <c r="BJ186" s="36"/>
      <c r="BK186" s="34"/>
      <c r="BL186" s="36"/>
      <c r="BM186" s="34"/>
      <c r="BN186" s="34">
        <v>135000000</v>
      </c>
      <c r="BO186" s="32">
        <f>BN186-15000000</f>
        <v>120000000</v>
      </c>
      <c r="BP186" s="30" t="s">
        <v>1871</v>
      </c>
      <c r="BQ186" s="30" t="s">
        <v>81</v>
      </c>
      <c r="BR186" s="30" t="s">
        <v>1872</v>
      </c>
      <c r="BS186" s="30" t="s">
        <v>1873</v>
      </c>
      <c r="BT186" s="30"/>
      <c r="BU186" s="30"/>
      <c r="BV186" s="30" t="s">
        <v>1867</v>
      </c>
      <c r="BW186" s="30">
        <v>2011</v>
      </c>
      <c r="BX186" s="36"/>
      <c r="BY186" s="34"/>
      <c r="BZ186" s="36"/>
      <c r="CA186" s="34"/>
      <c r="CB186" s="34">
        <v>115000000</v>
      </c>
      <c r="CC186" s="32">
        <f>CB186-10000000</f>
        <v>105000000</v>
      </c>
      <c r="CD186" s="30" t="s">
        <v>1874</v>
      </c>
      <c r="CE186" s="30" t="s">
        <v>81</v>
      </c>
      <c r="CF186" s="57"/>
      <c r="CG186" s="30"/>
      <c r="CH186" s="30"/>
      <c r="CI186" s="64"/>
      <c r="CJ186" s="64"/>
      <c r="CK186" s="64"/>
      <c r="CL186" s="64"/>
    </row>
    <row r="187" spans="2:90" ht="120" customHeight="1" x14ac:dyDescent="0.25">
      <c r="B187" s="57"/>
      <c r="C187" s="57"/>
      <c r="D187" s="68"/>
      <c r="E187" s="57"/>
      <c r="F187" s="57"/>
      <c r="G187" s="30">
        <v>8</v>
      </c>
      <c r="H187" s="57"/>
      <c r="I187" s="35"/>
      <c r="J187" s="30"/>
      <c r="K187" s="35"/>
      <c r="L187" s="35"/>
      <c r="M187" s="30"/>
      <c r="N187" s="30"/>
      <c r="O187" s="30"/>
      <c r="P187" s="30"/>
      <c r="Q187" s="30"/>
      <c r="R187" s="57"/>
      <c r="S187" s="57"/>
      <c r="T187" s="57"/>
      <c r="U187" s="57"/>
      <c r="V187" s="57"/>
      <c r="W187" s="57"/>
      <c r="X187" s="57"/>
      <c r="Y187" s="57"/>
      <c r="Z187" s="68"/>
      <c r="AA187" s="68"/>
      <c r="AB187" s="57"/>
      <c r="AC187" s="30" t="s">
        <v>1875</v>
      </c>
      <c r="AD187" s="30">
        <v>2013</v>
      </c>
      <c r="AE187" s="30" t="s">
        <v>1876</v>
      </c>
      <c r="AF187" s="30"/>
      <c r="AG187" s="30"/>
      <c r="AH187" s="30"/>
      <c r="AI187" s="30"/>
      <c r="AJ187" s="31">
        <f t="shared" si="13"/>
        <v>0</v>
      </c>
      <c r="AK187" s="34"/>
      <c r="AL187" s="31">
        <f t="shared" si="14"/>
        <v>0</v>
      </c>
      <c r="AM187" s="34"/>
      <c r="AN187" s="34">
        <v>110760870</v>
      </c>
      <c r="AO187" s="52"/>
      <c r="AP187" s="30" t="s">
        <v>1857</v>
      </c>
      <c r="AQ187" s="30" t="s">
        <v>1868</v>
      </c>
      <c r="AR187" s="30"/>
      <c r="AS187" s="30"/>
      <c r="AT187" s="30" t="s">
        <v>1876</v>
      </c>
      <c r="AU187" s="30">
        <v>2013</v>
      </c>
      <c r="AV187" s="35"/>
      <c r="AW187" s="34"/>
      <c r="AX187" s="35"/>
      <c r="AY187" s="34"/>
      <c r="AZ187" s="34">
        <v>140000000</v>
      </c>
      <c r="BA187" s="32">
        <f>AZ187-20000000</f>
        <v>120000000</v>
      </c>
      <c r="BB187" s="30" t="s">
        <v>1877</v>
      </c>
      <c r="BC187" s="30" t="s">
        <v>81</v>
      </c>
      <c r="BD187" s="30" t="s">
        <v>1857</v>
      </c>
      <c r="BE187" s="30" t="s">
        <v>1868</v>
      </c>
      <c r="BF187" s="30"/>
      <c r="BG187" s="30"/>
      <c r="BH187" s="30" t="s">
        <v>1876</v>
      </c>
      <c r="BI187" s="30">
        <v>2012</v>
      </c>
      <c r="BJ187" s="36"/>
      <c r="BK187" s="34"/>
      <c r="BL187" s="36"/>
      <c r="BM187" s="34"/>
      <c r="BN187" s="34">
        <v>135000000</v>
      </c>
      <c r="BO187" s="32">
        <f>BN187-25000000</f>
        <v>110000000</v>
      </c>
      <c r="BP187" s="30" t="s">
        <v>1878</v>
      </c>
      <c r="BQ187" s="30" t="s">
        <v>81</v>
      </c>
      <c r="BR187" s="30" t="s">
        <v>1857</v>
      </c>
      <c r="BS187" s="30" t="s">
        <v>1873</v>
      </c>
      <c r="BT187" s="30"/>
      <c r="BU187" s="30"/>
      <c r="BV187" s="30" t="s">
        <v>1876</v>
      </c>
      <c r="BW187" s="30">
        <v>2012</v>
      </c>
      <c r="BX187" s="36"/>
      <c r="BY187" s="34"/>
      <c r="BZ187" s="36"/>
      <c r="CA187" s="34"/>
      <c r="CB187" s="34">
        <v>132000000</v>
      </c>
      <c r="CC187" s="32">
        <f>CB187-22000000</f>
        <v>110000000</v>
      </c>
      <c r="CD187" s="30" t="s">
        <v>1879</v>
      </c>
      <c r="CE187" s="30" t="s">
        <v>81</v>
      </c>
      <c r="CF187" s="57"/>
      <c r="CG187" s="30"/>
      <c r="CH187" s="30"/>
      <c r="CI187" s="64"/>
      <c r="CJ187" s="64"/>
      <c r="CK187" s="64"/>
      <c r="CL187" s="64"/>
    </row>
    <row r="188" spans="2:90" ht="30" x14ac:dyDescent="0.25">
      <c r="B188" s="58"/>
      <c r="C188" s="58"/>
      <c r="D188" s="69"/>
      <c r="E188" s="58"/>
      <c r="F188" s="58"/>
      <c r="G188" s="30">
        <v>9</v>
      </c>
      <c r="H188" s="58"/>
      <c r="I188" s="35"/>
      <c r="J188" s="30"/>
      <c r="K188" s="35"/>
      <c r="L188" s="35"/>
      <c r="M188" s="30"/>
      <c r="N188" s="30"/>
      <c r="O188" s="30"/>
      <c r="P188" s="30"/>
      <c r="Q188" s="30"/>
      <c r="R188" s="58"/>
      <c r="S188" s="58"/>
      <c r="T188" s="58"/>
      <c r="U188" s="58"/>
      <c r="V188" s="58"/>
      <c r="W188" s="58"/>
      <c r="X188" s="58"/>
      <c r="Y188" s="58"/>
      <c r="Z188" s="69"/>
      <c r="AA188" s="69"/>
      <c r="AB188" s="58"/>
      <c r="AC188" s="30" t="s">
        <v>1880</v>
      </c>
      <c r="AD188" s="30">
        <v>2016</v>
      </c>
      <c r="AE188" s="30" t="s">
        <v>1881</v>
      </c>
      <c r="AF188" s="30"/>
      <c r="AG188" s="30"/>
      <c r="AH188" s="30"/>
      <c r="AI188" s="30"/>
      <c r="AJ188" s="31">
        <f t="shared" si="13"/>
        <v>0</v>
      </c>
      <c r="AK188" s="34"/>
      <c r="AL188" s="31">
        <f t="shared" si="14"/>
        <v>0</v>
      </c>
      <c r="AM188" s="34"/>
      <c r="AN188" s="34">
        <v>124781022</v>
      </c>
      <c r="AO188" s="53"/>
      <c r="AP188" s="30" t="s">
        <v>1857</v>
      </c>
      <c r="AQ188" s="30" t="s">
        <v>1868</v>
      </c>
      <c r="AR188" s="30"/>
      <c r="AS188" s="30"/>
      <c r="AT188" s="30" t="s">
        <v>1882</v>
      </c>
      <c r="AU188" s="30">
        <v>2016</v>
      </c>
      <c r="AV188" s="35"/>
      <c r="AW188" s="34"/>
      <c r="AX188" s="35"/>
      <c r="AY188" s="34"/>
      <c r="AZ188" s="34">
        <v>139000000</v>
      </c>
      <c r="BA188" s="32">
        <f>AZ188-14000000</f>
        <v>125000000</v>
      </c>
      <c r="BB188" s="30" t="s">
        <v>1883</v>
      </c>
      <c r="BC188" s="30" t="s">
        <v>81</v>
      </c>
      <c r="BD188" s="30" t="s">
        <v>433</v>
      </c>
      <c r="BE188" s="30" t="s">
        <v>1868</v>
      </c>
      <c r="BF188" s="30"/>
      <c r="BG188" s="30"/>
      <c r="BH188" s="30" t="s">
        <v>1882</v>
      </c>
      <c r="BI188" s="30">
        <v>2016</v>
      </c>
      <c r="BJ188" s="36"/>
      <c r="BK188" s="34"/>
      <c r="BL188" s="36"/>
      <c r="BM188" s="34"/>
      <c r="BN188" s="34">
        <v>135000000</v>
      </c>
      <c r="BO188" s="32">
        <f>BN188-10000000</f>
        <v>125000000</v>
      </c>
      <c r="BP188" s="30" t="s">
        <v>1884</v>
      </c>
      <c r="BQ188" s="30" t="s">
        <v>81</v>
      </c>
      <c r="BR188" s="30" t="s">
        <v>1857</v>
      </c>
      <c r="BS188" s="30" t="s">
        <v>1873</v>
      </c>
      <c r="BT188" s="30"/>
      <c r="BU188" s="30"/>
      <c r="BV188" s="30" t="s">
        <v>1882</v>
      </c>
      <c r="BW188" s="30">
        <v>2017</v>
      </c>
      <c r="BX188" s="36"/>
      <c r="BY188" s="34"/>
      <c r="BZ188" s="36"/>
      <c r="CA188" s="34"/>
      <c r="CB188" s="34">
        <v>145000000</v>
      </c>
      <c r="CC188" s="32">
        <f>CB188-15000000</f>
        <v>130000000</v>
      </c>
      <c r="CD188" s="30" t="s">
        <v>1885</v>
      </c>
      <c r="CE188" s="30" t="s">
        <v>81</v>
      </c>
      <c r="CF188" s="58"/>
      <c r="CG188" s="30"/>
      <c r="CH188" s="30"/>
      <c r="CI188" s="64"/>
      <c r="CJ188" s="64"/>
      <c r="CK188" s="64"/>
      <c r="CL188" s="64"/>
    </row>
    <row r="189" spans="2:90" ht="45" x14ac:dyDescent="0.25">
      <c r="B189" s="54" t="s">
        <v>1886</v>
      </c>
      <c r="C189" s="54" t="s">
        <v>1887</v>
      </c>
      <c r="D189" s="67">
        <v>45537</v>
      </c>
      <c r="E189" s="54" t="s">
        <v>1888</v>
      </c>
      <c r="F189" s="54" t="s">
        <v>93</v>
      </c>
      <c r="G189" s="30">
        <v>1</v>
      </c>
      <c r="H189" s="30" t="s">
        <v>1889</v>
      </c>
      <c r="I189" s="35"/>
      <c r="J189" s="30"/>
      <c r="K189" s="35"/>
      <c r="L189" s="35"/>
      <c r="M189" s="30" t="s">
        <v>1889</v>
      </c>
      <c r="N189" s="30"/>
      <c r="O189" s="30"/>
      <c r="P189" s="30"/>
      <c r="Q189" s="30"/>
      <c r="R189" s="54" t="s">
        <v>1890</v>
      </c>
      <c r="S189" s="54" t="s">
        <v>1891</v>
      </c>
      <c r="T189" s="54" t="s">
        <v>1892</v>
      </c>
      <c r="U189" s="54" t="s">
        <v>1893</v>
      </c>
      <c r="V189" s="54" t="s">
        <v>1894</v>
      </c>
      <c r="W189" s="54" t="s">
        <v>72</v>
      </c>
      <c r="X189" s="54" t="s">
        <v>85</v>
      </c>
      <c r="Y189" s="54" t="s">
        <v>73</v>
      </c>
      <c r="Z189" s="67" t="s">
        <v>1895</v>
      </c>
      <c r="AA189" s="67">
        <v>45406</v>
      </c>
      <c r="AB189" s="54" t="s">
        <v>90</v>
      </c>
      <c r="AC189" s="30"/>
      <c r="AD189" s="30"/>
      <c r="AE189" s="30"/>
      <c r="AF189" s="30"/>
      <c r="AG189" s="30"/>
      <c r="AH189" s="30"/>
      <c r="AI189" s="30"/>
      <c r="AJ189" s="31">
        <f t="shared" si="13"/>
        <v>0</v>
      </c>
      <c r="AK189" s="34"/>
      <c r="AL189" s="31">
        <f t="shared" si="14"/>
        <v>0</v>
      </c>
      <c r="AM189" s="34"/>
      <c r="AN189" s="34">
        <v>60063000</v>
      </c>
      <c r="AO189" s="51">
        <f>(AJ189*AK189)+(AL189*AM189)+AN189+AN190+AN191+AN192+AN193</f>
        <v>511483000</v>
      </c>
      <c r="AP189" s="30"/>
      <c r="AQ189" s="30"/>
      <c r="AR189" s="30"/>
      <c r="AS189" s="30"/>
      <c r="AT189" s="30"/>
      <c r="AU189" s="30"/>
      <c r="AV189" s="35"/>
      <c r="AW189" s="34"/>
      <c r="AX189" s="35"/>
      <c r="AY189" s="34"/>
      <c r="AZ189" s="34"/>
      <c r="BA189" s="32">
        <f>AV189*AW189</f>
        <v>0</v>
      </c>
      <c r="BB189" s="30"/>
      <c r="BC189" s="30"/>
      <c r="BD189" s="30"/>
      <c r="BE189" s="30"/>
      <c r="BF189" s="30"/>
      <c r="BG189" s="30"/>
      <c r="BH189" s="30"/>
      <c r="BI189" s="30"/>
      <c r="BJ189" s="36"/>
      <c r="BK189" s="34"/>
      <c r="BL189" s="36"/>
      <c r="BM189" s="34"/>
      <c r="BN189" s="34"/>
      <c r="BO189" s="32">
        <f t="shared" si="16"/>
        <v>0</v>
      </c>
      <c r="BP189" s="30"/>
      <c r="BQ189" s="30"/>
      <c r="BR189" s="30"/>
      <c r="BS189" s="30"/>
      <c r="BT189" s="30"/>
      <c r="BU189" s="30"/>
      <c r="BV189" s="30"/>
      <c r="BW189" s="30"/>
      <c r="BX189" s="36"/>
      <c r="BY189" s="34"/>
      <c r="BZ189" s="36"/>
      <c r="CA189" s="34"/>
      <c r="CB189" s="34"/>
      <c r="CC189" s="32">
        <f t="shared" si="17"/>
        <v>0</v>
      </c>
      <c r="CD189" s="30"/>
      <c r="CE189" s="30"/>
      <c r="CF189" s="54" t="s">
        <v>1896</v>
      </c>
      <c r="CG189" s="30"/>
      <c r="CH189" s="30"/>
      <c r="CI189" s="64"/>
      <c r="CJ189" s="64"/>
      <c r="CK189" s="64"/>
      <c r="CL189" s="64"/>
    </row>
    <row r="190" spans="2:90" ht="150" customHeight="1" x14ac:dyDescent="0.25">
      <c r="B190" s="57"/>
      <c r="C190" s="57"/>
      <c r="D190" s="68"/>
      <c r="E190" s="57"/>
      <c r="F190" s="57"/>
      <c r="G190" s="30">
        <v>2</v>
      </c>
      <c r="H190" s="54" t="s">
        <v>130</v>
      </c>
      <c r="I190" s="35"/>
      <c r="J190" s="30"/>
      <c r="K190" s="35"/>
      <c r="L190" s="35"/>
      <c r="M190" s="30"/>
      <c r="N190" s="30"/>
      <c r="O190" s="30"/>
      <c r="P190" s="30"/>
      <c r="Q190" s="30"/>
      <c r="R190" s="57"/>
      <c r="S190" s="57"/>
      <c r="T190" s="57"/>
      <c r="U190" s="57"/>
      <c r="V190" s="57"/>
      <c r="W190" s="57"/>
      <c r="X190" s="57"/>
      <c r="Y190" s="57"/>
      <c r="Z190" s="68"/>
      <c r="AA190" s="68"/>
      <c r="AB190" s="57"/>
      <c r="AC190" s="30" t="s">
        <v>1897</v>
      </c>
      <c r="AD190" s="30">
        <v>2010</v>
      </c>
      <c r="AE190" s="30" t="s">
        <v>1898</v>
      </c>
      <c r="AF190" s="30"/>
      <c r="AG190" s="30"/>
      <c r="AH190" s="30"/>
      <c r="AI190" s="30"/>
      <c r="AJ190" s="31">
        <f t="shared" si="13"/>
        <v>0</v>
      </c>
      <c r="AK190" s="34"/>
      <c r="AL190" s="31">
        <f t="shared" si="14"/>
        <v>0</v>
      </c>
      <c r="AM190" s="34"/>
      <c r="AN190" s="34">
        <v>88000000</v>
      </c>
      <c r="AO190" s="52"/>
      <c r="AP190" s="30" t="s">
        <v>342</v>
      </c>
      <c r="AQ190" s="30" t="s">
        <v>130</v>
      </c>
      <c r="AR190" s="30"/>
      <c r="AS190" s="30"/>
      <c r="AT190" s="30" t="s">
        <v>1867</v>
      </c>
      <c r="AU190" s="30">
        <v>2010</v>
      </c>
      <c r="AV190" s="35"/>
      <c r="AW190" s="34"/>
      <c r="AX190" s="35"/>
      <c r="AY190" s="34"/>
      <c r="AZ190" s="34">
        <v>110000000</v>
      </c>
      <c r="BA190" s="32">
        <f>AZ190-21000000</f>
        <v>89000000</v>
      </c>
      <c r="BB190" s="30" t="s">
        <v>1899</v>
      </c>
      <c r="BC190" s="30" t="s">
        <v>81</v>
      </c>
      <c r="BD190" s="30" t="s">
        <v>331</v>
      </c>
      <c r="BE190" s="30" t="s">
        <v>130</v>
      </c>
      <c r="BF190" s="30"/>
      <c r="BG190" s="30"/>
      <c r="BH190" s="30" t="s">
        <v>1900</v>
      </c>
      <c r="BI190" s="30">
        <v>2010</v>
      </c>
      <c r="BJ190" s="36"/>
      <c r="BK190" s="34"/>
      <c r="BL190" s="36"/>
      <c r="BM190" s="34"/>
      <c r="BN190" s="34">
        <v>105000000</v>
      </c>
      <c r="BO190" s="32">
        <f>BN190-20000000</f>
        <v>85000000</v>
      </c>
      <c r="BP190" s="30" t="s">
        <v>1901</v>
      </c>
      <c r="BQ190" s="30" t="s">
        <v>81</v>
      </c>
      <c r="BR190" s="30" t="s">
        <v>342</v>
      </c>
      <c r="BS190" s="30" t="s">
        <v>130</v>
      </c>
      <c r="BT190" s="30"/>
      <c r="BU190" s="30"/>
      <c r="BV190" s="30" t="s">
        <v>1902</v>
      </c>
      <c r="BW190" s="30">
        <v>2010</v>
      </c>
      <c r="BX190" s="36"/>
      <c r="BY190" s="34"/>
      <c r="BZ190" s="36"/>
      <c r="CA190" s="34"/>
      <c r="CB190" s="34">
        <v>110000000</v>
      </c>
      <c r="CC190" s="32">
        <f>CB190-21000000</f>
        <v>89000000</v>
      </c>
      <c r="CD190" s="30" t="s">
        <v>1903</v>
      </c>
      <c r="CE190" s="30" t="s">
        <v>81</v>
      </c>
      <c r="CF190" s="57"/>
      <c r="CG190" s="30"/>
      <c r="CH190" s="30"/>
      <c r="CI190" s="64"/>
      <c r="CJ190" s="64"/>
      <c r="CK190" s="64"/>
      <c r="CL190" s="64"/>
    </row>
    <row r="191" spans="2:90" ht="150" customHeight="1" x14ac:dyDescent="0.25">
      <c r="B191" s="57"/>
      <c r="C191" s="57"/>
      <c r="D191" s="68"/>
      <c r="E191" s="57"/>
      <c r="F191" s="57"/>
      <c r="G191" s="30">
        <v>3</v>
      </c>
      <c r="H191" s="57"/>
      <c r="I191" s="35"/>
      <c r="J191" s="30"/>
      <c r="K191" s="35"/>
      <c r="L191" s="35"/>
      <c r="M191" s="30"/>
      <c r="N191" s="30"/>
      <c r="O191" s="30"/>
      <c r="P191" s="30"/>
      <c r="Q191" s="30"/>
      <c r="R191" s="57"/>
      <c r="S191" s="57"/>
      <c r="T191" s="57"/>
      <c r="U191" s="57"/>
      <c r="V191" s="57"/>
      <c r="W191" s="57"/>
      <c r="X191" s="57"/>
      <c r="Y191" s="57"/>
      <c r="Z191" s="68"/>
      <c r="AA191" s="68"/>
      <c r="AB191" s="57"/>
      <c r="AC191" s="30" t="s">
        <v>1904</v>
      </c>
      <c r="AD191" s="30">
        <v>2011</v>
      </c>
      <c r="AE191" s="30" t="s">
        <v>1905</v>
      </c>
      <c r="AF191" s="30"/>
      <c r="AG191" s="30"/>
      <c r="AH191" s="30"/>
      <c r="AI191" s="30"/>
      <c r="AJ191" s="31">
        <f t="shared" si="13"/>
        <v>0</v>
      </c>
      <c r="AK191" s="34"/>
      <c r="AL191" s="31">
        <f t="shared" si="14"/>
        <v>0</v>
      </c>
      <c r="AM191" s="34"/>
      <c r="AN191" s="34">
        <v>77340000</v>
      </c>
      <c r="AO191" s="52"/>
      <c r="AP191" s="30" t="s">
        <v>342</v>
      </c>
      <c r="AQ191" s="30" t="s">
        <v>130</v>
      </c>
      <c r="AR191" s="30"/>
      <c r="AS191" s="30"/>
      <c r="AT191" s="30" t="s">
        <v>1906</v>
      </c>
      <c r="AU191" s="30">
        <v>2011</v>
      </c>
      <c r="AV191" s="35"/>
      <c r="AW191" s="34"/>
      <c r="AX191" s="35"/>
      <c r="AY191" s="34"/>
      <c r="AZ191" s="34">
        <v>91000000</v>
      </c>
      <c r="BA191" s="32">
        <f>AZ191-16000000</f>
        <v>75000000</v>
      </c>
      <c r="BB191" s="30" t="s">
        <v>1907</v>
      </c>
      <c r="BC191" s="30" t="s">
        <v>81</v>
      </c>
      <c r="BD191" s="30" t="s">
        <v>342</v>
      </c>
      <c r="BE191" s="30" t="s">
        <v>130</v>
      </c>
      <c r="BF191" s="30"/>
      <c r="BG191" s="30"/>
      <c r="BH191" s="30" t="s">
        <v>1908</v>
      </c>
      <c r="BI191" s="30">
        <v>2011</v>
      </c>
      <c r="BJ191" s="36"/>
      <c r="BK191" s="34"/>
      <c r="BL191" s="36"/>
      <c r="BM191" s="34"/>
      <c r="BN191" s="34">
        <v>98000000</v>
      </c>
      <c r="BO191" s="32">
        <f>BN191-19000000</f>
        <v>79000000</v>
      </c>
      <c r="BP191" s="30" t="s">
        <v>1909</v>
      </c>
      <c r="BQ191" s="30" t="s">
        <v>81</v>
      </c>
      <c r="BR191" s="30" t="s">
        <v>1910</v>
      </c>
      <c r="BS191" s="30" t="s">
        <v>130</v>
      </c>
      <c r="BT191" s="30"/>
      <c r="BU191" s="30"/>
      <c r="BV191" s="30" t="s">
        <v>1908</v>
      </c>
      <c r="BW191" s="30">
        <v>2011</v>
      </c>
      <c r="BX191" s="36"/>
      <c r="BY191" s="34"/>
      <c r="BZ191" s="36"/>
      <c r="CA191" s="34"/>
      <c r="CB191" s="34">
        <v>96000000</v>
      </c>
      <c r="CC191" s="32">
        <f>CB191-16000000</f>
        <v>80000000</v>
      </c>
      <c r="CD191" s="30" t="s">
        <v>1911</v>
      </c>
      <c r="CE191" s="30" t="s">
        <v>81</v>
      </c>
      <c r="CF191" s="57"/>
      <c r="CG191" s="30"/>
      <c r="CH191" s="30"/>
      <c r="CI191" s="64"/>
      <c r="CJ191" s="64"/>
      <c r="CK191" s="64"/>
      <c r="CL191" s="64"/>
    </row>
    <row r="192" spans="2:90" ht="150" customHeight="1" x14ac:dyDescent="0.25">
      <c r="B192" s="57"/>
      <c r="C192" s="57"/>
      <c r="D192" s="68"/>
      <c r="E192" s="57"/>
      <c r="F192" s="57"/>
      <c r="G192" s="30">
        <v>4</v>
      </c>
      <c r="H192" s="58"/>
      <c r="I192" s="35"/>
      <c r="J192" s="30"/>
      <c r="K192" s="35"/>
      <c r="L192" s="35"/>
      <c r="M192" s="30"/>
      <c r="N192" s="30"/>
      <c r="O192" s="30"/>
      <c r="P192" s="30"/>
      <c r="Q192" s="30"/>
      <c r="R192" s="57"/>
      <c r="S192" s="57"/>
      <c r="T192" s="57"/>
      <c r="U192" s="57"/>
      <c r="V192" s="57"/>
      <c r="W192" s="57"/>
      <c r="X192" s="57"/>
      <c r="Y192" s="57"/>
      <c r="Z192" s="68"/>
      <c r="AA192" s="68"/>
      <c r="AB192" s="57"/>
      <c r="AC192" s="30" t="s">
        <v>1912</v>
      </c>
      <c r="AD192" s="30">
        <v>2021</v>
      </c>
      <c r="AE192" s="30" t="s">
        <v>1913</v>
      </c>
      <c r="AF192" s="30"/>
      <c r="AG192" s="30"/>
      <c r="AH192" s="30"/>
      <c r="AI192" s="30"/>
      <c r="AJ192" s="31">
        <f t="shared" si="13"/>
        <v>0</v>
      </c>
      <c r="AK192" s="34"/>
      <c r="AL192" s="31">
        <f t="shared" si="14"/>
        <v>0</v>
      </c>
      <c r="AM192" s="34"/>
      <c r="AN192" s="34">
        <v>272040000</v>
      </c>
      <c r="AO192" s="52"/>
      <c r="AP192" s="30" t="s">
        <v>1914</v>
      </c>
      <c r="AQ192" s="30" t="s">
        <v>130</v>
      </c>
      <c r="AR192" s="30"/>
      <c r="AS192" s="30"/>
      <c r="AT192" s="30" t="s">
        <v>1915</v>
      </c>
      <c r="AU192" s="30">
        <v>2021</v>
      </c>
      <c r="AV192" s="35"/>
      <c r="AW192" s="34"/>
      <c r="AX192" s="35"/>
      <c r="AY192" s="34"/>
      <c r="AZ192" s="34">
        <v>290000000</v>
      </c>
      <c r="BA192" s="32">
        <f>AZ192-20000000</f>
        <v>270000000</v>
      </c>
      <c r="BB192" s="30" t="s">
        <v>1916</v>
      </c>
      <c r="BC192" s="30" t="s">
        <v>81</v>
      </c>
      <c r="BD192" s="30" t="s">
        <v>342</v>
      </c>
      <c r="BE192" s="30" t="s">
        <v>130</v>
      </c>
      <c r="BF192" s="30"/>
      <c r="BG192" s="30"/>
      <c r="BH192" s="30" t="s">
        <v>1917</v>
      </c>
      <c r="BI192" s="30">
        <v>2021</v>
      </c>
      <c r="BJ192" s="36"/>
      <c r="BK192" s="34"/>
      <c r="BL192" s="36"/>
      <c r="BM192" s="34"/>
      <c r="BN192" s="34">
        <v>300000000</v>
      </c>
      <c r="BO192" s="32">
        <f>BN192-20000000</f>
        <v>280000000</v>
      </c>
      <c r="BP192" s="30" t="s">
        <v>1918</v>
      </c>
      <c r="BQ192" s="30" t="s">
        <v>81</v>
      </c>
      <c r="BR192" s="30" t="s">
        <v>331</v>
      </c>
      <c r="BS192" s="30" t="s">
        <v>130</v>
      </c>
      <c r="BT192" s="30"/>
      <c r="BU192" s="30"/>
      <c r="BV192" s="30" t="s">
        <v>1917</v>
      </c>
      <c r="BW192" s="30">
        <v>2021</v>
      </c>
      <c r="BX192" s="36"/>
      <c r="BY192" s="34"/>
      <c r="BZ192" s="36"/>
      <c r="CA192" s="34"/>
      <c r="CB192" s="34">
        <v>298000000</v>
      </c>
      <c r="CC192" s="32">
        <f>CB192-18000000</f>
        <v>280000000</v>
      </c>
      <c r="CD192" s="30" t="s">
        <v>1919</v>
      </c>
      <c r="CE192" s="30" t="s">
        <v>81</v>
      </c>
      <c r="CF192" s="57"/>
      <c r="CG192" s="30"/>
      <c r="CH192" s="30"/>
      <c r="CI192" s="64"/>
      <c r="CJ192" s="64"/>
      <c r="CK192" s="64"/>
      <c r="CL192" s="64"/>
    </row>
    <row r="193" spans="2:90" ht="150" customHeight="1" x14ac:dyDescent="0.25">
      <c r="B193" s="57"/>
      <c r="C193" s="57"/>
      <c r="D193" s="68"/>
      <c r="E193" s="57"/>
      <c r="F193" s="57"/>
      <c r="G193" s="30">
        <v>5</v>
      </c>
      <c r="H193" s="30" t="s">
        <v>1858</v>
      </c>
      <c r="I193" s="35"/>
      <c r="J193" s="30"/>
      <c r="K193" s="35"/>
      <c r="L193" s="35"/>
      <c r="M193" s="30"/>
      <c r="N193" s="30"/>
      <c r="O193" s="30"/>
      <c r="P193" s="30"/>
      <c r="Q193" s="30"/>
      <c r="R193" s="58"/>
      <c r="S193" s="58"/>
      <c r="T193" s="58"/>
      <c r="U193" s="58"/>
      <c r="V193" s="57"/>
      <c r="W193" s="57"/>
      <c r="X193" s="57"/>
      <c r="Y193" s="57"/>
      <c r="Z193" s="68"/>
      <c r="AA193" s="68"/>
      <c r="AB193" s="57"/>
      <c r="AC193" s="30" t="s">
        <v>1920</v>
      </c>
      <c r="AD193" s="30">
        <v>2022</v>
      </c>
      <c r="AE193" s="30" t="s">
        <v>1921</v>
      </c>
      <c r="AF193" s="30"/>
      <c r="AG193" s="30"/>
      <c r="AH193" s="30"/>
      <c r="AI193" s="30"/>
      <c r="AJ193" s="31">
        <f t="shared" si="13"/>
        <v>0</v>
      </c>
      <c r="AK193" s="34"/>
      <c r="AL193" s="31">
        <f t="shared" si="14"/>
        <v>0</v>
      </c>
      <c r="AM193" s="34"/>
      <c r="AN193" s="34">
        <v>14040000</v>
      </c>
      <c r="AO193" s="53"/>
      <c r="AP193" s="30" t="s">
        <v>331</v>
      </c>
      <c r="AQ193" s="30" t="s">
        <v>1858</v>
      </c>
      <c r="AR193" s="30"/>
      <c r="AS193" s="30"/>
      <c r="AT193" s="30" t="s">
        <v>1922</v>
      </c>
      <c r="AU193" s="30">
        <v>2022</v>
      </c>
      <c r="AV193" s="35"/>
      <c r="AW193" s="34"/>
      <c r="AX193" s="35"/>
      <c r="AY193" s="34"/>
      <c r="AZ193" s="34">
        <v>13500000</v>
      </c>
      <c r="BA193" s="32">
        <f>AZ193-1000000</f>
        <v>12500000</v>
      </c>
      <c r="BB193" s="30" t="s">
        <v>1923</v>
      </c>
      <c r="BC193" s="30" t="s">
        <v>81</v>
      </c>
      <c r="BD193" s="30" t="s">
        <v>331</v>
      </c>
      <c r="BE193" s="30" t="s">
        <v>1858</v>
      </c>
      <c r="BF193" s="30"/>
      <c r="BG193" s="30"/>
      <c r="BH193" s="30" t="s">
        <v>1922</v>
      </c>
      <c r="BI193" s="30">
        <v>2022</v>
      </c>
      <c r="BJ193" s="36"/>
      <c r="BK193" s="34"/>
      <c r="BL193" s="36"/>
      <c r="BM193" s="34"/>
      <c r="BN193" s="34">
        <v>14500000</v>
      </c>
      <c r="BO193" s="32">
        <f>BN193-1500000</f>
        <v>13000000</v>
      </c>
      <c r="BP193" s="30" t="s">
        <v>1924</v>
      </c>
      <c r="BQ193" s="30" t="s">
        <v>81</v>
      </c>
      <c r="BR193" s="30" t="s">
        <v>1925</v>
      </c>
      <c r="BS193" s="30" t="s">
        <v>1858</v>
      </c>
      <c r="BT193" s="30"/>
      <c r="BU193" s="30"/>
      <c r="BV193" s="30" t="s">
        <v>1922</v>
      </c>
      <c r="BW193" s="30">
        <v>2022</v>
      </c>
      <c r="BX193" s="36"/>
      <c r="BY193" s="34"/>
      <c r="BZ193" s="36"/>
      <c r="CA193" s="34"/>
      <c r="CB193" s="34">
        <v>14500000</v>
      </c>
      <c r="CC193" s="32">
        <f>CB193-1500000</f>
        <v>13000000</v>
      </c>
      <c r="CD193" s="30" t="s">
        <v>1926</v>
      </c>
      <c r="CE193" s="30" t="s">
        <v>81</v>
      </c>
      <c r="CF193" s="57"/>
      <c r="CG193" s="30"/>
      <c r="CH193" s="30"/>
      <c r="CI193" s="64"/>
      <c r="CJ193" s="64"/>
      <c r="CK193" s="64"/>
      <c r="CL193" s="64"/>
    </row>
    <row r="194" spans="2:90" ht="195" customHeight="1" x14ac:dyDescent="0.25">
      <c r="B194" s="57"/>
      <c r="C194" s="57"/>
      <c r="D194" s="68"/>
      <c r="E194" s="57"/>
      <c r="F194" s="57"/>
      <c r="G194" s="30">
        <v>1</v>
      </c>
      <c r="H194" s="30" t="s">
        <v>387</v>
      </c>
      <c r="I194" s="35"/>
      <c r="J194" s="30"/>
      <c r="K194" s="35">
        <v>390</v>
      </c>
      <c r="L194" s="35"/>
      <c r="M194" s="30" t="s">
        <v>1927</v>
      </c>
      <c r="N194" s="30"/>
      <c r="O194" s="30"/>
      <c r="P194" s="30"/>
      <c r="Q194" s="30"/>
      <c r="R194" s="54" t="s">
        <v>1928</v>
      </c>
      <c r="S194" s="54" t="s">
        <v>1929</v>
      </c>
      <c r="T194" s="54" t="s">
        <v>1930</v>
      </c>
      <c r="U194" s="54" t="s">
        <v>1931</v>
      </c>
      <c r="V194" s="57"/>
      <c r="W194" s="57"/>
      <c r="X194" s="57"/>
      <c r="Y194" s="57"/>
      <c r="Z194" s="68"/>
      <c r="AA194" s="68"/>
      <c r="AB194" s="57"/>
      <c r="AC194" s="30"/>
      <c r="AD194" s="30"/>
      <c r="AE194" s="30"/>
      <c r="AF194" s="30"/>
      <c r="AG194" s="30"/>
      <c r="AH194" s="30"/>
      <c r="AI194" s="30"/>
      <c r="AJ194" s="31">
        <f t="shared" si="13"/>
        <v>0</v>
      </c>
      <c r="AK194" s="34"/>
      <c r="AL194" s="31">
        <f t="shared" si="14"/>
        <v>390</v>
      </c>
      <c r="AM194" s="34">
        <f>589200000/AL194</f>
        <v>1510769.2307692308</v>
      </c>
      <c r="AN194" s="34">
        <f>474147000+4552888000+15013589000+71020000</f>
        <v>20111644000</v>
      </c>
      <c r="AO194" s="51">
        <f>(AJ194*AK194)+(AL194*AM194)+AN194+5279730000</f>
        <v>25980574000</v>
      </c>
      <c r="AP194" s="30"/>
      <c r="AQ194" s="30"/>
      <c r="AR194" s="30"/>
      <c r="AS194" s="30"/>
      <c r="AT194" s="30"/>
      <c r="AU194" s="30"/>
      <c r="AV194" s="35"/>
      <c r="AW194" s="34"/>
      <c r="AX194" s="35"/>
      <c r="AY194" s="34"/>
      <c r="AZ194" s="34"/>
      <c r="BA194" s="32">
        <f>AV194*AW194</f>
        <v>0</v>
      </c>
      <c r="BB194" s="30"/>
      <c r="BC194" s="30"/>
      <c r="BD194" s="30"/>
      <c r="BE194" s="30"/>
      <c r="BF194" s="30"/>
      <c r="BG194" s="30"/>
      <c r="BH194" s="30"/>
      <c r="BI194" s="30"/>
      <c r="BJ194" s="36"/>
      <c r="BK194" s="34"/>
      <c r="BL194" s="36"/>
      <c r="BM194" s="34"/>
      <c r="BN194" s="34"/>
      <c r="BO194" s="32">
        <f t="shared" ref="BO194:BO255" si="19">BJ194*BK194</f>
        <v>0</v>
      </c>
      <c r="BP194" s="30"/>
      <c r="BQ194" s="30"/>
      <c r="BR194" s="30"/>
      <c r="BS194" s="30"/>
      <c r="BT194" s="30"/>
      <c r="BU194" s="30"/>
      <c r="BV194" s="30"/>
      <c r="BW194" s="30"/>
      <c r="BX194" s="36"/>
      <c r="BY194" s="34"/>
      <c r="BZ194" s="36"/>
      <c r="CA194" s="34"/>
      <c r="CB194" s="34"/>
      <c r="CC194" s="32">
        <f t="shared" ref="CC194:CC257" si="20">BX194*BY194</f>
        <v>0</v>
      </c>
      <c r="CD194" s="30"/>
      <c r="CE194" s="30"/>
      <c r="CF194" s="57"/>
      <c r="CG194" s="30"/>
      <c r="CH194" s="30"/>
      <c r="CI194" s="64"/>
      <c r="CJ194" s="64"/>
      <c r="CK194" s="64"/>
      <c r="CL194" s="64"/>
    </row>
    <row r="195" spans="2:90" ht="45" x14ac:dyDescent="0.25">
      <c r="B195" s="57"/>
      <c r="C195" s="57"/>
      <c r="D195" s="68"/>
      <c r="E195" s="57"/>
      <c r="F195" s="57"/>
      <c r="G195" s="30">
        <v>2</v>
      </c>
      <c r="H195" s="54" t="s">
        <v>130</v>
      </c>
      <c r="I195" s="35"/>
      <c r="J195" s="30"/>
      <c r="K195" s="35"/>
      <c r="L195" s="35"/>
      <c r="M195" s="30"/>
      <c r="N195" s="30"/>
      <c r="O195" s="30"/>
      <c r="P195" s="30"/>
      <c r="Q195" s="30"/>
      <c r="R195" s="57"/>
      <c r="S195" s="57"/>
      <c r="T195" s="57"/>
      <c r="U195" s="57"/>
      <c r="V195" s="57"/>
      <c r="W195" s="57"/>
      <c r="X195" s="57"/>
      <c r="Y195" s="57"/>
      <c r="Z195" s="68"/>
      <c r="AA195" s="68"/>
      <c r="AB195" s="57"/>
      <c r="AC195" s="30" t="s">
        <v>1932</v>
      </c>
      <c r="AD195" s="30">
        <v>2010</v>
      </c>
      <c r="AE195" s="30" t="s">
        <v>1933</v>
      </c>
      <c r="AF195" s="30"/>
      <c r="AG195" s="30"/>
      <c r="AH195" s="30"/>
      <c r="AI195" s="30"/>
      <c r="AJ195" s="31">
        <f t="shared" si="13"/>
        <v>0</v>
      </c>
      <c r="AK195" s="34"/>
      <c r="AL195" s="31">
        <f t="shared" si="14"/>
        <v>0</v>
      </c>
      <c r="AM195" s="34"/>
      <c r="AN195" s="34">
        <v>66736013</v>
      </c>
      <c r="AO195" s="52"/>
      <c r="AP195" s="30" t="s">
        <v>172</v>
      </c>
      <c r="AQ195" s="64" t="s">
        <v>130</v>
      </c>
      <c r="AR195" s="30"/>
      <c r="AS195" s="30"/>
      <c r="AT195" s="30" t="s">
        <v>1934</v>
      </c>
      <c r="AU195" s="30">
        <v>2010</v>
      </c>
      <c r="AV195" s="35"/>
      <c r="AW195" s="34"/>
      <c r="AX195" s="35"/>
      <c r="AY195" s="34"/>
      <c r="AZ195" s="34">
        <v>83000000</v>
      </c>
      <c r="BA195" s="32">
        <f>AZ195-16000000</f>
        <v>67000000</v>
      </c>
      <c r="BB195" s="30" t="s">
        <v>1935</v>
      </c>
      <c r="BC195" s="30" t="s">
        <v>81</v>
      </c>
      <c r="BD195" s="30" t="s">
        <v>1936</v>
      </c>
      <c r="BE195" s="30" t="s">
        <v>130</v>
      </c>
      <c r="BF195" s="30"/>
      <c r="BG195" s="30"/>
      <c r="BH195" s="30" t="s">
        <v>1933</v>
      </c>
      <c r="BI195" s="30">
        <v>2010</v>
      </c>
      <c r="BJ195" s="36"/>
      <c r="BK195" s="34"/>
      <c r="BL195" s="36"/>
      <c r="BM195" s="34"/>
      <c r="BN195" s="34">
        <v>80000000</v>
      </c>
      <c r="BO195" s="32">
        <f>BN195-15000000</f>
        <v>65000000</v>
      </c>
      <c r="BP195" s="30" t="s">
        <v>1937</v>
      </c>
      <c r="BQ195" s="30" t="s">
        <v>81</v>
      </c>
      <c r="BR195" s="30" t="s">
        <v>157</v>
      </c>
      <c r="BS195" s="30" t="s">
        <v>130</v>
      </c>
      <c r="BT195" s="30"/>
      <c r="BU195" s="30"/>
      <c r="BV195" s="30" t="s">
        <v>1938</v>
      </c>
      <c r="BW195" s="30">
        <v>2012</v>
      </c>
      <c r="BX195" s="36"/>
      <c r="BY195" s="34"/>
      <c r="BZ195" s="36"/>
      <c r="CA195" s="34"/>
      <c r="CB195" s="34">
        <v>135000000</v>
      </c>
      <c r="CC195" s="32">
        <f>CB195-26000000</f>
        <v>109000000</v>
      </c>
      <c r="CD195" s="30" t="s">
        <v>1939</v>
      </c>
      <c r="CE195" s="30" t="s">
        <v>81</v>
      </c>
      <c r="CF195" s="57"/>
      <c r="CG195" s="30"/>
      <c r="CH195" s="30"/>
      <c r="CI195" s="64"/>
      <c r="CJ195" s="64"/>
      <c r="CK195" s="64"/>
      <c r="CL195" s="64"/>
    </row>
    <row r="196" spans="2:90" ht="165" x14ac:dyDescent="0.25">
      <c r="B196" s="57"/>
      <c r="C196" s="57"/>
      <c r="D196" s="68"/>
      <c r="E196" s="57"/>
      <c r="F196" s="57"/>
      <c r="G196" s="30">
        <v>3</v>
      </c>
      <c r="H196" s="57"/>
      <c r="I196" s="35"/>
      <c r="J196" s="30"/>
      <c r="K196" s="35"/>
      <c r="L196" s="35"/>
      <c r="M196" s="30"/>
      <c r="N196" s="30"/>
      <c r="O196" s="30"/>
      <c r="P196" s="30"/>
      <c r="Q196" s="30"/>
      <c r="R196" s="57"/>
      <c r="S196" s="57"/>
      <c r="T196" s="57"/>
      <c r="U196" s="57"/>
      <c r="V196" s="57"/>
      <c r="W196" s="57"/>
      <c r="X196" s="57"/>
      <c r="Y196" s="57"/>
      <c r="Z196" s="68"/>
      <c r="AA196" s="68"/>
      <c r="AB196" s="57"/>
      <c r="AC196" s="30" t="s">
        <v>1940</v>
      </c>
      <c r="AD196" s="30" t="s">
        <v>1941</v>
      </c>
      <c r="AE196" s="30" t="s">
        <v>1942</v>
      </c>
      <c r="AF196" s="30"/>
      <c r="AG196" s="30"/>
      <c r="AH196" s="30"/>
      <c r="AI196" s="30"/>
      <c r="AJ196" s="31">
        <f t="shared" si="13"/>
        <v>0</v>
      </c>
      <c r="AK196" s="34"/>
      <c r="AL196" s="31">
        <f t="shared" si="14"/>
        <v>0</v>
      </c>
      <c r="AM196" s="34"/>
      <c r="AN196" s="34">
        <f>287701229+284199770+284178718+266800000+265675205+271800000+264179500+268700000+297300000+295154854</f>
        <v>2785689276</v>
      </c>
      <c r="AO196" s="52"/>
      <c r="AP196" s="30" t="s">
        <v>342</v>
      </c>
      <c r="AQ196" s="30" t="s">
        <v>130</v>
      </c>
      <c r="AR196" s="30"/>
      <c r="AS196" s="30"/>
      <c r="AT196" s="54" t="s">
        <v>1943</v>
      </c>
      <c r="AU196" s="30">
        <v>2011</v>
      </c>
      <c r="AV196" s="35"/>
      <c r="AW196" s="34"/>
      <c r="AX196" s="35"/>
      <c r="AY196" s="34"/>
      <c r="AZ196" s="34">
        <v>380000000</v>
      </c>
      <c r="BA196" s="32">
        <f>AZ196-30000000</f>
        <v>350000000</v>
      </c>
      <c r="BB196" s="30" t="s">
        <v>1944</v>
      </c>
      <c r="BC196" s="30" t="s">
        <v>81</v>
      </c>
      <c r="BD196" s="30" t="s">
        <v>275</v>
      </c>
      <c r="BE196" s="30" t="s">
        <v>130</v>
      </c>
      <c r="BF196" s="30"/>
      <c r="BG196" s="30"/>
      <c r="BH196" s="54" t="s">
        <v>1943</v>
      </c>
      <c r="BI196" s="30">
        <v>2013</v>
      </c>
      <c r="BJ196" s="36"/>
      <c r="BK196" s="34"/>
      <c r="BL196" s="36"/>
      <c r="BM196" s="34"/>
      <c r="BN196" s="34">
        <v>380000000</v>
      </c>
      <c r="BO196" s="32">
        <f>BN196-70000000</f>
        <v>310000000</v>
      </c>
      <c r="BP196" s="30" t="s">
        <v>1945</v>
      </c>
      <c r="BQ196" s="30" t="s">
        <v>81</v>
      </c>
      <c r="BR196" s="30" t="s">
        <v>331</v>
      </c>
      <c r="BS196" s="30" t="s">
        <v>130</v>
      </c>
      <c r="BT196" s="30"/>
      <c r="BU196" s="30"/>
      <c r="BV196" s="54" t="s">
        <v>1943</v>
      </c>
      <c r="BW196" s="30">
        <v>2013</v>
      </c>
      <c r="BX196" s="36"/>
      <c r="BY196" s="34"/>
      <c r="BZ196" s="36"/>
      <c r="CA196" s="34"/>
      <c r="CB196" s="34">
        <v>410000000</v>
      </c>
      <c r="CC196" s="32">
        <f>CB196-70000000</f>
        <v>340000000</v>
      </c>
      <c r="CD196" s="30">
        <v>81210398992</v>
      </c>
      <c r="CE196" s="30" t="s">
        <v>81</v>
      </c>
      <c r="CF196" s="57"/>
      <c r="CG196" s="30"/>
      <c r="CH196" s="30"/>
      <c r="CI196" s="64"/>
      <c r="CJ196" s="64"/>
      <c r="CK196" s="64"/>
      <c r="CL196" s="64"/>
    </row>
    <row r="197" spans="2:90" ht="60" x14ac:dyDescent="0.25">
      <c r="B197" s="57"/>
      <c r="C197" s="57"/>
      <c r="D197" s="68"/>
      <c r="E197" s="57"/>
      <c r="F197" s="57"/>
      <c r="G197" s="30">
        <v>4</v>
      </c>
      <c r="H197" s="57"/>
      <c r="I197" s="35"/>
      <c r="J197" s="30"/>
      <c r="K197" s="35"/>
      <c r="L197" s="35"/>
      <c r="M197" s="30"/>
      <c r="N197" s="30"/>
      <c r="O197" s="30"/>
      <c r="P197" s="30"/>
      <c r="Q197" s="30"/>
      <c r="R197" s="57"/>
      <c r="S197" s="57"/>
      <c r="T197" s="57"/>
      <c r="U197" s="57"/>
      <c r="V197" s="57"/>
      <c r="W197" s="57"/>
      <c r="X197" s="57"/>
      <c r="Y197" s="57"/>
      <c r="Z197" s="68"/>
      <c r="AA197" s="68"/>
      <c r="AB197" s="57"/>
      <c r="AC197" s="30" t="s">
        <v>1946</v>
      </c>
      <c r="AD197" s="30">
        <v>2017</v>
      </c>
      <c r="AE197" s="30" t="s">
        <v>1947</v>
      </c>
      <c r="AF197" s="30"/>
      <c r="AG197" s="30"/>
      <c r="AH197" s="30"/>
      <c r="AI197" s="30"/>
      <c r="AJ197" s="31">
        <f t="shared" ref="AJ197:AJ260" si="21">I197</f>
        <v>0</v>
      </c>
      <c r="AK197" s="34"/>
      <c r="AL197" s="31">
        <f t="shared" ref="AL197:AL260" si="22">K197</f>
        <v>0</v>
      </c>
      <c r="AM197" s="34"/>
      <c r="AN197" s="34">
        <f>484061305+497900000</f>
        <v>981961305</v>
      </c>
      <c r="AO197" s="52"/>
      <c r="AP197" s="30" t="s">
        <v>331</v>
      </c>
      <c r="AQ197" s="30" t="s">
        <v>130</v>
      </c>
      <c r="AR197" s="30"/>
      <c r="AS197" s="30"/>
      <c r="AT197" s="57"/>
      <c r="AU197" s="30">
        <v>2017</v>
      </c>
      <c r="AV197" s="35"/>
      <c r="AW197" s="34"/>
      <c r="AX197" s="35"/>
      <c r="AY197" s="34"/>
      <c r="AZ197" s="34">
        <v>655000000</v>
      </c>
      <c r="BA197" s="32">
        <f>AZ197-117800000</f>
        <v>537200000</v>
      </c>
      <c r="BB197" s="30" t="s">
        <v>1948</v>
      </c>
      <c r="BC197" s="30" t="s">
        <v>81</v>
      </c>
      <c r="BD197" s="30" t="s">
        <v>1914</v>
      </c>
      <c r="BE197" s="30" t="s">
        <v>130</v>
      </c>
      <c r="BF197" s="30"/>
      <c r="BG197" s="30"/>
      <c r="BH197" s="57"/>
      <c r="BI197" s="30">
        <v>2017</v>
      </c>
      <c r="BJ197" s="36"/>
      <c r="BK197" s="34"/>
      <c r="BL197" s="36"/>
      <c r="BM197" s="34"/>
      <c r="BN197" s="34">
        <v>700000000</v>
      </c>
      <c r="BO197" s="32">
        <f>BN197-142800000</f>
        <v>557200000</v>
      </c>
      <c r="BP197" s="30" t="s">
        <v>1949</v>
      </c>
      <c r="BQ197" s="30" t="s">
        <v>81</v>
      </c>
      <c r="BR197" s="30" t="s">
        <v>344</v>
      </c>
      <c r="BS197" s="30" t="s">
        <v>130</v>
      </c>
      <c r="BT197" s="30"/>
      <c r="BU197" s="30"/>
      <c r="BV197" s="57"/>
      <c r="BW197" s="30">
        <v>2016</v>
      </c>
      <c r="BX197" s="36"/>
      <c r="BY197" s="34"/>
      <c r="BZ197" s="36"/>
      <c r="CA197" s="34"/>
      <c r="CB197" s="34">
        <v>625000000</v>
      </c>
      <c r="CC197" s="32">
        <f>CB197-107800000</f>
        <v>517200000</v>
      </c>
      <c r="CD197" s="30" t="s">
        <v>1950</v>
      </c>
      <c r="CE197" s="30" t="s">
        <v>81</v>
      </c>
      <c r="CF197" s="57"/>
      <c r="CG197" s="30"/>
      <c r="CH197" s="30"/>
      <c r="CI197" s="64"/>
      <c r="CJ197" s="64"/>
      <c r="CK197" s="64"/>
      <c r="CL197" s="64"/>
    </row>
    <row r="198" spans="2:90" ht="45" x14ac:dyDescent="0.25">
      <c r="B198" s="57"/>
      <c r="C198" s="57"/>
      <c r="D198" s="68"/>
      <c r="E198" s="57"/>
      <c r="F198" s="57"/>
      <c r="G198" s="30">
        <v>5</v>
      </c>
      <c r="H198" s="58"/>
      <c r="I198" s="35"/>
      <c r="J198" s="30"/>
      <c r="K198" s="35"/>
      <c r="L198" s="35"/>
      <c r="M198" s="30"/>
      <c r="N198" s="30"/>
      <c r="O198" s="30"/>
      <c r="P198" s="30"/>
      <c r="Q198" s="30"/>
      <c r="R198" s="57"/>
      <c r="S198" s="57"/>
      <c r="T198" s="57"/>
      <c r="U198" s="57"/>
      <c r="V198" s="57"/>
      <c r="W198" s="57"/>
      <c r="X198" s="57"/>
      <c r="Y198" s="57"/>
      <c r="Z198" s="68"/>
      <c r="AA198" s="68"/>
      <c r="AB198" s="57"/>
      <c r="AC198" s="30" t="s">
        <v>1951</v>
      </c>
      <c r="AD198" s="30">
        <v>2019</v>
      </c>
      <c r="AE198" s="30" t="s">
        <v>1947</v>
      </c>
      <c r="AF198" s="30"/>
      <c r="AG198" s="30"/>
      <c r="AH198" s="30"/>
      <c r="AI198" s="30"/>
      <c r="AJ198" s="31">
        <f t="shared" si="21"/>
        <v>0</v>
      </c>
      <c r="AK198" s="34"/>
      <c r="AL198" s="31">
        <f t="shared" si="22"/>
        <v>0</v>
      </c>
      <c r="AM198" s="34"/>
      <c r="AN198" s="34">
        <f>720990645+720600000</f>
        <v>1441590645</v>
      </c>
      <c r="AO198" s="52"/>
      <c r="AP198" s="30" t="s">
        <v>331</v>
      </c>
      <c r="AQ198" s="30" t="s">
        <v>130</v>
      </c>
      <c r="AR198" s="30"/>
      <c r="AS198" s="30"/>
      <c r="AT198" s="58"/>
      <c r="AU198" s="30">
        <v>2020</v>
      </c>
      <c r="AV198" s="35"/>
      <c r="AW198" s="34"/>
      <c r="AX198" s="35"/>
      <c r="AY198" s="34"/>
      <c r="AZ198" s="34">
        <v>730000000</v>
      </c>
      <c r="BA198" s="32">
        <f>AZ198-72800000</f>
        <v>657200000</v>
      </c>
      <c r="BB198" s="30" t="s">
        <v>1952</v>
      </c>
      <c r="BC198" s="30" t="s">
        <v>81</v>
      </c>
      <c r="BD198" s="30" t="s">
        <v>336</v>
      </c>
      <c r="BE198" s="30" t="s">
        <v>130</v>
      </c>
      <c r="BF198" s="30"/>
      <c r="BG198" s="30"/>
      <c r="BH198" s="58"/>
      <c r="BI198" s="30">
        <v>2019</v>
      </c>
      <c r="BJ198" s="36"/>
      <c r="BK198" s="34"/>
      <c r="BL198" s="36"/>
      <c r="BM198" s="34"/>
      <c r="BN198" s="34">
        <v>725000000</v>
      </c>
      <c r="BO198" s="32">
        <f>BN198-100000000</f>
        <v>625000000</v>
      </c>
      <c r="BP198" s="30" t="s">
        <v>1953</v>
      </c>
      <c r="BQ198" s="30" t="s">
        <v>81</v>
      </c>
      <c r="BR198" s="30" t="s">
        <v>331</v>
      </c>
      <c r="BS198" s="30" t="s">
        <v>130</v>
      </c>
      <c r="BT198" s="30"/>
      <c r="BU198" s="30"/>
      <c r="BV198" s="58"/>
      <c r="BW198" s="30">
        <v>2019</v>
      </c>
      <c r="BX198" s="36"/>
      <c r="BY198" s="34"/>
      <c r="BZ198" s="36"/>
      <c r="CA198" s="34"/>
      <c r="CB198" s="34">
        <v>745000000</v>
      </c>
      <c r="CC198" s="32">
        <f>CB198-95000000</f>
        <v>650000000</v>
      </c>
      <c r="CD198" s="30" t="s">
        <v>1954</v>
      </c>
      <c r="CE198" s="30" t="s">
        <v>81</v>
      </c>
      <c r="CF198" s="57"/>
      <c r="CG198" s="30"/>
      <c r="CH198" s="30"/>
      <c r="CI198" s="64"/>
      <c r="CJ198" s="64"/>
      <c r="CK198" s="64"/>
      <c r="CL198" s="64"/>
    </row>
    <row r="199" spans="2:90" ht="45" x14ac:dyDescent="0.25">
      <c r="B199" s="58"/>
      <c r="C199" s="58"/>
      <c r="D199" s="69"/>
      <c r="E199" s="58"/>
      <c r="F199" s="58"/>
      <c r="G199" s="30">
        <v>6</v>
      </c>
      <c r="H199" s="30" t="s">
        <v>1858</v>
      </c>
      <c r="I199" s="35"/>
      <c r="J199" s="30"/>
      <c r="K199" s="35"/>
      <c r="L199" s="35"/>
      <c r="M199" s="30"/>
      <c r="N199" s="30"/>
      <c r="O199" s="30"/>
      <c r="P199" s="30"/>
      <c r="Q199" s="30"/>
      <c r="R199" s="58"/>
      <c r="S199" s="58"/>
      <c r="T199" s="58"/>
      <c r="U199" s="58"/>
      <c r="V199" s="58"/>
      <c r="W199" s="58"/>
      <c r="X199" s="58"/>
      <c r="Y199" s="58"/>
      <c r="Z199" s="69"/>
      <c r="AA199" s="69"/>
      <c r="AB199" s="58"/>
      <c r="AC199" s="30" t="s">
        <v>1955</v>
      </c>
      <c r="AD199" s="30">
        <v>2010</v>
      </c>
      <c r="AE199" s="30" t="s">
        <v>1956</v>
      </c>
      <c r="AF199" s="30"/>
      <c r="AG199" s="30"/>
      <c r="AH199" s="30"/>
      <c r="AI199" s="30"/>
      <c r="AJ199" s="31">
        <f t="shared" si="21"/>
        <v>0</v>
      </c>
      <c r="AK199" s="34"/>
      <c r="AL199" s="31">
        <f t="shared" si="22"/>
        <v>0</v>
      </c>
      <c r="AM199" s="34"/>
      <c r="AN199" s="34">
        <v>3590000</v>
      </c>
      <c r="AO199" s="53"/>
      <c r="AP199" s="30" t="s">
        <v>331</v>
      </c>
      <c r="AQ199" s="30" t="s">
        <v>1858</v>
      </c>
      <c r="AR199" s="30"/>
      <c r="AS199" s="30"/>
      <c r="AT199" s="30" t="s">
        <v>1956</v>
      </c>
      <c r="AU199" s="30">
        <v>2010</v>
      </c>
      <c r="AV199" s="35"/>
      <c r="AW199" s="34"/>
      <c r="AX199" s="35"/>
      <c r="AY199" s="34"/>
      <c r="AZ199" s="34">
        <v>3250000</v>
      </c>
      <c r="BA199" s="32">
        <f>AZ199-450000</f>
        <v>2800000</v>
      </c>
      <c r="BB199" s="30" t="s">
        <v>1957</v>
      </c>
      <c r="BC199" s="30" t="s">
        <v>81</v>
      </c>
      <c r="BD199" s="30" t="s">
        <v>342</v>
      </c>
      <c r="BE199" s="30" t="s">
        <v>1858</v>
      </c>
      <c r="BF199" s="30"/>
      <c r="BG199" s="30"/>
      <c r="BH199" s="30" t="s">
        <v>1956</v>
      </c>
      <c r="BI199" s="30">
        <v>2010</v>
      </c>
      <c r="BJ199" s="36"/>
      <c r="BK199" s="34"/>
      <c r="BL199" s="36"/>
      <c r="BM199" s="34"/>
      <c r="BN199" s="34">
        <v>3900000</v>
      </c>
      <c r="BO199" s="32">
        <f>BN199-600000</f>
        <v>3300000</v>
      </c>
      <c r="BP199" s="30" t="s">
        <v>1958</v>
      </c>
      <c r="BQ199" s="30" t="s">
        <v>81</v>
      </c>
      <c r="BR199" s="30" t="s">
        <v>342</v>
      </c>
      <c r="BS199" s="30" t="s">
        <v>1858</v>
      </c>
      <c r="BT199" s="30"/>
      <c r="BU199" s="30"/>
      <c r="BV199" s="30" t="s">
        <v>1956</v>
      </c>
      <c r="BW199" s="30">
        <v>2010</v>
      </c>
      <c r="BX199" s="36"/>
      <c r="BY199" s="34"/>
      <c r="BZ199" s="36"/>
      <c r="CA199" s="34"/>
      <c r="CB199" s="34">
        <v>3950000</v>
      </c>
      <c r="CC199" s="32">
        <f>CB199-650000</f>
        <v>3300000</v>
      </c>
      <c r="CD199" s="30" t="s">
        <v>1959</v>
      </c>
      <c r="CE199" s="30" t="s">
        <v>81</v>
      </c>
      <c r="CF199" s="58"/>
      <c r="CG199" s="30"/>
      <c r="CH199" s="30"/>
      <c r="CI199" s="64"/>
      <c r="CJ199" s="64"/>
      <c r="CK199" s="64"/>
      <c r="CL199" s="64"/>
    </row>
    <row r="200" spans="2:90" ht="135" x14ac:dyDescent="0.25">
      <c r="B200" s="54" t="s">
        <v>1960</v>
      </c>
      <c r="C200" s="54" t="s">
        <v>1961</v>
      </c>
      <c r="D200" s="67">
        <v>45537</v>
      </c>
      <c r="E200" s="54" t="s">
        <v>386</v>
      </c>
      <c r="F200" s="54" t="s">
        <v>93</v>
      </c>
      <c r="G200" s="30"/>
      <c r="H200" s="30" t="s">
        <v>387</v>
      </c>
      <c r="I200" s="35"/>
      <c r="J200" s="30"/>
      <c r="K200" s="35">
        <v>410</v>
      </c>
      <c r="L200" s="35"/>
      <c r="M200" s="30" t="s">
        <v>1962</v>
      </c>
      <c r="N200" s="30"/>
      <c r="O200" s="30"/>
      <c r="P200" s="30"/>
      <c r="Q200" s="30"/>
      <c r="R200" s="54" t="s">
        <v>1963</v>
      </c>
      <c r="S200" s="54" t="s">
        <v>1964</v>
      </c>
      <c r="T200" s="54" t="s">
        <v>1965</v>
      </c>
      <c r="U200" s="54" t="s">
        <v>1966</v>
      </c>
      <c r="V200" s="54" t="s">
        <v>1967</v>
      </c>
      <c r="W200" s="54" t="s">
        <v>72</v>
      </c>
      <c r="X200" s="54" t="s">
        <v>85</v>
      </c>
      <c r="Y200" s="54" t="s">
        <v>73</v>
      </c>
      <c r="Z200" s="67" t="s">
        <v>1968</v>
      </c>
      <c r="AA200" s="67">
        <v>45405</v>
      </c>
      <c r="AB200" s="54" t="s">
        <v>90</v>
      </c>
      <c r="AC200" s="30"/>
      <c r="AD200" s="30"/>
      <c r="AE200" s="30"/>
      <c r="AF200" s="30"/>
      <c r="AG200" s="30"/>
      <c r="AH200" s="30"/>
      <c r="AI200" s="30"/>
      <c r="AJ200" s="31">
        <f t="shared" si="21"/>
        <v>0</v>
      </c>
      <c r="AK200" s="34"/>
      <c r="AL200" s="31">
        <f t="shared" si="22"/>
        <v>410</v>
      </c>
      <c r="AM200" s="34">
        <f>464400000/AL200</f>
        <v>1132682.9268292682</v>
      </c>
      <c r="AN200" s="34">
        <f>285244000+4992948000+21672253000+140727000</f>
        <v>27091172000</v>
      </c>
      <c r="AO200" s="51">
        <f>(AJ200*AK200)+(AL200*AM200)+AN200+4075220000</f>
        <v>31630792000</v>
      </c>
      <c r="AP200" s="30"/>
      <c r="AQ200" s="30"/>
      <c r="AR200" s="30"/>
      <c r="AS200" s="30"/>
      <c r="AT200" s="30"/>
      <c r="AU200" s="30"/>
      <c r="AV200" s="35"/>
      <c r="AW200" s="34"/>
      <c r="AX200" s="35"/>
      <c r="AY200" s="34"/>
      <c r="AZ200" s="34"/>
      <c r="BA200" s="32">
        <f>AV200*AW200</f>
        <v>0</v>
      </c>
      <c r="BB200" s="30"/>
      <c r="BC200" s="30"/>
      <c r="BD200" s="30"/>
      <c r="BE200" s="30"/>
      <c r="BF200" s="30"/>
      <c r="BG200" s="30"/>
      <c r="BH200" s="30"/>
      <c r="BI200" s="30"/>
      <c r="BJ200" s="36"/>
      <c r="BK200" s="34"/>
      <c r="BL200" s="36"/>
      <c r="BM200" s="34"/>
      <c r="BN200" s="34"/>
      <c r="BO200" s="32">
        <f t="shared" si="19"/>
        <v>0</v>
      </c>
      <c r="BP200" s="30"/>
      <c r="BQ200" s="30"/>
      <c r="BR200" s="30"/>
      <c r="BS200" s="30"/>
      <c r="BT200" s="30"/>
      <c r="BU200" s="30"/>
      <c r="BV200" s="30"/>
      <c r="BW200" s="30"/>
      <c r="BX200" s="36"/>
      <c r="BY200" s="34"/>
      <c r="BZ200" s="36"/>
      <c r="CA200" s="34"/>
      <c r="CB200" s="34"/>
      <c r="CC200" s="32">
        <f t="shared" si="20"/>
        <v>0</v>
      </c>
      <c r="CD200" s="30"/>
      <c r="CE200" s="30"/>
      <c r="CF200" s="54" t="s">
        <v>1969</v>
      </c>
      <c r="CG200" s="30"/>
      <c r="CH200" s="30"/>
      <c r="CI200" s="64"/>
      <c r="CJ200" s="64"/>
      <c r="CK200" s="64"/>
      <c r="CL200" s="64"/>
    </row>
    <row r="201" spans="2:90" ht="75" x14ac:dyDescent="0.25">
      <c r="B201" s="57"/>
      <c r="C201" s="57"/>
      <c r="D201" s="68"/>
      <c r="E201" s="57"/>
      <c r="F201" s="57"/>
      <c r="G201" s="30"/>
      <c r="H201" s="54" t="s">
        <v>130</v>
      </c>
      <c r="I201" s="35"/>
      <c r="J201" s="30"/>
      <c r="K201" s="35"/>
      <c r="L201" s="35"/>
      <c r="M201" s="30"/>
      <c r="N201" s="30"/>
      <c r="O201" s="30"/>
      <c r="P201" s="30"/>
      <c r="Q201" s="30"/>
      <c r="R201" s="57"/>
      <c r="S201" s="57"/>
      <c r="T201" s="57"/>
      <c r="U201" s="57"/>
      <c r="V201" s="57"/>
      <c r="W201" s="57"/>
      <c r="X201" s="57"/>
      <c r="Y201" s="57"/>
      <c r="Z201" s="68"/>
      <c r="AA201" s="68"/>
      <c r="AB201" s="57"/>
      <c r="AC201" s="30" t="s">
        <v>1970</v>
      </c>
      <c r="AD201" s="30">
        <v>2010</v>
      </c>
      <c r="AE201" s="30" t="s">
        <v>1971</v>
      </c>
      <c r="AF201" s="30"/>
      <c r="AG201" s="30"/>
      <c r="AH201" s="30"/>
      <c r="AI201" s="30"/>
      <c r="AJ201" s="31">
        <f t="shared" si="21"/>
        <v>0</v>
      </c>
      <c r="AK201" s="34"/>
      <c r="AL201" s="31">
        <f t="shared" si="22"/>
        <v>0</v>
      </c>
      <c r="AM201" s="34"/>
      <c r="AN201" s="34">
        <f>232604164+231339808+231327038+231346768</f>
        <v>926617778</v>
      </c>
      <c r="AO201" s="52"/>
      <c r="AP201" s="30" t="s">
        <v>342</v>
      </c>
      <c r="AQ201" s="30" t="s">
        <v>130</v>
      </c>
      <c r="AR201" s="30"/>
      <c r="AS201" s="30"/>
      <c r="AT201" s="30" t="s">
        <v>1972</v>
      </c>
      <c r="AU201" s="30">
        <v>2011</v>
      </c>
      <c r="AV201" s="35"/>
      <c r="AW201" s="34"/>
      <c r="AX201" s="35"/>
      <c r="AY201" s="34"/>
      <c r="AZ201" s="34">
        <v>330000000</v>
      </c>
      <c r="BA201" s="32">
        <f>AZ201-30000000</f>
        <v>300000000</v>
      </c>
      <c r="BB201" s="30" t="s">
        <v>1944</v>
      </c>
      <c r="BC201" s="30" t="s">
        <v>81</v>
      </c>
      <c r="BD201" s="30" t="s">
        <v>275</v>
      </c>
      <c r="BE201" s="30" t="s">
        <v>130</v>
      </c>
      <c r="BF201" s="30"/>
      <c r="BG201" s="30"/>
      <c r="BH201" s="30" t="s">
        <v>1972</v>
      </c>
      <c r="BI201" s="30">
        <v>2013</v>
      </c>
      <c r="BJ201" s="36"/>
      <c r="BK201" s="34"/>
      <c r="BL201" s="36"/>
      <c r="BM201" s="34"/>
      <c r="BN201" s="34">
        <v>380000000</v>
      </c>
      <c r="BO201" s="32">
        <f>BN201-70000000</f>
        <v>310000000</v>
      </c>
      <c r="BP201" s="30" t="s">
        <v>1945</v>
      </c>
      <c r="BQ201" s="30" t="s">
        <v>81</v>
      </c>
      <c r="BR201" s="30" t="s">
        <v>331</v>
      </c>
      <c r="BS201" s="30" t="s">
        <v>130</v>
      </c>
      <c r="BT201" s="30"/>
      <c r="BU201" s="30"/>
      <c r="BV201" s="30" t="s">
        <v>1972</v>
      </c>
      <c r="BW201" s="30">
        <v>2013</v>
      </c>
      <c r="BX201" s="36"/>
      <c r="BY201" s="34"/>
      <c r="BZ201" s="36"/>
      <c r="CA201" s="34"/>
      <c r="CB201" s="34">
        <v>410000000</v>
      </c>
      <c r="CC201" s="32">
        <f>CB201-70000000</f>
        <v>340000000</v>
      </c>
      <c r="CD201" s="30">
        <v>-81210398992</v>
      </c>
      <c r="CE201" s="30" t="s">
        <v>81</v>
      </c>
      <c r="CF201" s="57"/>
      <c r="CG201" s="30"/>
      <c r="CH201" s="30"/>
      <c r="CI201" s="64"/>
      <c r="CJ201" s="64"/>
      <c r="CK201" s="64"/>
      <c r="CL201" s="64"/>
    </row>
    <row r="202" spans="2:90" ht="45" x14ac:dyDescent="0.25">
      <c r="B202" s="57"/>
      <c r="C202" s="57"/>
      <c r="D202" s="68"/>
      <c r="E202" s="57"/>
      <c r="F202" s="57"/>
      <c r="G202" s="30"/>
      <c r="H202" s="57"/>
      <c r="I202" s="35"/>
      <c r="J202" s="30"/>
      <c r="K202" s="35"/>
      <c r="L202" s="35"/>
      <c r="M202" s="30"/>
      <c r="N202" s="30"/>
      <c r="O202" s="30"/>
      <c r="P202" s="30"/>
      <c r="Q202" s="30"/>
      <c r="R202" s="57"/>
      <c r="S202" s="57"/>
      <c r="T202" s="57"/>
      <c r="U202" s="57"/>
      <c r="V202" s="57"/>
      <c r="W202" s="57"/>
      <c r="X202" s="57"/>
      <c r="Y202" s="57"/>
      <c r="Z202" s="68"/>
      <c r="AA202" s="68"/>
      <c r="AB202" s="57"/>
      <c r="AC202" s="30" t="s">
        <v>1973</v>
      </c>
      <c r="AD202" s="30">
        <v>2014</v>
      </c>
      <c r="AE202" s="30" t="s">
        <v>1974</v>
      </c>
      <c r="AF202" s="30"/>
      <c r="AG202" s="30"/>
      <c r="AH202" s="30"/>
      <c r="AI202" s="30"/>
      <c r="AJ202" s="31">
        <f t="shared" si="21"/>
        <v>0</v>
      </c>
      <c r="AK202" s="34"/>
      <c r="AL202" s="31">
        <f t="shared" si="22"/>
        <v>0</v>
      </c>
      <c r="AM202" s="34"/>
      <c r="AN202" s="34">
        <f>386680000+385598360</f>
        <v>772278360</v>
      </c>
      <c r="AO202" s="52"/>
      <c r="AP202" s="30" t="s">
        <v>1975</v>
      </c>
      <c r="AQ202" s="30" t="s">
        <v>130</v>
      </c>
      <c r="AR202" s="30"/>
      <c r="AS202" s="30"/>
      <c r="AT202" s="30" t="s">
        <v>1976</v>
      </c>
      <c r="AU202" s="30">
        <v>2014</v>
      </c>
      <c r="AV202" s="35"/>
      <c r="AW202" s="34"/>
      <c r="AX202" s="35"/>
      <c r="AY202" s="34"/>
      <c r="AZ202" s="34">
        <v>500000000</v>
      </c>
      <c r="BA202" s="32">
        <v>370000000</v>
      </c>
      <c r="BB202" s="30" t="s">
        <v>1977</v>
      </c>
      <c r="BC202" s="30" t="s">
        <v>81</v>
      </c>
      <c r="BD202" s="30" t="s">
        <v>84</v>
      </c>
      <c r="BE202" s="30" t="s">
        <v>130</v>
      </c>
      <c r="BF202" s="30"/>
      <c r="BG202" s="30"/>
      <c r="BH202" s="30" t="s">
        <v>1976</v>
      </c>
      <c r="BI202" s="30">
        <v>2014</v>
      </c>
      <c r="BJ202" s="36"/>
      <c r="BK202" s="34"/>
      <c r="BL202" s="36"/>
      <c r="BM202" s="34"/>
      <c r="BN202" s="34">
        <v>475000000</v>
      </c>
      <c r="BO202" s="32">
        <f>378750000-38750000</f>
        <v>340000000</v>
      </c>
      <c r="BP202" s="30" t="s">
        <v>1978</v>
      </c>
      <c r="BQ202" s="30" t="s">
        <v>81</v>
      </c>
      <c r="BR202" s="30" t="s">
        <v>342</v>
      </c>
      <c r="BS202" s="30" t="s">
        <v>130</v>
      </c>
      <c r="BT202" s="30"/>
      <c r="BU202" s="30"/>
      <c r="BV202" s="30" t="s">
        <v>1976</v>
      </c>
      <c r="BW202" s="30">
        <v>2014</v>
      </c>
      <c r="BX202" s="36"/>
      <c r="BY202" s="34"/>
      <c r="BZ202" s="36"/>
      <c r="CA202" s="34"/>
      <c r="CB202" s="34">
        <v>540000000</v>
      </c>
      <c r="CC202" s="32">
        <f>443750000-43750000</f>
        <v>400000000</v>
      </c>
      <c r="CD202" s="30" t="s">
        <v>1979</v>
      </c>
      <c r="CE202" s="30" t="s">
        <v>81</v>
      </c>
      <c r="CF202" s="57"/>
      <c r="CG202" s="30"/>
      <c r="CH202" s="30"/>
      <c r="CI202" s="64"/>
      <c r="CJ202" s="64"/>
      <c r="CK202" s="64"/>
      <c r="CL202" s="64"/>
    </row>
    <row r="203" spans="2:90" ht="60" x14ac:dyDescent="0.25">
      <c r="B203" s="57"/>
      <c r="C203" s="57"/>
      <c r="D203" s="68"/>
      <c r="E203" s="57"/>
      <c r="F203" s="57"/>
      <c r="G203" s="30"/>
      <c r="H203" s="57"/>
      <c r="I203" s="35"/>
      <c r="J203" s="30"/>
      <c r="K203" s="35"/>
      <c r="L203" s="35"/>
      <c r="M203" s="30"/>
      <c r="N203" s="30"/>
      <c r="O203" s="30"/>
      <c r="P203" s="30"/>
      <c r="Q203" s="30"/>
      <c r="R203" s="57"/>
      <c r="S203" s="57"/>
      <c r="T203" s="57"/>
      <c r="U203" s="57"/>
      <c r="V203" s="57"/>
      <c r="W203" s="57"/>
      <c r="X203" s="57"/>
      <c r="Y203" s="57"/>
      <c r="Z203" s="68"/>
      <c r="AA203" s="68"/>
      <c r="AB203" s="57"/>
      <c r="AC203" s="30" t="s">
        <v>1980</v>
      </c>
      <c r="AD203" s="30" t="s">
        <v>1981</v>
      </c>
      <c r="AE203" s="30" t="s">
        <v>1982</v>
      </c>
      <c r="AF203" s="30"/>
      <c r="AG203" s="30"/>
      <c r="AH203" s="30"/>
      <c r="AI203" s="30"/>
      <c r="AJ203" s="31">
        <f t="shared" si="21"/>
        <v>0</v>
      </c>
      <c r="AK203" s="34"/>
      <c r="AL203" s="31">
        <f t="shared" si="22"/>
        <v>0</v>
      </c>
      <c r="AM203" s="34"/>
      <c r="AN203" s="34">
        <f>430758658+423957180+516310555+515921594</f>
        <v>1886947987</v>
      </c>
      <c r="AO203" s="52"/>
      <c r="AP203" s="30" t="s">
        <v>331</v>
      </c>
      <c r="AQ203" s="30" t="s">
        <v>130</v>
      </c>
      <c r="AR203" s="30"/>
      <c r="AS203" s="30"/>
      <c r="AT203" s="30" t="s">
        <v>1976</v>
      </c>
      <c r="AU203" s="30">
        <v>2017</v>
      </c>
      <c r="AV203" s="35"/>
      <c r="AW203" s="34"/>
      <c r="AX203" s="35"/>
      <c r="AY203" s="34"/>
      <c r="AZ203" s="34">
        <v>655000000</v>
      </c>
      <c r="BA203" s="32">
        <f>597250000-107250000</f>
        <v>490000000</v>
      </c>
      <c r="BB203" s="30" t="s">
        <v>1948</v>
      </c>
      <c r="BC203" s="30" t="s">
        <v>81</v>
      </c>
      <c r="BD203" s="30" t="s">
        <v>172</v>
      </c>
      <c r="BE203" s="30" t="s">
        <v>130</v>
      </c>
      <c r="BF203" s="30"/>
      <c r="BG203" s="30"/>
      <c r="BH203" s="30" t="s">
        <v>1976</v>
      </c>
      <c r="BI203" s="30">
        <v>2015</v>
      </c>
      <c r="BJ203" s="36"/>
      <c r="BK203" s="34"/>
      <c r="BL203" s="36"/>
      <c r="BM203" s="34"/>
      <c r="BN203" s="34">
        <v>560000000</v>
      </c>
      <c r="BO203" s="32">
        <f>513250000-63250000</f>
        <v>450000000</v>
      </c>
      <c r="BP203" s="30" t="s">
        <v>1983</v>
      </c>
      <c r="BQ203" s="30" t="s">
        <v>81</v>
      </c>
      <c r="BR203" s="30" t="s">
        <v>344</v>
      </c>
      <c r="BS203" s="30" t="s">
        <v>130</v>
      </c>
      <c r="BT203" s="30"/>
      <c r="BU203" s="30"/>
      <c r="BV203" s="30" t="s">
        <v>1976</v>
      </c>
      <c r="BW203" s="30">
        <v>2016</v>
      </c>
      <c r="BX203" s="36"/>
      <c r="BY203" s="34"/>
      <c r="BZ203" s="36"/>
      <c r="CA203" s="34"/>
      <c r="CB203" s="34">
        <v>625000000</v>
      </c>
      <c r="CC203" s="32">
        <f>567250000-107250000</f>
        <v>460000000</v>
      </c>
      <c r="CD203" s="30" t="s">
        <v>1950</v>
      </c>
      <c r="CE203" s="30" t="s">
        <v>81</v>
      </c>
      <c r="CF203" s="57"/>
      <c r="CG203" s="30"/>
      <c r="CH203" s="30"/>
      <c r="CI203" s="64"/>
      <c r="CJ203" s="64"/>
      <c r="CK203" s="64"/>
      <c r="CL203" s="64"/>
    </row>
    <row r="204" spans="2:90" ht="45" x14ac:dyDescent="0.25">
      <c r="B204" s="57"/>
      <c r="C204" s="57"/>
      <c r="D204" s="68"/>
      <c r="E204" s="57"/>
      <c r="F204" s="57"/>
      <c r="G204" s="30"/>
      <c r="H204" s="57"/>
      <c r="I204" s="35"/>
      <c r="J204" s="30"/>
      <c r="K204" s="35"/>
      <c r="L204" s="35"/>
      <c r="M204" s="30"/>
      <c r="N204" s="30"/>
      <c r="O204" s="30"/>
      <c r="P204" s="30"/>
      <c r="Q204" s="30"/>
      <c r="R204" s="57"/>
      <c r="S204" s="57"/>
      <c r="T204" s="57"/>
      <c r="U204" s="57"/>
      <c r="V204" s="57"/>
      <c r="W204" s="57"/>
      <c r="X204" s="57"/>
      <c r="Y204" s="57"/>
      <c r="Z204" s="68"/>
      <c r="AA204" s="68"/>
      <c r="AB204" s="57"/>
      <c r="AC204" s="30" t="s">
        <v>1984</v>
      </c>
      <c r="AD204" s="30">
        <v>2010</v>
      </c>
      <c r="AE204" s="30" t="s">
        <v>1985</v>
      </c>
      <c r="AF204" s="30"/>
      <c r="AG204" s="30"/>
      <c r="AH204" s="30"/>
      <c r="AI204" s="30"/>
      <c r="AJ204" s="31">
        <f t="shared" si="21"/>
        <v>0</v>
      </c>
      <c r="AK204" s="34"/>
      <c r="AL204" s="31">
        <f t="shared" si="22"/>
        <v>0</v>
      </c>
      <c r="AM204" s="34"/>
      <c r="AN204" s="34">
        <v>70656890</v>
      </c>
      <c r="AO204" s="52"/>
      <c r="AP204" s="30" t="s">
        <v>1986</v>
      </c>
      <c r="AQ204" s="30" t="s">
        <v>130</v>
      </c>
      <c r="AR204" s="30"/>
      <c r="AS204" s="30"/>
      <c r="AT204" s="30" t="s">
        <v>1987</v>
      </c>
      <c r="AU204" s="30">
        <v>2010</v>
      </c>
      <c r="AV204" s="35"/>
      <c r="AW204" s="34"/>
      <c r="AX204" s="35"/>
      <c r="AY204" s="34"/>
      <c r="AZ204" s="34">
        <v>115000000</v>
      </c>
      <c r="BA204" s="32">
        <f>AZ204-30000000</f>
        <v>85000000</v>
      </c>
      <c r="BB204" s="30" t="s">
        <v>1988</v>
      </c>
      <c r="BC204" s="30" t="s">
        <v>81</v>
      </c>
      <c r="BD204" s="30" t="s">
        <v>1989</v>
      </c>
      <c r="BE204" s="30" t="s">
        <v>130</v>
      </c>
      <c r="BF204" s="30"/>
      <c r="BG204" s="30"/>
      <c r="BH204" s="30" t="s">
        <v>1987</v>
      </c>
      <c r="BI204" s="30">
        <v>2010</v>
      </c>
      <c r="BJ204" s="36"/>
      <c r="BK204" s="34"/>
      <c r="BL204" s="36"/>
      <c r="BM204" s="34"/>
      <c r="BN204" s="34">
        <v>95000000</v>
      </c>
      <c r="BO204" s="32">
        <f>BN204-10000000</f>
        <v>85000000</v>
      </c>
      <c r="BP204" s="30" t="s">
        <v>1990</v>
      </c>
      <c r="BQ204" s="30" t="s">
        <v>81</v>
      </c>
      <c r="BR204" s="30" t="s">
        <v>1991</v>
      </c>
      <c r="BS204" s="30" t="s">
        <v>130</v>
      </c>
      <c r="BT204" s="30"/>
      <c r="BU204" s="30"/>
      <c r="BV204" s="30" t="s">
        <v>1987</v>
      </c>
      <c r="BW204" s="30">
        <v>2010</v>
      </c>
      <c r="BX204" s="36"/>
      <c r="BY204" s="34"/>
      <c r="BZ204" s="36"/>
      <c r="CA204" s="34"/>
      <c r="CB204" s="34">
        <v>110000000</v>
      </c>
      <c r="CC204" s="32">
        <f>CB204-25000000</f>
        <v>85000000</v>
      </c>
      <c r="CD204" s="30" t="s">
        <v>1992</v>
      </c>
      <c r="CE204" s="30" t="s">
        <v>81</v>
      </c>
      <c r="CF204" s="57"/>
      <c r="CG204" s="30"/>
      <c r="CH204" s="30"/>
      <c r="CI204" s="64"/>
      <c r="CJ204" s="64"/>
      <c r="CK204" s="64"/>
      <c r="CL204" s="64"/>
    </row>
    <row r="205" spans="2:90" ht="30" x14ac:dyDescent="0.25">
      <c r="B205" s="57"/>
      <c r="C205" s="57"/>
      <c r="D205" s="68"/>
      <c r="E205" s="57"/>
      <c r="F205" s="57"/>
      <c r="G205" s="30"/>
      <c r="H205" s="57"/>
      <c r="I205" s="35"/>
      <c r="J205" s="30"/>
      <c r="K205" s="35"/>
      <c r="L205" s="35"/>
      <c r="M205" s="30"/>
      <c r="N205" s="30"/>
      <c r="O205" s="30"/>
      <c r="P205" s="30"/>
      <c r="Q205" s="30"/>
      <c r="R205" s="57"/>
      <c r="S205" s="57"/>
      <c r="T205" s="57"/>
      <c r="U205" s="57"/>
      <c r="V205" s="57"/>
      <c r="W205" s="57"/>
      <c r="X205" s="57"/>
      <c r="Y205" s="57"/>
      <c r="Z205" s="68"/>
      <c r="AA205" s="68"/>
      <c r="AB205" s="57"/>
      <c r="AC205" s="30" t="s">
        <v>1993</v>
      </c>
      <c r="AD205" s="30">
        <v>2015</v>
      </c>
      <c r="AE205" s="30" t="s">
        <v>1994</v>
      </c>
      <c r="AF205" s="30"/>
      <c r="AG205" s="30"/>
      <c r="AH205" s="30"/>
      <c r="AI205" s="30"/>
      <c r="AJ205" s="31">
        <f t="shared" si="21"/>
        <v>0</v>
      </c>
      <c r="AK205" s="34"/>
      <c r="AL205" s="31">
        <f t="shared" si="22"/>
        <v>0</v>
      </c>
      <c r="AM205" s="34"/>
      <c r="AN205" s="34">
        <v>215418071</v>
      </c>
      <c r="AO205" s="52"/>
      <c r="AP205" s="30" t="s">
        <v>1986</v>
      </c>
      <c r="AQ205" s="30" t="s">
        <v>130</v>
      </c>
      <c r="AR205" s="30"/>
      <c r="AS205" s="30"/>
      <c r="AT205" s="30" t="s">
        <v>1994</v>
      </c>
      <c r="AU205" s="30">
        <v>2015</v>
      </c>
      <c r="AV205" s="35"/>
      <c r="AW205" s="34"/>
      <c r="AX205" s="35"/>
      <c r="AY205" s="34"/>
      <c r="AZ205" s="34">
        <v>220000000</v>
      </c>
      <c r="BA205" s="32">
        <f>AZ205</f>
        <v>220000000</v>
      </c>
      <c r="BB205" s="30"/>
      <c r="BC205" s="30"/>
      <c r="BD205" s="30" t="s">
        <v>1995</v>
      </c>
      <c r="BE205" s="30" t="s">
        <v>130</v>
      </c>
      <c r="BF205" s="30"/>
      <c r="BG205" s="30"/>
      <c r="BH205" s="30" t="s">
        <v>1994</v>
      </c>
      <c r="BI205" s="30">
        <v>2014</v>
      </c>
      <c r="BJ205" s="36"/>
      <c r="BK205" s="34"/>
      <c r="BL205" s="36"/>
      <c r="BM205" s="34"/>
      <c r="BN205" s="34">
        <v>225000000</v>
      </c>
      <c r="BO205" s="32">
        <f>BN205-10000000</f>
        <v>215000000</v>
      </c>
      <c r="BP205" s="30">
        <v>8134710723</v>
      </c>
      <c r="BQ205" s="30" t="s">
        <v>81</v>
      </c>
      <c r="BR205" s="30" t="s">
        <v>1995</v>
      </c>
      <c r="BS205" s="30" t="s">
        <v>130</v>
      </c>
      <c r="BT205" s="30"/>
      <c r="BU205" s="30"/>
      <c r="BV205" s="30" t="s">
        <v>1994</v>
      </c>
      <c r="BW205" s="30">
        <v>2017</v>
      </c>
      <c r="BX205" s="36"/>
      <c r="BY205" s="34"/>
      <c r="BZ205" s="36"/>
      <c r="CA205" s="34"/>
      <c r="CB205" s="34">
        <v>265000000</v>
      </c>
      <c r="CC205" s="32">
        <f>CB205-5000000</f>
        <v>260000000</v>
      </c>
      <c r="CD205" s="30"/>
      <c r="CE205" s="30"/>
      <c r="CF205" s="57"/>
      <c r="CG205" s="30"/>
      <c r="CH205" s="30"/>
      <c r="CI205" s="64"/>
      <c r="CJ205" s="64"/>
      <c r="CK205" s="64"/>
      <c r="CL205" s="64"/>
    </row>
    <row r="206" spans="2:90" ht="60" x14ac:dyDescent="0.25">
      <c r="B206" s="57"/>
      <c r="C206" s="57"/>
      <c r="D206" s="68"/>
      <c r="E206" s="57"/>
      <c r="F206" s="57"/>
      <c r="G206" s="30"/>
      <c r="H206" s="57"/>
      <c r="I206" s="35"/>
      <c r="J206" s="30"/>
      <c r="K206" s="35"/>
      <c r="L206" s="35"/>
      <c r="M206" s="30"/>
      <c r="N206" s="30"/>
      <c r="O206" s="30"/>
      <c r="P206" s="30"/>
      <c r="Q206" s="30"/>
      <c r="R206" s="57"/>
      <c r="S206" s="57"/>
      <c r="T206" s="57"/>
      <c r="U206" s="57"/>
      <c r="V206" s="57"/>
      <c r="W206" s="57"/>
      <c r="X206" s="57"/>
      <c r="Y206" s="57"/>
      <c r="Z206" s="68"/>
      <c r="AA206" s="68"/>
      <c r="AB206" s="57"/>
      <c r="AC206" s="30" t="s">
        <v>1996</v>
      </c>
      <c r="AD206" s="30">
        <v>2010</v>
      </c>
      <c r="AE206" s="30" t="s">
        <v>1997</v>
      </c>
      <c r="AF206" s="30"/>
      <c r="AG206" s="30"/>
      <c r="AH206" s="30"/>
      <c r="AI206" s="30"/>
      <c r="AJ206" s="31">
        <f t="shared" si="21"/>
        <v>0</v>
      </c>
      <c r="AK206" s="34"/>
      <c r="AL206" s="31">
        <f t="shared" si="22"/>
        <v>0</v>
      </c>
      <c r="AM206" s="34"/>
      <c r="AN206" s="34">
        <v>97537094</v>
      </c>
      <c r="AO206" s="52"/>
      <c r="AP206" s="30" t="s">
        <v>1998</v>
      </c>
      <c r="AQ206" s="30" t="s">
        <v>130</v>
      </c>
      <c r="AR206" s="30"/>
      <c r="AS206" s="30"/>
      <c r="AT206" s="30" t="s">
        <v>1997</v>
      </c>
      <c r="AU206" s="30">
        <v>2010</v>
      </c>
      <c r="AV206" s="35"/>
      <c r="AW206" s="34"/>
      <c r="AX206" s="35"/>
      <c r="AY206" s="34"/>
      <c r="AZ206" s="34">
        <v>128000000</v>
      </c>
      <c r="BA206" s="32">
        <f>AZ206-28000000</f>
        <v>100000000</v>
      </c>
      <c r="BB206" s="30" t="s">
        <v>1999</v>
      </c>
      <c r="BC206" s="30" t="s">
        <v>81</v>
      </c>
      <c r="BD206" s="30" t="s">
        <v>2000</v>
      </c>
      <c r="BE206" s="30" t="s">
        <v>130</v>
      </c>
      <c r="BF206" s="30"/>
      <c r="BG206" s="30"/>
      <c r="BH206" s="30" t="s">
        <v>1997</v>
      </c>
      <c r="BI206" s="30">
        <v>2010</v>
      </c>
      <c r="BJ206" s="36"/>
      <c r="BK206" s="34"/>
      <c r="BL206" s="36"/>
      <c r="BM206" s="34"/>
      <c r="BN206" s="34">
        <v>125000000</v>
      </c>
      <c r="BO206" s="32">
        <f>-BN206-25000000</f>
        <v>-150000000</v>
      </c>
      <c r="BP206" s="30" t="s">
        <v>2001</v>
      </c>
      <c r="BQ206" s="30" t="s">
        <v>81</v>
      </c>
      <c r="BR206" s="30" t="s">
        <v>2000</v>
      </c>
      <c r="BS206" s="30" t="s">
        <v>130</v>
      </c>
      <c r="BT206" s="30"/>
      <c r="BU206" s="30"/>
      <c r="BV206" s="30" t="s">
        <v>1997</v>
      </c>
      <c r="BW206" s="30">
        <v>2010</v>
      </c>
      <c r="BX206" s="36"/>
      <c r="BY206" s="34"/>
      <c r="BZ206" s="36"/>
      <c r="CA206" s="34"/>
      <c r="CB206" s="34">
        <v>119000000</v>
      </c>
      <c r="CC206" s="32">
        <f>CB206-19000000</f>
        <v>100000000</v>
      </c>
      <c r="CD206" s="30" t="s">
        <v>2002</v>
      </c>
      <c r="CE206" s="30" t="s">
        <v>81</v>
      </c>
      <c r="CF206" s="57"/>
      <c r="CG206" s="30"/>
      <c r="CH206" s="30"/>
      <c r="CI206" s="64"/>
      <c r="CJ206" s="64"/>
      <c r="CK206" s="64"/>
      <c r="CL206" s="64"/>
    </row>
    <row r="207" spans="2:90" ht="45" x14ac:dyDescent="0.25">
      <c r="B207" s="57"/>
      <c r="C207" s="57"/>
      <c r="D207" s="68"/>
      <c r="E207" s="57"/>
      <c r="F207" s="57"/>
      <c r="G207" s="30"/>
      <c r="H207" s="58"/>
      <c r="I207" s="35"/>
      <c r="J207" s="30"/>
      <c r="K207" s="35"/>
      <c r="L207" s="35"/>
      <c r="M207" s="30"/>
      <c r="N207" s="30"/>
      <c r="O207" s="30"/>
      <c r="P207" s="30"/>
      <c r="Q207" s="30"/>
      <c r="R207" s="57"/>
      <c r="S207" s="57"/>
      <c r="T207" s="57"/>
      <c r="U207" s="57"/>
      <c r="V207" s="57"/>
      <c r="W207" s="57"/>
      <c r="X207" s="57"/>
      <c r="Y207" s="57"/>
      <c r="Z207" s="68"/>
      <c r="AA207" s="68"/>
      <c r="AB207" s="57"/>
      <c r="AC207" s="30" t="s">
        <v>2003</v>
      </c>
      <c r="AD207" s="30">
        <v>2011</v>
      </c>
      <c r="AE207" s="30" t="s">
        <v>2004</v>
      </c>
      <c r="AF207" s="30"/>
      <c r="AG207" s="30"/>
      <c r="AH207" s="30"/>
      <c r="AI207" s="30"/>
      <c r="AJ207" s="31">
        <f t="shared" si="21"/>
        <v>0</v>
      </c>
      <c r="AK207" s="34"/>
      <c r="AL207" s="31">
        <f t="shared" si="22"/>
        <v>0</v>
      </c>
      <c r="AM207" s="34"/>
      <c r="AN207" s="34">
        <v>85750000</v>
      </c>
      <c r="AO207" s="52"/>
      <c r="AP207" s="30" t="s">
        <v>2005</v>
      </c>
      <c r="AQ207" s="30" t="s">
        <v>130</v>
      </c>
      <c r="AR207" s="30"/>
      <c r="AS207" s="30"/>
      <c r="AT207" s="30" t="s">
        <v>2006</v>
      </c>
      <c r="AU207" s="30">
        <v>2011</v>
      </c>
      <c r="AV207" s="35"/>
      <c r="AW207" s="34"/>
      <c r="AX207" s="35"/>
      <c r="AY207" s="34"/>
      <c r="AZ207" s="34">
        <v>115000000</v>
      </c>
      <c r="BA207" s="32">
        <f>AZ207-15000000</f>
        <v>100000000</v>
      </c>
      <c r="BB207" s="30"/>
      <c r="BC207" s="30" t="s">
        <v>81</v>
      </c>
      <c r="BD207" s="30" t="s">
        <v>2005</v>
      </c>
      <c r="BE207" s="30" t="s">
        <v>130</v>
      </c>
      <c r="BF207" s="30"/>
      <c r="BG207" s="30"/>
      <c r="BH207" s="30" t="s">
        <v>2006</v>
      </c>
      <c r="BI207" s="30">
        <v>2011</v>
      </c>
      <c r="BJ207" s="36"/>
      <c r="BK207" s="34"/>
      <c r="BL207" s="36"/>
      <c r="BM207" s="34"/>
      <c r="BN207" s="34">
        <v>110000000</v>
      </c>
      <c r="BO207" s="32">
        <f>BN207-10000000</f>
        <v>100000000</v>
      </c>
      <c r="BP207" s="30" t="s">
        <v>2007</v>
      </c>
      <c r="BQ207" s="30" t="s">
        <v>81</v>
      </c>
      <c r="BR207" s="30" t="s">
        <v>1995</v>
      </c>
      <c r="BS207" s="30" t="s">
        <v>130</v>
      </c>
      <c r="BT207" s="30"/>
      <c r="BU207" s="30"/>
      <c r="BV207" s="30" t="s">
        <v>2006</v>
      </c>
      <c r="BW207" s="30">
        <v>2011</v>
      </c>
      <c r="BX207" s="36"/>
      <c r="BY207" s="34"/>
      <c r="BZ207" s="36"/>
      <c r="CA207" s="34"/>
      <c r="CB207" s="34">
        <v>118000000</v>
      </c>
      <c r="CC207" s="32">
        <f>CB207-18000000</f>
        <v>100000000</v>
      </c>
      <c r="CD207" s="30" t="s">
        <v>2008</v>
      </c>
      <c r="CE207" s="30" t="s">
        <v>81</v>
      </c>
      <c r="CF207" s="57"/>
      <c r="CG207" s="30"/>
      <c r="CH207" s="30"/>
      <c r="CI207" s="64"/>
      <c r="CJ207" s="64"/>
      <c r="CK207" s="64"/>
      <c r="CL207" s="64"/>
    </row>
    <row r="208" spans="2:90" ht="30" x14ac:dyDescent="0.25">
      <c r="B208" s="58"/>
      <c r="C208" s="58"/>
      <c r="D208" s="69"/>
      <c r="E208" s="58"/>
      <c r="F208" s="58"/>
      <c r="G208" s="30"/>
      <c r="H208" s="30" t="s">
        <v>1858</v>
      </c>
      <c r="I208" s="35"/>
      <c r="J208" s="30"/>
      <c r="K208" s="35"/>
      <c r="L208" s="35"/>
      <c r="M208" s="30"/>
      <c r="N208" s="30"/>
      <c r="O208" s="30"/>
      <c r="P208" s="30"/>
      <c r="Q208" s="30"/>
      <c r="R208" s="58"/>
      <c r="S208" s="58"/>
      <c r="T208" s="58"/>
      <c r="U208" s="58"/>
      <c r="V208" s="58"/>
      <c r="W208" s="58"/>
      <c r="X208" s="58"/>
      <c r="Y208" s="58"/>
      <c r="Z208" s="69"/>
      <c r="AA208" s="69"/>
      <c r="AB208" s="58"/>
      <c r="AC208" s="30" t="s">
        <v>2009</v>
      </c>
      <c r="AD208" s="30">
        <v>2023</v>
      </c>
      <c r="AE208" s="30" t="s">
        <v>2010</v>
      </c>
      <c r="AF208" s="30"/>
      <c r="AG208" s="30"/>
      <c r="AH208" s="30"/>
      <c r="AI208" s="30"/>
      <c r="AJ208" s="31">
        <f t="shared" si="21"/>
        <v>0</v>
      </c>
      <c r="AK208" s="34"/>
      <c r="AL208" s="31">
        <f t="shared" si="22"/>
        <v>0</v>
      </c>
      <c r="AM208" s="34"/>
      <c r="AN208" s="34">
        <v>20000000</v>
      </c>
      <c r="AO208" s="53"/>
      <c r="AP208" s="30" t="s">
        <v>2000</v>
      </c>
      <c r="AQ208" s="30" t="s">
        <v>1858</v>
      </c>
      <c r="AR208" s="30"/>
      <c r="AS208" s="30"/>
      <c r="AT208" s="30" t="s">
        <v>2011</v>
      </c>
      <c r="AU208" s="30">
        <v>2023</v>
      </c>
      <c r="AV208" s="35"/>
      <c r="AW208" s="34"/>
      <c r="AX208" s="35"/>
      <c r="AY208" s="34"/>
      <c r="AZ208" s="34">
        <v>22000000</v>
      </c>
      <c r="BA208" s="32">
        <f>AZ208-2000000</f>
        <v>20000000</v>
      </c>
      <c r="BB208" s="30" t="s">
        <v>2012</v>
      </c>
      <c r="BC208" s="30" t="s">
        <v>81</v>
      </c>
      <c r="BD208" s="30" t="s">
        <v>343</v>
      </c>
      <c r="BE208" s="30" t="s">
        <v>1858</v>
      </c>
      <c r="BF208" s="30"/>
      <c r="BG208" s="30"/>
      <c r="BH208" s="30" t="s">
        <v>2011</v>
      </c>
      <c r="BI208" s="30">
        <v>2023</v>
      </c>
      <c r="BJ208" s="36"/>
      <c r="BK208" s="34"/>
      <c r="BL208" s="36"/>
      <c r="BM208" s="34"/>
      <c r="BN208" s="34">
        <v>20500000</v>
      </c>
      <c r="BO208" s="32">
        <f>BN208-1000000</f>
        <v>19500000</v>
      </c>
      <c r="BP208" s="30" t="s">
        <v>2013</v>
      </c>
      <c r="BQ208" s="30" t="s">
        <v>81</v>
      </c>
      <c r="BR208" s="30" t="s">
        <v>2014</v>
      </c>
      <c r="BS208" s="30" t="s">
        <v>1858</v>
      </c>
      <c r="BT208" s="30"/>
      <c r="BU208" s="30"/>
      <c r="BV208" s="30" t="s">
        <v>2011</v>
      </c>
      <c r="BW208" s="30">
        <v>2023</v>
      </c>
      <c r="BX208" s="36"/>
      <c r="BY208" s="34"/>
      <c r="BZ208" s="36"/>
      <c r="CA208" s="34"/>
      <c r="CB208" s="34">
        <v>20000000</v>
      </c>
      <c r="CC208" s="32">
        <f>CB208-1000000</f>
        <v>19000000</v>
      </c>
      <c r="CD208" s="30" t="s">
        <v>2015</v>
      </c>
      <c r="CE208" s="30" t="s">
        <v>81</v>
      </c>
      <c r="CF208" s="58"/>
      <c r="CG208" s="30"/>
      <c r="CH208" s="30"/>
      <c r="CI208" s="64"/>
      <c r="CJ208" s="64"/>
      <c r="CK208" s="64"/>
      <c r="CL208" s="64"/>
    </row>
    <row r="209" spans="2:90" ht="105" x14ac:dyDescent="0.25">
      <c r="B209" s="54" t="s">
        <v>2016</v>
      </c>
      <c r="C209" s="54" t="s">
        <v>2017</v>
      </c>
      <c r="D209" s="67">
        <v>45539</v>
      </c>
      <c r="E209" s="54" t="s">
        <v>2018</v>
      </c>
      <c r="F209" s="54" t="s">
        <v>93</v>
      </c>
      <c r="G209" s="30">
        <v>1</v>
      </c>
      <c r="H209" s="30" t="s">
        <v>113</v>
      </c>
      <c r="I209" s="35">
        <v>3228</v>
      </c>
      <c r="J209" s="30" t="s">
        <v>70</v>
      </c>
      <c r="K209" s="35">
        <v>602</v>
      </c>
      <c r="L209" s="35"/>
      <c r="M209" s="30" t="s">
        <v>2019</v>
      </c>
      <c r="N209" s="30"/>
      <c r="O209" s="30"/>
      <c r="P209" s="30"/>
      <c r="Q209" s="30"/>
      <c r="R209" s="74" t="s">
        <v>2020</v>
      </c>
      <c r="S209" s="74" t="s">
        <v>2021</v>
      </c>
      <c r="T209" s="74" t="s">
        <v>2022</v>
      </c>
      <c r="U209" s="74" t="s">
        <v>2023</v>
      </c>
      <c r="V209" s="74" t="s">
        <v>1520</v>
      </c>
      <c r="W209" s="74" t="s">
        <v>72</v>
      </c>
      <c r="X209" s="54" t="s">
        <v>85</v>
      </c>
      <c r="Y209" s="54" t="s">
        <v>73</v>
      </c>
      <c r="Z209" s="67" t="s">
        <v>1968</v>
      </c>
      <c r="AA209" s="67">
        <v>45405</v>
      </c>
      <c r="AB209" s="54" t="s">
        <v>90</v>
      </c>
      <c r="AC209" s="30"/>
      <c r="AD209" s="30"/>
      <c r="AE209" s="30"/>
      <c r="AF209" s="30"/>
      <c r="AG209" s="30"/>
      <c r="AH209" s="30"/>
      <c r="AI209" s="30"/>
      <c r="AJ209" s="31">
        <f t="shared" si="21"/>
        <v>3228</v>
      </c>
      <c r="AK209" s="34">
        <f>2550120000/AJ209</f>
        <v>790000</v>
      </c>
      <c r="AL209" s="31">
        <f t="shared" si="22"/>
        <v>602</v>
      </c>
      <c r="AM209" s="34">
        <f>1026600000/AL209</f>
        <v>1705315.6146179403</v>
      </c>
      <c r="AN209" s="34">
        <f>112200000+140944000</f>
        <v>253144000</v>
      </c>
      <c r="AO209" s="51">
        <f>(AJ209*AK209)+(AL209*AM209)+AN209+634800000</f>
        <v>4464664000</v>
      </c>
      <c r="AP209" s="30" t="s">
        <v>2024</v>
      </c>
      <c r="AQ209" s="30" t="s">
        <v>77</v>
      </c>
      <c r="AR209" s="30"/>
      <c r="AS209" s="30"/>
      <c r="AT209" s="30"/>
      <c r="AU209" s="30"/>
      <c r="AV209" s="35">
        <v>672</v>
      </c>
      <c r="AW209" s="34">
        <v>800000</v>
      </c>
      <c r="AX209" s="35"/>
      <c r="AY209" s="34"/>
      <c r="AZ209" s="34">
        <v>604800000</v>
      </c>
      <c r="BA209" s="32">
        <f>AV209*AW209</f>
        <v>537600000</v>
      </c>
      <c r="BB209" s="30" t="s">
        <v>2025</v>
      </c>
      <c r="BC209" s="30" t="s">
        <v>81</v>
      </c>
      <c r="BD209" s="30" t="s">
        <v>2026</v>
      </c>
      <c r="BE209" s="30" t="s">
        <v>77</v>
      </c>
      <c r="BF209" s="30"/>
      <c r="BG209" s="30"/>
      <c r="BH209" s="30"/>
      <c r="BI209" s="30"/>
      <c r="BJ209" s="36">
        <v>6000</v>
      </c>
      <c r="BK209" s="34">
        <v>700000</v>
      </c>
      <c r="BL209" s="36"/>
      <c r="BM209" s="34"/>
      <c r="BN209" s="34">
        <v>4800000000</v>
      </c>
      <c r="BO209" s="32">
        <f t="shared" si="19"/>
        <v>4200000000</v>
      </c>
      <c r="BP209" s="30" t="s">
        <v>2027</v>
      </c>
      <c r="BQ209" s="30" t="s">
        <v>81</v>
      </c>
      <c r="BR209" s="30" t="s">
        <v>2026</v>
      </c>
      <c r="BS209" s="30" t="s">
        <v>360</v>
      </c>
      <c r="BT209" s="30"/>
      <c r="BU209" s="30"/>
      <c r="BV209" s="30"/>
      <c r="BW209" s="30"/>
      <c r="BX209" s="36">
        <v>3007</v>
      </c>
      <c r="BY209" s="34">
        <v>900000</v>
      </c>
      <c r="BZ209" s="36"/>
      <c r="CA209" s="34"/>
      <c r="CB209" s="34">
        <v>3200000000</v>
      </c>
      <c r="CC209" s="32">
        <f t="shared" si="20"/>
        <v>2706300000</v>
      </c>
      <c r="CD209" s="30" t="s">
        <v>2028</v>
      </c>
      <c r="CE209" s="30" t="s">
        <v>81</v>
      </c>
      <c r="CF209" s="75" t="s">
        <v>196</v>
      </c>
      <c r="CG209" s="30"/>
      <c r="CH209" s="30"/>
      <c r="CI209" s="64"/>
      <c r="CJ209" s="64"/>
      <c r="CK209" s="64"/>
      <c r="CL209" s="64"/>
    </row>
    <row r="210" spans="2:90" ht="60" x14ac:dyDescent="0.25">
      <c r="B210" s="57"/>
      <c r="C210" s="57"/>
      <c r="D210" s="68"/>
      <c r="E210" s="57"/>
      <c r="F210" s="57"/>
      <c r="G210" s="30">
        <v>2</v>
      </c>
      <c r="H210" s="74" t="s">
        <v>130</v>
      </c>
      <c r="I210" s="35"/>
      <c r="J210" s="30"/>
      <c r="K210" s="35"/>
      <c r="L210" s="35"/>
      <c r="M210" s="30"/>
      <c r="N210" s="30"/>
      <c r="O210" s="30"/>
      <c r="P210" s="30"/>
      <c r="Q210" s="30"/>
      <c r="R210" s="74"/>
      <c r="S210" s="74"/>
      <c r="T210" s="74"/>
      <c r="U210" s="74"/>
      <c r="V210" s="74"/>
      <c r="W210" s="74"/>
      <c r="X210" s="57"/>
      <c r="Y210" s="57"/>
      <c r="Z210" s="68"/>
      <c r="AA210" s="68"/>
      <c r="AB210" s="57"/>
      <c r="AC210" s="30" t="s">
        <v>2029</v>
      </c>
      <c r="AD210" s="30">
        <v>2008</v>
      </c>
      <c r="AE210" s="30" t="s">
        <v>2030</v>
      </c>
      <c r="AF210" s="30"/>
      <c r="AG210" s="30"/>
      <c r="AH210" s="30"/>
      <c r="AI210" s="30"/>
      <c r="AJ210" s="31">
        <f t="shared" si="21"/>
        <v>0</v>
      </c>
      <c r="AK210" s="48"/>
      <c r="AL210" s="31">
        <f t="shared" si="22"/>
        <v>0</v>
      </c>
      <c r="AM210" s="48"/>
      <c r="AN210" s="34">
        <v>65937483</v>
      </c>
      <c r="AO210" s="52"/>
      <c r="AP210" s="30" t="s">
        <v>2031</v>
      </c>
      <c r="AQ210" s="30" t="s">
        <v>130</v>
      </c>
      <c r="AR210" s="30"/>
      <c r="AS210" s="30"/>
      <c r="AT210" s="30" t="s">
        <v>2032</v>
      </c>
      <c r="AU210" s="30">
        <v>2008</v>
      </c>
      <c r="AV210" s="35"/>
      <c r="AW210" s="34"/>
      <c r="AX210" s="35"/>
      <c r="AY210" s="34"/>
      <c r="AZ210" s="34">
        <v>75000000</v>
      </c>
      <c r="BA210" s="32">
        <f>AZ210-11000000</f>
        <v>64000000</v>
      </c>
      <c r="BB210" s="30" t="s">
        <v>2033</v>
      </c>
      <c r="BC210" s="30" t="s">
        <v>81</v>
      </c>
      <c r="BD210" s="30" t="s">
        <v>124</v>
      </c>
      <c r="BE210" s="30" t="s">
        <v>130</v>
      </c>
      <c r="BF210" s="30"/>
      <c r="BG210" s="30"/>
      <c r="BH210" s="30" t="s">
        <v>2032</v>
      </c>
      <c r="BI210" s="30">
        <v>2010</v>
      </c>
      <c r="BJ210" s="36"/>
      <c r="BK210" s="34"/>
      <c r="BL210" s="36"/>
      <c r="BM210" s="34"/>
      <c r="BN210" s="34">
        <v>80000000</v>
      </c>
      <c r="BO210" s="32">
        <f>BN210-12000000</f>
        <v>68000000</v>
      </c>
      <c r="BP210" s="30" t="s">
        <v>2034</v>
      </c>
      <c r="BQ210" s="30" t="s">
        <v>81</v>
      </c>
      <c r="BR210" s="30" t="s">
        <v>2035</v>
      </c>
      <c r="BS210" s="30" t="s">
        <v>130</v>
      </c>
      <c r="BT210" s="30"/>
      <c r="BU210" s="30"/>
      <c r="BV210" s="30" t="s">
        <v>2032</v>
      </c>
      <c r="BW210" s="30">
        <v>2008</v>
      </c>
      <c r="BX210" s="36"/>
      <c r="BY210" s="34"/>
      <c r="BZ210" s="36"/>
      <c r="CA210" s="34"/>
      <c r="CB210" s="34">
        <v>60000000</v>
      </c>
      <c r="CC210" s="32">
        <f>CB210-7000000</f>
        <v>53000000</v>
      </c>
      <c r="CD210" s="30" t="s">
        <v>2036</v>
      </c>
      <c r="CE210" s="30" t="s">
        <v>81</v>
      </c>
      <c r="CF210" s="76"/>
      <c r="CG210" s="30"/>
      <c r="CH210" s="30"/>
      <c r="CI210" s="64"/>
      <c r="CJ210" s="64"/>
      <c r="CK210" s="64"/>
      <c r="CL210" s="64"/>
    </row>
    <row r="211" spans="2:90" ht="45" x14ac:dyDescent="0.25">
      <c r="B211" s="57"/>
      <c r="C211" s="57"/>
      <c r="D211" s="68"/>
      <c r="E211" s="57"/>
      <c r="F211" s="57"/>
      <c r="G211" s="30">
        <v>3</v>
      </c>
      <c r="H211" s="74"/>
      <c r="I211" s="35"/>
      <c r="J211" s="30"/>
      <c r="K211" s="35"/>
      <c r="L211" s="35"/>
      <c r="M211" s="30"/>
      <c r="N211" s="30"/>
      <c r="O211" s="30"/>
      <c r="P211" s="30"/>
      <c r="Q211" s="30"/>
      <c r="R211" s="74"/>
      <c r="S211" s="74"/>
      <c r="T211" s="74"/>
      <c r="U211" s="74"/>
      <c r="V211" s="74"/>
      <c r="W211" s="74"/>
      <c r="X211" s="57"/>
      <c r="Y211" s="57"/>
      <c r="Z211" s="68"/>
      <c r="AA211" s="68"/>
      <c r="AB211" s="57"/>
      <c r="AC211" s="30" t="s">
        <v>2037</v>
      </c>
      <c r="AD211" s="30">
        <v>2017</v>
      </c>
      <c r="AE211" s="30" t="s">
        <v>1994</v>
      </c>
      <c r="AF211" s="30"/>
      <c r="AG211" s="30"/>
      <c r="AH211" s="30"/>
      <c r="AI211" s="30"/>
      <c r="AJ211" s="31">
        <f t="shared" si="21"/>
        <v>0</v>
      </c>
      <c r="AK211" s="34"/>
      <c r="AL211" s="31">
        <f t="shared" si="22"/>
        <v>0</v>
      </c>
      <c r="AM211" s="34"/>
      <c r="AN211" s="34">
        <v>318382205</v>
      </c>
      <c r="AO211" s="52"/>
      <c r="AP211" s="30" t="s">
        <v>361</v>
      </c>
      <c r="AQ211" s="30" t="s">
        <v>130</v>
      </c>
      <c r="AR211" s="30"/>
      <c r="AS211" s="30"/>
      <c r="AT211" s="30" t="s">
        <v>2038</v>
      </c>
      <c r="AU211" s="30">
        <v>2017</v>
      </c>
      <c r="AV211" s="35"/>
      <c r="AW211" s="34"/>
      <c r="AX211" s="35"/>
      <c r="AY211" s="34"/>
      <c r="AZ211" s="34">
        <v>370000000</v>
      </c>
      <c r="BA211" s="32">
        <f>AZ211-50000000</f>
        <v>320000000</v>
      </c>
      <c r="BB211" s="30" t="s">
        <v>2039</v>
      </c>
      <c r="BC211" s="30" t="s">
        <v>81</v>
      </c>
      <c r="BD211" s="30" t="s">
        <v>1762</v>
      </c>
      <c r="BE211" s="30" t="s">
        <v>130</v>
      </c>
      <c r="BF211" s="30"/>
      <c r="BG211" s="30"/>
      <c r="BH211" s="30" t="s">
        <v>2038</v>
      </c>
      <c r="BI211" s="30">
        <v>2011</v>
      </c>
      <c r="BJ211" s="36"/>
      <c r="BK211" s="34"/>
      <c r="BL211" s="36"/>
      <c r="BM211" s="34"/>
      <c r="BN211" s="34">
        <v>235550000</v>
      </c>
      <c r="BO211" s="32">
        <f>BN211-35550000</f>
        <v>200000000</v>
      </c>
      <c r="BP211" s="30" t="s">
        <v>2040</v>
      </c>
      <c r="BQ211" s="30" t="s">
        <v>81</v>
      </c>
      <c r="BR211" s="30" t="s">
        <v>2041</v>
      </c>
      <c r="BS211" s="30" t="s">
        <v>130</v>
      </c>
      <c r="BT211" s="30"/>
      <c r="BU211" s="30"/>
      <c r="BV211" s="30" t="s">
        <v>2038</v>
      </c>
      <c r="BW211" s="30">
        <v>2015</v>
      </c>
      <c r="BX211" s="36"/>
      <c r="BY211" s="34"/>
      <c r="BZ211" s="36"/>
      <c r="CA211" s="34"/>
      <c r="CB211" s="34">
        <v>350000000</v>
      </c>
      <c r="CC211" s="32">
        <f>CB211-40000000</f>
        <v>310000000</v>
      </c>
      <c r="CD211" s="30" t="s">
        <v>2042</v>
      </c>
      <c r="CE211" s="30" t="s">
        <v>81</v>
      </c>
      <c r="CF211" s="76"/>
      <c r="CG211" s="30"/>
      <c r="CH211" s="30"/>
      <c r="CI211" s="64"/>
      <c r="CJ211" s="64"/>
      <c r="CK211" s="64"/>
      <c r="CL211" s="64"/>
    </row>
    <row r="212" spans="2:90" ht="60" x14ac:dyDescent="0.25">
      <c r="B212" s="57"/>
      <c r="C212" s="57"/>
      <c r="D212" s="68"/>
      <c r="E212" s="57"/>
      <c r="F212" s="57"/>
      <c r="G212" s="30">
        <v>4</v>
      </c>
      <c r="H212" s="74"/>
      <c r="I212" s="35"/>
      <c r="J212" s="30"/>
      <c r="K212" s="35"/>
      <c r="L212" s="35"/>
      <c r="M212" s="30"/>
      <c r="N212" s="30"/>
      <c r="O212" s="30"/>
      <c r="P212" s="30"/>
      <c r="Q212" s="30"/>
      <c r="R212" s="74"/>
      <c r="S212" s="74"/>
      <c r="T212" s="74"/>
      <c r="U212" s="74"/>
      <c r="V212" s="74"/>
      <c r="W212" s="74"/>
      <c r="X212" s="57"/>
      <c r="Y212" s="57"/>
      <c r="Z212" s="68"/>
      <c r="AA212" s="68"/>
      <c r="AB212" s="57"/>
      <c r="AC212" s="30" t="s">
        <v>2043</v>
      </c>
      <c r="AD212" s="30">
        <v>2008</v>
      </c>
      <c r="AE212" s="30" t="s">
        <v>1997</v>
      </c>
      <c r="AF212" s="30"/>
      <c r="AG212" s="30"/>
      <c r="AH212" s="30"/>
      <c r="AI212" s="30"/>
      <c r="AJ212" s="31">
        <f t="shared" si="21"/>
        <v>0</v>
      </c>
      <c r="AK212" s="34"/>
      <c r="AL212" s="31">
        <f t="shared" si="22"/>
        <v>0</v>
      </c>
      <c r="AM212" s="34"/>
      <c r="AN212" s="34">
        <v>95200000</v>
      </c>
      <c r="AO212" s="52"/>
      <c r="AP212" s="30" t="s">
        <v>342</v>
      </c>
      <c r="AQ212" s="30" t="s">
        <v>130</v>
      </c>
      <c r="AR212" s="30"/>
      <c r="AS212" s="30"/>
      <c r="AT212" s="30" t="s">
        <v>1867</v>
      </c>
      <c r="AU212" s="30">
        <v>2008</v>
      </c>
      <c r="AV212" s="35"/>
      <c r="AW212" s="34"/>
      <c r="AX212" s="35"/>
      <c r="AY212" s="34"/>
      <c r="AZ212" s="34">
        <v>105000000</v>
      </c>
      <c r="BA212" s="32">
        <f>AZ212-14000000</f>
        <v>91000000</v>
      </c>
      <c r="BB212" s="30" t="s">
        <v>2044</v>
      </c>
      <c r="BC212" s="30" t="s">
        <v>81</v>
      </c>
      <c r="BD212" s="30" t="s">
        <v>2045</v>
      </c>
      <c r="BE212" s="30" t="s">
        <v>130</v>
      </c>
      <c r="BF212" s="30"/>
      <c r="BG212" s="30"/>
      <c r="BH212" s="30" t="s">
        <v>1867</v>
      </c>
      <c r="BI212" s="30">
        <v>2009</v>
      </c>
      <c r="BJ212" s="36"/>
      <c r="BK212" s="34"/>
      <c r="BL212" s="36"/>
      <c r="BM212" s="34"/>
      <c r="BN212" s="34">
        <v>118500000</v>
      </c>
      <c r="BO212" s="32">
        <f>BN212-18500000</f>
        <v>100000000</v>
      </c>
      <c r="BP212" s="30" t="s">
        <v>2046</v>
      </c>
      <c r="BQ212" s="30" t="s">
        <v>81</v>
      </c>
      <c r="BR212" s="30" t="s">
        <v>79</v>
      </c>
      <c r="BS212" s="30" t="s">
        <v>130</v>
      </c>
      <c r="BT212" s="30"/>
      <c r="BU212" s="30"/>
      <c r="BV212" s="30" t="s">
        <v>1867</v>
      </c>
      <c r="BW212" s="30">
        <v>2007</v>
      </c>
      <c r="BX212" s="36"/>
      <c r="BY212" s="34"/>
      <c r="BZ212" s="36"/>
      <c r="CA212" s="34"/>
      <c r="CB212" s="34">
        <v>95000000</v>
      </c>
      <c r="CC212" s="32">
        <f>CB212-12000000</f>
        <v>83000000</v>
      </c>
      <c r="CD212" s="30" t="s">
        <v>2047</v>
      </c>
      <c r="CE212" s="30" t="s">
        <v>81</v>
      </c>
      <c r="CF212" s="76"/>
      <c r="CG212" s="30"/>
      <c r="CH212" s="30"/>
      <c r="CI212" s="64"/>
      <c r="CJ212" s="64"/>
      <c r="CK212" s="64"/>
      <c r="CL212" s="64"/>
    </row>
    <row r="213" spans="2:90" ht="45" x14ac:dyDescent="0.25">
      <c r="B213" s="57"/>
      <c r="C213" s="57"/>
      <c r="D213" s="68"/>
      <c r="E213" s="57"/>
      <c r="F213" s="57"/>
      <c r="G213" s="30">
        <v>5</v>
      </c>
      <c r="H213" s="74"/>
      <c r="I213" s="35"/>
      <c r="J213" s="30"/>
      <c r="K213" s="35"/>
      <c r="L213" s="35"/>
      <c r="M213" s="30"/>
      <c r="N213" s="30"/>
      <c r="O213" s="30"/>
      <c r="P213" s="30"/>
      <c r="Q213" s="30"/>
      <c r="R213" s="74"/>
      <c r="S213" s="74"/>
      <c r="T213" s="74"/>
      <c r="U213" s="74"/>
      <c r="V213" s="74"/>
      <c r="W213" s="74"/>
      <c r="X213" s="57"/>
      <c r="Y213" s="57"/>
      <c r="Z213" s="68"/>
      <c r="AA213" s="68"/>
      <c r="AB213" s="57"/>
      <c r="AC213" s="30" t="s">
        <v>2048</v>
      </c>
      <c r="AD213" s="30">
        <v>2016</v>
      </c>
      <c r="AE213" s="30" t="s">
        <v>2049</v>
      </c>
      <c r="AF213" s="30"/>
      <c r="AG213" s="30"/>
      <c r="AH213" s="30"/>
      <c r="AI213" s="30"/>
      <c r="AJ213" s="31">
        <f t="shared" si="21"/>
        <v>0</v>
      </c>
      <c r="AK213" s="34"/>
      <c r="AL213" s="31">
        <f t="shared" si="22"/>
        <v>0</v>
      </c>
      <c r="AM213" s="34"/>
      <c r="AN213" s="34">
        <v>142583917</v>
      </c>
      <c r="AO213" s="52"/>
      <c r="AP213" s="30" t="s">
        <v>344</v>
      </c>
      <c r="AQ213" s="30" t="s">
        <v>130</v>
      </c>
      <c r="AR213" s="30"/>
      <c r="AS213" s="30"/>
      <c r="AT213" s="30" t="s">
        <v>2050</v>
      </c>
      <c r="AU213" s="30">
        <v>2016</v>
      </c>
      <c r="AV213" s="35"/>
      <c r="AW213" s="34"/>
      <c r="AX213" s="35"/>
      <c r="AY213" s="34"/>
      <c r="AZ213" s="34">
        <v>160000000</v>
      </c>
      <c r="BA213" s="32">
        <f>AZ213-20000000</f>
        <v>140000000</v>
      </c>
      <c r="BB213" s="30" t="s">
        <v>2051</v>
      </c>
      <c r="BC213" s="30" t="s">
        <v>81</v>
      </c>
      <c r="BD213" s="30" t="s">
        <v>124</v>
      </c>
      <c r="BE213" s="30" t="s">
        <v>130</v>
      </c>
      <c r="BF213" s="30"/>
      <c r="BG213" s="30"/>
      <c r="BH213" s="30" t="s">
        <v>2050</v>
      </c>
      <c r="BI213" s="30">
        <v>2016</v>
      </c>
      <c r="BJ213" s="36"/>
      <c r="BK213" s="34"/>
      <c r="BL213" s="36"/>
      <c r="BM213" s="34"/>
      <c r="BN213" s="34">
        <v>160000000</v>
      </c>
      <c r="BO213" s="32">
        <f>BN213-20000000</f>
        <v>140000000</v>
      </c>
      <c r="BP213" s="30" t="s">
        <v>2052</v>
      </c>
      <c r="BQ213" s="30" t="s">
        <v>81</v>
      </c>
      <c r="BR213" s="30" t="s">
        <v>2053</v>
      </c>
      <c r="BS213" s="30" t="s">
        <v>130</v>
      </c>
      <c r="BT213" s="30"/>
      <c r="BU213" s="30"/>
      <c r="BV213" s="30" t="s">
        <v>2050</v>
      </c>
      <c r="BW213" s="30">
        <v>2016</v>
      </c>
      <c r="BX213" s="36"/>
      <c r="BY213" s="34"/>
      <c r="BZ213" s="36"/>
      <c r="CA213" s="34"/>
      <c r="CB213" s="34">
        <v>165000000</v>
      </c>
      <c r="CC213" s="32">
        <f>CB213-25000000</f>
        <v>140000000</v>
      </c>
      <c r="CD213" s="30" t="s">
        <v>2054</v>
      </c>
      <c r="CE213" s="30" t="s">
        <v>81</v>
      </c>
      <c r="CF213" s="76"/>
      <c r="CG213" s="30"/>
      <c r="CH213" s="30"/>
      <c r="CI213" s="64"/>
      <c r="CJ213" s="64"/>
      <c r="CK213" s="64"/>
      <c r="CL213" s="64"/>
    </row>
    <row r="214" spans="2:90" ht="45" x14ac:dyDescent="0.25">
      <c r="B214" s="57"/>
      <c r="C214" s="57"/>
      <c r="D214" s="68"/>
      <c r="E214" s="57"/>
      <c r="F214" s="57"/>
      <c r="G214" s="30">
        <v>6</v>
      </c>
      <c r="H214" s="74" t="s">
        <v>1858</v>
      </c>
      <c r="I214" s="35"/>
      <c r="J214" s="30"/>
      <c r="K214" s="35"/>
      <c r="L214" s="35"/>
      <c r="M214" s="30"/>
      <c r="N214" s="30"/>
      <c r="O214" s="30"/>
      <c r="P214" s="30"/>
      <c r="Q214" s="30"/>
      <c r="R214" s="74"/>
      <c r="S214" s="74"/>
      <c r="T214" s="74"/>
      <c r="U214" s="74"/>
      <c r="V214" s="74"/>
      <c r="W214" s="74"/>
      <c r="X214" s="57"/>
      <c r="Y214" s="57"/>
      <c r="Z214" s="68"/>
      <c r="AA214" s="68"/>
      <c r="AB214" s="57"/>
      <c r="AC214" s="30" t="s">
        <v>2055</v>
      </c>
      <c r="AD214" s="30">
        <v>2013</v>
      </c>
      <c r="AE214" s="30" t="s">
        <v>2056</v>
      </c>
      <c r="AF214" s="30"/>
      <c r="AG214" s="30"/>
      <c r="AH214" s="30"/>
      <c r="AI214" s="30"/>
      <c r="AJ214" s="31">
        <f t="shared" si="21"/>
        <v>0</v>
      </c>
      <c r="AK214" s="34"/>
      <c r="AL214" s="31">
        <f t="shared" si="22"/>
        <v>0</v>
      </c>
      <c r="AM214" s="34"/>
      <c r="AN214" s="34">
        <v>6000000</v>
      </c>
      <c r="AO214" s="52"/>
      <c r="AP214" s="30" t="s">
        <v>233</v>
      </c>
      <c r="AQ214" s="30" t="s">
        <v>1858</v>
      </c>
      <c r="AR214" s="30"/>
      <c r="AS214" s="30"/>
      <c r="AT214" s="30" t="s">
        <v>2056</v>
      </c>
      <c r="AU214" s="30">
        <v>2012</v>
      </c>
      <c r="AV214" s="35"/>
      <c r="AW214" s="34"/>
      <c r="AX214" s="35"/>
      <c r="AY214" s="34"/>
      <c r="AZ214" s="34">
        <v>6900000</v>
      </c>
      <c r="BA214" s="32">
        <f>AZ214-800000</f>
        <v>6100000</v>
      </c>
      <c r="BB214" s="30" t="s">
        <v>2057</v>
      </c>
      <c r="BC214" s="30" t="s">
        <v>81</v>
      </c>
      <c r="BD214" s="30" t="s">
        <v>1732</v>
      </c>
      <c r="BE214" s="30" t="s">
        <v>1858</v>
      </c>
      <c r="BF214" s="30"/>
      <c r="BG214" s="30"/>
      <c r="BH214" s="30" t="s">
        <v>2056</v>
      </c>
      <c r="BI214" s="30">
        <v>2010</v>
      </c>
      <c r="BJ214" s="36"/>
      <c r="BK214" s="34"/>
      <c r="BL214" s="36"/>
      <c r="BM214" s="34"/>
      <c r="BN214" s="34">
        <v>6250000</v>
      </c>
      <c r="BO214" s="32">
        <f>BN214-650000</f>
        <v>5600000</v>
      </c>
      <c r="BP214" s="30" t="s">
        <v>2058</v>
      </c>
      <c r="BQ214" s="30" t="s">
        <v>81</v>
      </c>
      <c r="BR214" s="30" t="s">
        <v>2059</v>
      </c>
      <c r="BS214" s="30" t="s">
        <v>1858</v>
      </c>
      <c r="BT214" s="30"/>
      <c r="BU214" s="30"/>
      <c r="BV214" s="30" t="s">
        <v>2056</v>
      </c>
      <c r="BW214" s="30">
        <v>2011</v>
      </c>
      <c r="BX214" s="36"/>
      <c r="BY214" s="34"/>
      <c r="BZ214" s="36"/>
      <c r="CA214" s="34"/>
      <c r="CB214" s="34">
        <v>5500000</v>
      </c>
      <c r="CC214" s="32">
        <f>CB214-600000</f>
        <v>4900000</v>
      </c>
      <c r="CD214" s="30" t="s">
        <v>2060</v>
      </c>
      <c r="CE214" s="30" t="s">
        <v>81</v>
      </c>
      <c r="CF214" s="76"/>
      <c r="CG214" s="30"/>
      <c r="CH214" s="30"/>
      <c r="CI214" s="64"/>
      <c r="CJ214" s="64"/>
      <c r="CK214" s="64"/>
      <c r="CL214" s="64"/>
    </row>
    <row r="215" spans="2:90" ht="45" x14ac:dyDescent="0.25">
      <c r="B215" s="57"/>
      <c r="C215" s="57"/>
      <c r="D215" s="68"/>
      <c r="E215" s="57"/>
      <c r="F215" s="57"/>
      <c r="G215" s="30">
        <v>7</v>
      </c>
      <c r="H215" s="74"/>
      <c r="I215" s="35"/>
      <c r="J215" s="30"/>
      <c r="K215" s="35"/>
      <c r="L215" s="35"/>
      <c r="M215" s="30"/>
      <c r="N215" s="30"/>
      <c r="O215" s="30"/>
      <c r="P215" s="30"/>
      <c r="Q215" s="30"/>
      <c r="R215" s="74"/>
      <c r="S215" s="74"/>
      <c r="T215" s="74"/>
      <c r="U215" s="74"/>
      <c r="V215" s="74"/>
      <c r="W215" s="74"/>
      <c r="X215" s="57"/>
      <c r="Y215" s="57"/>
      <c r="Z215" s="68"/>
      <c r="AA215" s="68"/>
      <c r="AB215" s="57"/>
      <c r="AC215" s="30" t="s">
        <v>2061</v>
      </c>
      <c r="AD215" s="30">
        <v>2013</v>
      </c>
      <c r="AE215" s="30" t="s">
        <v>2062</v>
      </c>
      <c r="AF215" s="30"/>
      <c r="AG215" s="30"/>
      <c r="AH215" s="30"/>
      <c r="AI215" s="30"/>
      <c r="AJ215" s="31">
        <f t="shared" si="21"/>
        <v>0</v>
      </c>
      <c r="AK215" s="34"/>
      <c r="AL215" s="31">
        <f t="shared" si="22"/>
        <v>0</v>
      </c>
      <c r="AM215" s="34"/>
      <c r="AN215" s="34">
        <v>6700000</v>
      </c>
      <c r="AO215" s="52"/>
      <c r="AP215" s="30" t="s">
        <v>2063</v>
      </c>
      <c r="AQ215" s="30" t="s">
        <v>1858</v>
      </c>
      <c r="AR215" s="30"/>
      <c r="AS215" s="30"/>
      <c r="AT215" s="30" t="s">
        <v>2064</v>
      </c>
      <c r="AU215" s="30">
        <v>2013</v>
      </c>
      <c r="AV215" s="35"/>
      <c r="AW215" s="34"/>
      <c r="AX215" s="35"/>
      <c r="AY215" s="34"/>
      <c r="AZ215" s="34">
        <v>7350000</v>
      </c>
      <c r="BA215" s="32">
        <f>AZ215-750000</f>
        <v>6600000</v>
      </c>
      <c r="BB215" s="30" t="s">
        <v>2065</v>
      </c>
      <c r="BC215" s="30" t="s">
        <v>81</v>
      </c>
      <c r="BD215" s="30" t="s">
        <v>132</v>
      </c>
      <c r="BE215" s="30" t="s">
        <v>1858</v>
      </c>
      <c r="BF215" s="30"/>
      <c r="BG215" s="30"/>
      <c r="BH215" s="30" t="s">
        <v>2064</v>
      </c>
      <c r="BI215" s="30">
        <v>2013</v>
      </c>
      <c r="BJ215" s="36"/>
      <c r="BK215" s="34"/>
      <c r="BL215" s="36"/>
      <c r="BM215" s="34"/>
      <c r="BN215" s="34">
        <v>7300000</v>
      </c>
      <c r="BO215" s="32">
        <f>BN215-700000</f>
        <v>6600000</v>
      </c>
      <c r="BP215" s="30" t="s">
        <v>2066</v>
      </c>
      <c r="BQ215" s="30" t="s">
        <v>81</v>
      </c>
      <c r="BR215" s="30" t="s">
        <v>112</v>
      </c>
      <c r="BS215" s="30" t="s">
        <v>1858</v>
      </c>
      <c r="BT215" s="30"/>
      <c r="BU215" s="30"/>
      <c r="BV215" s="30" t="s">
        <v>2064</v>
      </c>
      <c r="BW215" s="30">
        <v>2013</v>
      </c>
      <c r="BX215" s="36"/>
      <c r="BY215" s="34"/>
      <c r="BZ215" s="36"/>
      <c r="CA215" s="34"/>
      <c r="CB215" s="34">
        <v>7200000</v>
      </c>
      <c r="CC215" s="32">
        <f>CB215-600000</f>
        <v>6600000</v>
      </c>
      <c r="CD215" s="30" t="s">
        <v>2067</v>
      </c>
      <c r="CE215" s="30" t="s">
        <v>81</v>
      </c>
      <c r="CF215" s="57"/>
      <c r="CG215" s="30"/>
      <c r="CH215" s="30"/>
      <c r="CI215" s="64"/>
      <c r="CJ215" s="64"/>
      <c r="CK215" s="64"/>
      <c r="CL215" s="64"/>
    </row>
    <row r="216" spans="2:90" x14ac:dyDescent="0.25">
      <c r="B216" s="57"/>
      <c r="C216" s="57"/>
      <c r="D216" s="68"/>
      <c r="E216" s="57"/>
      <c r="F216" s="57"/>
      <c r="G216" s="30"/>
      <c r="H216" s="30" t="s">
        <v>387</v>
      </c>
      <c r="I216" s="35"/>
      <c r="J216" s="30"/>
      <c r="K216" s="35">
        <v>429</v>
      </c>
      <c r="L216" s="35"/>
      <c r="M216" s="30"/>
      <c r="N216" s="30"/>
      <c r="O216" s="30"/>
      <c r="P216" s="30"/>
      <c r="Q216" s="54" t="s">
        <v>2068</v>
      </c>
      <c r="R216" s="54" t="s">
        <v>2069</v>
      </c>
      <c r="S216" s="54" t="s">
        <v>2070</v>
      </c>
      <c r="T216" s="54" t="s">
        <v>2071</v>
      </c>
      <c r="U216" s="54" t="s">
        <v>1519</v>
      </c>
      <c r="V216" s="54" t="s">
        <v>1520</v>
      </c>
      <c r="W216" s="54" t="s">
        <v>72</v>
      </c>
      <c r="X216" s="57"/>
      <c r="Y216" s="57"/>
      <c r="Z216" s="68"/>
      <c r="AA216" s="68"/>
      <c r="AB216" s="57"/>
      <c r="AC216" s="47"/>
      <c r="AD216" s="47"/>
      <c r="AE216" s="47"/>
      <c r="AF216" s="30"/>
      <c r="AG216" s="30"/>
      <c r="AH216" s="30"/>
      <c r="AI216" s="30"/>
      <c r="AJ216" s="31">
        <f t="shared" si="21"/>
        <v>0</v>
      </c>
      <c r="AK216" s="34"/>
      <c r="AL216" s="31">
        <f t="shared" si="22"/>
        <v>429</v>
      </c>
      <c r="AM216" s="34">
        <f>427300000/AL216</f>
        <v>996037.29603729607</v>
      </c>
      <c r="AN216" s="50">
        <f>183600000+2970375000+28516170000+81952000</f>
        <v>31752097000</v>
      </c>
      <c r="AO216" s="52">
        <f>(AL216*AM216)+AN216+6765400000</f>
        <v>38944797000</v>
      </c>
      <c r="AP216" s="64"/>
      <c r="AQ216" s="64"/>
      <c r="AR216" s="64"/>
      <c r="AS216" s="64"/>
      <c r="AT216" s="64"/>
      <c r="AU216" s="64"/>
      <c r="AV216" s="77"/>
      <c r="AW216" s="50"/>
      <c r="AX216" s="77"/>
      <c r="AY216" s="50"/>
      <c r="AZ216" s="50"/>
      <c r="BA216" s="50"/>
      <c r="BB216" s="64"/>
      <c r="BC216" s="64"/>
      <c r="BD216" s="64"/>
      <c r="BE216" s="64"/>
      <c r="BF216" s="64"/>
      <c r="BG216" s="64"/>
      <c r="BH216" s="64"/>
      <c r="BI216" s="64"/>
      <c r="BJ216" s="73"/>
      <c r="BK216" s="78"/>
      <c r="BL216" s="73"/>
      <c r="BM216" s="50"/>
      <c r="BN216" s="50"/>
      <c r="BO216" s="50"/>
      <c r="BP216" s="64"/>
      <c r="BQ216" s="64"/>
      <c r="BR216" s="64"/>
      <c r="BS216" s="64"/>
      <c r="BT216" s="64"/>
      <c r="BU216" s="64"/>
      <c r="BV216" s="64"/>
      <c r="BW216" s="64"/>
      <c r="BX216" s="73"/>
      <c r="BY216" s="50"/>
      <c r="BZ216" s="73"/>
      <c r="CA216" s="50"/>
      <c r="CB216" s="50"/>
      <c r="CC216" s="50"/>
      <c r="CD216" s="64"/>
      <c r="CE216" s="64"/>
      <c r="CF216" s="57"/>
      <c r="CG216" s="30"/>
      <c r="CH216" s="30"/>
      <c r="CI216" s="64"/>
      <c r="CJ216" s="64"/>
      <c r="CK216" s="64"/>
      <c r="CL216" s="64"/>
    </row>
    <row r="217" spans="2:90" ht="150" x14ac:dyDescent="0.25">
      <c r="B217" s="57"/>
      <c r="C217" s="57"/>
      <c r="D217" s="68"/>
      <c r="E217" s="57"/>
      <c r="F217" s="57"/>
      <c r="G217" s="30"/>
      <c r="H217" s="54" t="s">
        <v>130</v>
      </c>
      <c r="I217" s="35"/>
      <c r="J217" s="30"/>
      <c r="K217" s="35"/>
      <c r="L217" s="35"/>
      <c r="M217" s="30"/>
      <c r="N217" s="30"/>
      <c r="O217" s="30"/>
      <c r="P217" s="30"/>
      <c r="Q217" s="57"/>
      <c r="R217" s="57"/>
      <c r="S217" s="57"/>
      <c r="T217" s="57"/>
      <c r="U217" s="57"/>
      <c r="V217" s="57"/>
      <c r="W217" s="57"/>
      <c r="X217" s="57"/>
      <c r="Y217" s="57"/>
      <c r="Z217" s="68"/>
      <c r="AA217" s="68"/>
      <c r="AB217" s="57"/>
      <c r="AC217" s="30" t="s">
        <v>2072</v>
      </c>
      <c r="AD217" s="30" t="s">
        <v>2073</v>
      </c>
      <c r="AE217" s="30" t="s">
        <v>2074</v>
      </c>
      <c r="AF217" s="30"/>
      <c r="AG217" s="30"/>
      <c r="AH217" s="30"/>
      <c r="AI217" s="30"/>
      <c r="AJ217" s="31">
        <f t="shared" si="21"/>
        <v>0</v>
      </c>
      <c r="AK217" s="34"/>
      <c r="AL217" s="31">
        <f t="shared" si="22"/>
        <v>0</v>
      </c>
      <c r="AM217" s="34"/>
      <c r="AN217" s="34">
        <f>(205422506*3)+203179802+210722645+209272341+209713281+210722645+210722645</f>
        <v>1870600877</v>
      </c>
      <c r="AO217" s="52"/>
      <c r="AP217" s="30" t="s">
        <v>2075</v>
      </c>
      <c r="AQ217" s="30" t="s">
        <v>130</v>
      </c>
      <c r="AR217" s="30"/>
      <c r="AS217" s="30"/>
      <c r="AT217" s="30" t="s">
        <v>1972</v>
      </c>
      <c r="AU217" s="30">
        <v>2009</v>
      </c>
      <c r="AV217" s="35"/>
      <c r="AW217" s="34"/>
      <c r="AX217" s="35"/>
      <c r="AY217" s="34"/>
      <c r="AZ217" s="34">
        <v>225000000</v>
      </c>
      <c r="BA217" s="32">
        <f>AZ217-35000000</f>
        <v>190000000</v>
      </c>
      <c r="BB217" s="30" t="s">
        <v>2076</v>
      </c>
      <c r="BC217" s="30" t="s">
        <v>81</v>
      </c>
      <c r="BD217" s="30" t="s">
        <v>2077</v>
      </c>
      <c r="BE217" s="30" t="s">
        <v>130</v>
      </c>
      <c r="BF217" s="30"/>
      <c r="BG217" s="30"/>
      <c r="BH217" s="30" t="s">
        <v>1972</v>
      </c>
      <c r="BI217" s="30">
        <v>2009</v>
      </c>
      <c r="BJ217" s="36"/>
      <c r="BK217" s="34"/>
      <c r="BL217" s="36"/>
      <c r="BM217" s="34"/>
      <c r="BN217" s="34">
        <v>250000000</v>
      </c>
      <c r="BO217" s="32">
        <f>BN217-40000000</f>
        <v>210000000</v>
      </c>
      <c r="BP217" s="30" t="s">
        <v>2078</v>
      </c>
      <c r="BQ217" s="30" t="s">
        <v>81</v>
      </c>
      <c r="BR217" s="30" t="s">
        <v>2079</v>
      </c>
      <c r="BS217" s="30" t="s">
        <v>130</v>
      </c>
      <c r="BT217" s="30"/>
      <c r="BU217" s="30"/>
      <c r="BV217" s="30" t="s">
        <v>1972</v>
      </c>
      <c r="BW217" s="30">
        <v>2009</v>
      </c>
      <c r="BX217" s="36"/>
      <c r="BY217" s="34"/>
      <c r="BZ217" s="36"/>
      <c r="CA217" s="34"/>
      <c r="CB217" s="34">
        <v>285000000</v>
      </c>
      <c r="CC217" s="32">
        <f>CB217-45000000</f>
        <v>240000000</v>
      </c>
      <c r="CD217" s="30" t="s">
        <v>2080</v>
      </c>
      <c r="CE217" s="30" t="s">
        <v>81</v>
      </c>
      <c r="CF217" s="57"/>
      <c r="CG217" s="30"/>
      <c r="CH217" s="30"/>
      <c r="CI217" s="64"/>
      <c r="CJ217" s="64"/>
      <c r="CK217" s="64"/>
      <c r="CL217" s="64"/>
    </row>
    <row r="218" spans="2:90" ht="120" x14ac:dyDescent="0.25">
      <c r="B218" s="57"/>
      <c r="C218" s="57"/>
      <c r="D218" s="68"/>
      <c r="E218" s="57"/>
      <c r="F218" s="57"/>
      <c r="G218" s="30"/>
      <c r="H218" s="57"/>
      <c r="I218" s="35"/>
      <c r="J218" s="30"/>
      <c r="K218" s="35"/>
      <c r="L218" s="35"/>
      <c r="M218" s="30"/>
      <c r="N218" s="30"/>
      <c r="O218" s="30"/>
      <c r="P218" s="30"/>
      <c r="Q218" s="57"/>
      <c r="R218" s="57"/>
      <c r="S218" s="57"/>
      <c r="T218" s="57"/>
      <c r="U218" s="57"/>
      <c r="V218" s="57"/>
      <c r="W218" s="57"/>
      <c r="X218" s="57"/>
      <c r="Y218" s="57"/>
      <c r="Z218" s="68"/>
      <c r="AA218" s="68"/>
      <c r="AB218" s="57"/>
      <c r="AC218" s="30" t="s">
        <v>2081</v>
      </c>
      <c r="AD218" s="30" t="s">
        <v>2082</v>
      </c>
      <c r="AE218" s="30" t="s">
        <v>2074</v>
      </c>
      <c r="AF218" s="30"/>
      <c r="AG218" s="30"/>
      <c r="AH218" s="30"/>
      <c r="AI218" s="30"/>
      <c r="AJ218" s="31">
        <f t="shared" si="21"/>
        <v>0</v>
      </c>
      <c r="AK218" s="34"/>
      <c r="AL218" s="31">
        <f t="shared" si="22"/>
        <v>0</v>
      </c>
      <c r="AM218" s="34"/>
      <c r="AN218" s="34">
        <f>353150000*2+407525000+395725000+(409650000*3)</f>
        <v>2738500000</v>
      </c>
      <c r="AO218" s="52"/>
      <c r="AP218" s="30" t="s">
        <v>1840</v>
      </c>
      <c r="AQ218" s="30" t="s">
        <v>130</v>
      </c>
      <c r="AR218" s="30"/>
      <c r="AS218" s="30"/>
      <c r="AT218" s="30" t="s">
        <v>2083</v>
      </c>
      <c r="AU218" s="30">
        <v>2013</v>
      </c>
      <c r="AV218" s="35"/>
      <c r="AW218" s="34"/>
      <c r="AX218" s="35"/>
      <c r="AY218" s="34"/>
      <c r="AZ218" s="34">
        <v>445000000</v>
      </c>
      <c r="BA218" s="32">
        <f>AZ218-70000000</f>
        <v>375000000</v>
      </c>
      <c r="BB218" s="30" t="s">
        <v>1842</v>
      </c>
      <c r="BC218" s="30" t="s">
        <v>81</v>
      </c>
      <c r="BD218" s="30" t="s">
        <v>1843</v>
      </c>
      <c r="BE218" s="30" t="s">
        <v>130</v>
      </c>
      <c r="BF218" s="30"/>
      <c r="BG218" s="30"/>
      <c r="BH218" s="30" t="s">
        <v>2083</v>
      </c>
      <c r="BI218" s="30">
        <v>2013</v>
      </c>
      <c r="BJ218" s="36"/>
      <c r="BK218" s="34"/>
      <c r="BL218" s="36"/>
      <c r="BM218" s="34"/>
      <c r="BN218" s="34">
        <v>435000000</v>
      </c>
      <c r="BO218" s="32">
        <f>BN218-60000000</f>
        <v>375000000</v>
      </c>
      <c r="BP218" s="30" t="s">
        <v>1844</v>
      </c>
      <c r="BQ218" s="30" t="s">
        <v>81</v>
      </c>
      <c r="BR218" s="30" t="s">
        <v>1845</v>
      </c>
      <c r="BS218" s="30" t="s">
        <v>130</v>
      </c>
      <c r="BT218" s="30"/>
      <c r="BU218" s="30"/>
      <c r="BV218" s="30" t="s">
        <v>2083</v>
      </c>
      <c r="BW218" s="30">
        <v>2013</v>
      </c>
      <c r="BX218" s="36"/>
      <c r="BY218" s="34"/>
      <c r="BZ218" s="36"/>
      <c r="CA218" s="34"/>
      <c r="CB218" s="34">
        <v>450000000</v>
      </c>
      <c r="CC218" s="32">
        <f>CB218-75000000</f>
        <v>375000000</v>
      </c>
      <c r="CD218" s="30" t="s">
        <v>1847</v>
      </c>
      <c r="CE218" s="30" t="s">
        <v>81</v>
      </c>
      <c r="CF218" s="57"/>
      <c r="CG218" s="30"/>
      <c r="CH218" s="30"/>
      <c r="CI218" s="64"/>
      <c r="CJ218" s="64"/>
      <c r="CK218" s="64"/>
      <c r="CL218" s="64"/>
    </row>
    <row r="219" spans="2:90" ht="60" x14ac:dyDescent="0.25">
      <c r="B219" s="57"/>
      <c r="C219" s="57"/>
      <c r="D219" s="68"/>
      <c r="E219" s="57"/>
      <c r="F219" s="57"/>
      <c r="G219" s="30"/>
      <c r="H219" s="57"/>
      <c r="I219" s="35"/>
      <c r="J219" s="30"/>
      <c r="K219" s="35"/>
      <c r="L219" s="35"/>
      <c r="M219" s="30"/>
      <c r="N219" s="30"/>
      <c r="O219" s="30"/>
      <c r="P219" s="30"/>
      <c r="Q219" s="57"/>
      <c r="R219" s="57"/>
      <c r="S219" s="57"/>
      <c r="T219" s="57"/>
      <c r="U219" s="57"/>
      <c r="V219" s="57"/>
      <c r="W219" s="57"/>
      <c r="X219" s="57"/>
      <c r="Y219" s="57"/>
      <c r="Z219" s="68"/>
      <c r="AA219" s="68"/>
      <c r="AB219" s="57"/>
      <c r="AC219" s="30" t="s">
        <v>2084</v>
      </c>
      <c r="AD219" s="30">
        <v>2013</v>
      </c>
      <c r="AE219" s="30" t="s">
        <v>1833</v>
      </c>
      <c r="AF219" s="30"/>
      <c r="AG219" s="30"/>
      <c r="AH219" s="30"/>
      <c r="AI219" s="30"/>
      <c r="AJ219" s="31">
        <f t="shared" si="21"/>
        <v>0</v>
      </c>
      <c r="AK219" s="34"/>
      <c r="AL219" s="31">
        <f t="shared" si="22"/>
        <v>0</v>
      </c>
      <c r="AM219" s="34"/>
      <c r="AN219" s="34">
        <f>323799795*4</f>
        <v>1295199180</v>
      </c>
      <c r="AO219" s="52"/>
      <c r="AP219" s="30" t="s">
        <v>95</v>
      </c>
      <c r="AQ219" s="30" t="s">
        <v>130</v>
      </c>
      <c r="AR219" s="30"/>
      <c r="AS219" s="30"/>
      <c r="AT219" s="30" t="s">
        <v>1833</v>
      </c>
      <c r="AU219" s="30">
        <v>2013</v>
      </c>
      <c r="AV219" s="35"/>
      <c r="AW219" s="34"/>
      <c r="AX219" s="35"/>
      <c r="AY219" s="34"/>
      <c r="AZ219" s="34">
        <v>366000000</v>
      </c>
      <c r="BA219" s="32">
        <f>AZ219-41000000</f>
        <v>325000000</v>
      </c>
      <c r="BB219" s="30" t="s">
        <v>2085</v>
      </c>
      <c r="BC219" s="30" t="s">
        <v>81</v>
      </c>
      <c r="BD219" s="30" t="s">
        <v>2086</v>
      </c>
      <c r="BE219" s="30" t="s">
        <v>130</v>
      </c>
      <c r="BF219" s="30"/>
      <c r="BG219" s="30"/>
      <c r="BH219" s="30" t="s">
        <v>1833</v>
      </c>
      <c r="BI219" s="30">
        <v>2012</v>
      </c>
      <c r="BJ219" s="36"/>
      <c r="BK219" s="34"/>
      <c r="BL219" s="36"/>
      <c r="BM219" s="34"/>
      <c r="BN219" s="34">
        <v>315000000</v>
      </c>
      <c r="BO219" s="32">
        <f>BN219-30000000</f>
        <v>285000000</v>
      </c>
      <c r="BP219" s="30" t="s">
        <v>2087</v>
      </c>
      <c r="BQ219" s="30" t="s">
        <v>81</v>
      </c>
      <c r="BR219" s="30" t="s">
        <v>145</v>
      </c>
      <c r="BS219" s="30" t="s">
        <v>130</v>
      </c>
      <c r="BT219" s="30"/>
      <c r="BU219" s="30"/>
      <c r="BV219" s="30" t="s">
        <v>1833</v>
      </c>
      <c r="BW219" s="30">
        <v>2013</v>
      </c>
      <c r="BX219" s="36"/>
      <c r="BY219" s="34"/>
      <c r="BZ219" s="36"/>
      <c r="CA219" s="34"/>
      <c r="CB219" s="34">
        <v>280000000</v>
      </c>
      <c r="CC219" s="32">
        <f>CB219-30000000</f>
        <v>250000000</v>
      </c>
      <c r="CD219" s="30" t="s">
        <v>2088</v>
      </c>
      <c r="CE219" s="30" t="s">
        <v>81</v>
      </c>
      <c r="CF219" s="57"/>
      <c r="CG219" s="30"/>
      <c r="CH219" s="30"/>
      <c r="CI219" s="64"/>
      <c r="CJ219" s="64"/>
      <c r="CK219" s="64"/>
      <c r="CL219" s="64"/>
    </row>
    <row r="220" spans="2:90" ht="45" x14ac:dyDescent="0.25">
      <c r="B220" s="57"/>
      <c r="C220" s="57"/>
      <c r="D220" s="68"/>
      <c r="E220" s="57"/>
      <c r="F220" s="57"/>
      <c r="G220" s="30"/>
      <c r="H220" s="57"/>
      <c r="I220" s="35"/>
      <c r="J220" s="30"/>
      <c r="K220" s="35"/>
      <c r="L220" s="35"/>
      <c r="M220" s="30"/>
      <c r="N220" s="30"/>
      <c r="O220" s="30"/>
      <c r="P220" s="30"/>
      <c r="Q220" s="57"/>
      <c r="R220" s="57"/>
      <c r="S220" s="57"/>
      <c r="T220" s="57"/>
      <c r="U220" s="57"/>
      <c r="V220" s="57"/>
      <c r="W220" s="57"/>
      <c r="X220" s="57"/>
      <c r="Y220" s="57"/>
      <c r="Z220" s="68"/>
      <c r="AA220" s="68"/>
      <c r="AB220" s="57"/>
      <c r="AC220" s="30" t="s">
        <v>2089</v>
      </c>
      <c r="AD220" s="30">
        <v>2008</v>
      </c>
      <c r="AE220" s="30" t="s">
        <v>1833</v>
      </c>
      <c r="AF220" s="30"/>
      <c r="AG220" s="30"/>
      <c r="AH220" s="30"/>
      <c r="AI220" s="30"/>
      <c r="AJ220" s="31">
        <f t="shared" si="21"/>
        <v>0</v>
      </c>
      <c r="AK220" s="34"/>
      <c r="AL220" s="31">
        <f t="shared" si="22"/>
        <v>0</v>
      </c>
      <c r="AM220" s="34"/>
      <c r="AN220" s="34">
        <f>217870007+218520156+215762507</f>
        <v>652152670</v>
      </c>
      <c r="AO220" s="52"/>
      <c r="AP220" s="30" t="s">
        <v>433</v>
      </c>
      <c r="AQ220" s="30" t="s">
        <v>130</v>
      </c>
      <c r="AR220" s="30"/>
      <c r="AS220" s="30"/>
      <c r="AT220" s="30" t="s">
        <v>1833</v>
      </c>
      <c r="AU220" s="30">
        <v>2006</v>
      </c>
      <c r="AV220" s="35"/>
      <c r="AW220" s="34"/>
      <c r="AX220" s="35"/>
      <c r="AY220" s="34"/>
      <c r="AZ220" s="34">
        <v>250000000</v>
      </c>
      <c r="BA220" s="32">
        <f>AZ220-45000000</f>
        <v>205000000</v>
      </c>
      <c r="BB220" s="30" t="s">
        <v>1835</v>
      </c>
      <c r="BC220" s="30" t="s">
        <v>81</v>
      </c>
      <c r="BD220" s="30" t="s">
        <v>2090</v>
      </c>
      <c r="BE220" s="30" t="s">
        <v>130</v>
      </c>
      <c r="BF220" s="30"/>
      <c r="BG220" s="30"/>
      <c r="BH220" s="30" t="s">
        <v>1833</v>
      </c>
      <c r="BI220" s="30">
        <v>2005</v>
      </c>
      <c r="BJ220" s="36"/>
      <c r="BK220" s="34"/>
      <c r="BL220" s="36"/>
      <c r="BM220" s="34"/>
      <c r="BN220" s="34">
        <v>200000000</v>
      </c>
      <c r="BO220" s="32">
        <f>BN220-30000000</f>
        <v>170000000</v>
      </c>
      <c r="BP220" s="30" t="s">
        <v>2091</v>
      </c>
      <c r="BQ220" s="30" t="s">
        <v>81</v>
      </c>
      <c r="BR220" s="30" t="s">
        <v>2092</v>
      </c>
      <c r="BS220" s="30" t="s">
        <v>130</v>
      </c>
      <c r="BT220" s="30"/>
      <c r="BU220" s="30"/>
      <c r="BV220" s="30" t="s">
        <v>1833</v>
      </c>
      <c r="BW220" s="30">
        <v>2009</v>
      </c>
      <c r="BX220" s="36"/>
      <c r="BY220" s="34"/>
      <c r="BZ220" s="36"/>
      <c r="CA220" s="34"/>
      <c r="CB220" s="34">
        <v>235000000</v>
      </c>
      <c r="CC220" s="32">
        <f>CB220-25000000</f>
        <v>210000000</v>
      </c>
      <c r="CD220" s="30" t="s">
        <v>2093</v>
      </c>
      <c r="CE220" s="30" t="s">
        <v>81</v>
      </c>
      <c r="CF220" s="57"/>
      <c r="CG220" s="30"/>
      <c r="CH220" s="30"/>
      <c r="CI220" s="64"/>
      <c r="CJ220" s="64"/>
      <c r="CK220" s="64"/>
      <c r="CL220" s="64"/>
    </row>
    <row r="221" spans="2:90" ht="45" x14ac:dyDescent="0.25">
      <c r="B221" s="58"/>
      <c r="C221" s="58"/>
      <c r="D221" s="69"/>
      <c r="E221" s="58"/>
      <c r="F221" s="58"/>
      <c r="G221" s="30"/>
      <c r="H221" s="58"/>
      <c r="I221" s="35"/>
      <c r="J221" s="30"/>
      <c r="K221" s="35"/>
      <c r="L221" s="35"/>
      <c r="M221" s="30"/>
      <c r="N221" s="30"/>
      <c r="O221" s="30"/>
      <c r="P221" s="30"/>
      <c r="Q221" s="58"/>
      <c r="R221" s="58"/>
      <c r="S221" s="58"/>
      <c r="T221" s="58"/>
      <c r="U221" s="58"/>
      <c r="V221" s="58"/>
      <c r="W221" s="58"/>
      <c r="X221" s="58"/>
      <c r="Y221" s="58"/>
      <c r="Z221" s="69"/>
      <c r="AA221" s="69"/>
      <c r="AB221" s="58"/>
      <c r="AC221" s="30" t="s">
        <v>2094</v>
      </c>
      <c r="AD221" s="30">
        <v>2008</v>
      </c>
      <c r="AE221" s="30" t="s">
        <v>2074</v>
      </c>
      <c r="AF221" s="30"/>
      <c r="AG221" s="30"/>
      <c r="AH221" s="30"/>
      <c r="AI221" s="30"/>
      <c r="AJ221" s="31">
        <f t="shared" si="21"/>
        <v>0</v>
      </c>
      <c r="AK221" s="34"/>
      <c r="AL221" s="31">
        <f t="shared" si="22"/>
        <v>0</v>
      </c>
      <c r="AM221" s="34"/>
      <c r="AN221" s="34">
        <v>207902750</v>
      </c>
      <c r="AO221" s="53"/>
      <c r="AP221" s="30" t="s">
        <v>2075</v>
      </c>
      <c r="AQ221" s="30" t="s">
        <v>130</v>
      </c>
      <c r="AR221" s="30"/>
      <c r="AS221" s="30"/>
      <c r="AT221" s="30" t="s">
        <v>2083</v>
      </c>
      <c r="AU221" s="30">
        <v>2009</v>
      </c>
      <c r="AV221" s="35"/>
      <c r="AW221" s="34"/>
      <c r="AX221" s="35"/>
      <c r="AY221" s="34"/>
      <c r="AZ221" s="34">
        <v>225000000</v>
      </c>
      <c r="BA221" s="32">
        <f>AZ221-35000000</f>
        <v>190000000</v>
      </c>
      <c r="BB221" s="30" t="s">
        <v>2076</v>
      </c>
      <c r="BC221" s="30" t="s">
        <v>81</v>
      </c>
      <c r="BD221" s="30" t="s">
        <v>2077</v>
      </c>
      <c r="BE221" s="30" t="s">
        <v>130</v>
      </c>
      <c r="BF221" s="30"/>
      <c r="BG221" s="30"/>
      <c r="BH221" s="30" t="s">
        <v>2083</v>
      </c>
      <c r="BI221" s="30">
        <v>2009</v>
      </c>
      <c r="BJ221" s="36"/>
      <c r="BK221" s="34"/>
      <c r="BL221" s="36"/>
      <c r="BM221" s="34"/>
      <c r="BN221" s="34">
        <v>250000000</v>
      </c>
      <c r="BO221" s="32">
        <f>BN221-40000000</f>
        <v>210000000</v>
      </c>
      <c r="BP221" s="30" t="s">
        <v>2078</v>
      </c>
      <c r="BQ221" s="30" t="s">
        <v>81</v>
      </c>
      <c r="BR221" s="30" t="s">
        <v>2079</v>
      </c>
      <c r="BS221" s="30" t="s">
        <v>130</v>
      </c>
      <c r="BT221" s="30"/>
      <c r="BU221" s="30"/>
      <c r="BV221" s="30" t="s">
        <v>2083</v>
      </c>
      <c r="BW221" s="30">
        <v>2009</v>
      </c>
      <c r="BX221" s="36"/>
      <c r="BY221" s="34"/>
      <c r="BZ221" s="36"/>
      <c r="CA221" s="34"/>
      <c r="CB221" s="34">
        <v>285000000</v>
      </c>
      <c r="CC221" s="32">
        <f>CB221-45000000</f>
        <v>240000000</v>
      </c>
      <c r="CD221" s="30" t="s">
        <v>2080</v>
      </c>
      <c r="CE221" s="30" t="s">
        <v>81</v>
      </c>
      <c r="CF221" s="58"/>
      <c r="CG221" s="30"/>
      <c r="CH221" s="30"/>
      <c r="CI221" s="64"/>
      <c r="CJ221" s="64"/>
      <c r="CK221" s="64"/>
      <c r="CL221" s="64"/>
    </row>
    <row r="222" spans="2:90" ht="135" x14ac:dyDescent="0.25">
      <c r="B222" s="54" t="s">
        <v>2095</v>
      </c>
      <c r="C222" s="54" t="s">
        <v>2096</v>
      </c>
      <c r="D222" s="67">
        <v>45537</v>
      </c>
      <c r="E222" s="54" t="s">
        <v>2018</v>
      </c>
      <c r="F222" s="54" t="s">
        <v>93</v>
      </c>
      <c r="G222" s="30"/>
      <c r="H222" s="30" t="s">
        <v>387</v>
      </c>
      <c r="I222" s="35"/>
      <c r="J222" s="30"/>
      <c r="K222" s="35">
        <v>333</v>
      </c>
      <c r="L222" s="35"/>
      <c r="M222" s="30" t="s">
        <v>2097</v>
      </c>
      <c r="N222" s="30"/>
      <c r="O222" s="30"/>
      <c r="P222" s="30"/>
      <c r="Q222" s="54" t="s">
        <v>2098</v>
      </c>
      <c r="R222" s="54"/>
      <c r="S222" s="54" t="s">
        <v>2099</v>
      </c>
      <c r="T222" s="54" t="s">
        <v>2100</v>
      </c>
      <c r="U222" s="54" t="s">
        <v>2101</v>
      </c>
      <c r="V222" s="54" t="s">
        <v>2102</v>
      </c>
      <c r="W222" s="54" t="s">
        <v>72</v>
      </c>
      <c r="X222" s="54" t="s">
        <v>85</v>
      </c>
      <c r="Y222" s="54" t="s">
        <v>73</v>
      </c>
      <c r="Z222" s="67" t="s">
        <v>1968</v>
      </c>
      <c r="AA222" s="67">
        <v>45405</v>
      </c>
      <c r="AB222" s="54" t="s">
        <v>90</v>
      </c>
      <c r="AC222" s="30"/>
      <c r="AD222" s="30"/>
      <c r="AE222" s="30"/>
      <c r="AF222" s="30"/>
      <c r="AG222" s="30"/>
      <c r="AH222" s="30"/>
      <c r="AI222" s="30"/>
      <c r="AJ222" s="31">
        <f t="shared" si="21"/>
        <v>0</v>
      </c>
      <c r="AK222" s="34"/>
      <c r="AL222" s="31">
        <f t="shared" si="22"/>
        <v>333</v>
      </c>
      <c r="AM222" s="34">
        <f>315200000/AL222</f>
        <v>946546.54654654651</v>
      </c>
      <c r="AN222" s="34">
        <f>319296000+4326315000+15991373000+119793000</f>
        <v>20756777000</v>
      </c>
      <c r="AO222" s="51">
        <f>(AJ222*AK222)+(AL222*AM222)+AN222+AN223+AN224+AN225+AN226+AN227+AN228</f>
        <v>23721677000</v>
      </c>
      <c r="AP222" s="47"/>
      <c r="AQ222" s="47"/>
      <c r="AR222" s="47"/>
      <c r="AS222" s="47"/>
      <c r="AT222" s="47"/>
      <c r="AU222" s="47"/>
      <c r="AV222" s="55"/>
      <c r="AW222" s="48"/>
      <c r="AX222" s="55"/>
      <c r="AY222" s="48"/>
      <c r="AZ222" s="48"/>
      <c r="BA222" s="48"/>
      <c r="BB222" s="47"/>
      <c r="BC222" s="47"/>
      <c r="BD222" s="47"/>
      <c r="BE222" s="47"/>
      <c r="BF222" s="47"/>
      <c r="BG222" s="47"/>
      <c r="BH222" s="47"/>
      <c r="BI222" s="47"/>
      <c r="BJ222" s="56"/>
      <c r="BK222" s="59"/>
      <c r="BL222" s="56"/>
      <c r="BM222" s="48"/>
      <c r="BN222" s="48"/>
      <c r="BO222" s="48"/>
      <c r="BP222" s="47"/>
      <c r="BQ222" s="47"/>
      <c r="BR222" s="47"/>
      <c r="BS222" s="47"/>
      <c r="BT222" s="47"/>
      <c r="BU222" s="47"/>
      <c r="BV222" s="47"/>
      <c r="BW222" s="47"/>
      <c r="BX222" s="56"/>
      <c r="BY222" s="48"/>
      <c r="BZ222" s="56"/>
      <c r="CA222" s="48"/>
      <c r="CB222" s="48"/>
      <c r="CC222" s="48"/>
      <c r="CD222" s="47"/>
      <c r="CE222" s="47"/>
      <c r="CF222" s="54" t="s">
        <v>761</v>
      </c>
      <c r="CG222" s="30"/>
      <c r="CH222" s="30"/>
      <c r="CI222" s="64"/>
      <c r="CJ222" s="64"/>
      <c r="CK222" s="64"/>
      <c r="CL222" s="64"/>
    </row>
    <row r="223" spans="2:90" ht="45" x14ac:dyDescent="0.25">
      <c r="B223" s="57"/>
      <c r="C223" s="57"/>
      <c r="D223" s="68"/>
      <c r="E223" s="57"/>
      <c r="F223" s="57"/>
      <c r="G223" s="30"/>
      <c r="H223" s="54" t="s">
        <v>130</v>
      </c>
      <c r="I223" s="35"/>
      <c r="J223" s="30"/>
      <c r="K223" s="35"/>
      <c r="L223" s="35"/>
      <c r="M223" s="30"/>
      <c r="N223" s="30"/>
      <c r="O223" s="30"/>
      <c r="P223" s="30"/>
      <c r="Q223" s="57"/>
      <c r="R223" s="57"/>
      <c r="S223" s="57"/>
      <c r="T223" s="57"/>
      <c r="U223" s="57"/>
      <c r="V223" s="57"/>
      <c r="W223" s="57"/>
      <c r="X223" s="57"/>
      <c r="Y223" s="57"/>
      <c r="Z223" s="68"/>
      <c r="AA223" s="68"/>
      <c r="AB223" s="57"/>
      <c r="AC223" s="30" t="s">
        <v>2103</v>
      </c>
      <c r="AD223" s="30">
        <v>2017</v>
      </c>
      <c r="AE223" s="30" t="s">
        <v>2104</v>
      </c>
      <c r="AF223" s="30"/>
      <c r="AG223" s="30"/>
      <c r="AH223" s="30"/>
      <c r="AI223" s="30"/>
      <c r="AJ223" s="31">
        <f t="shared" si="21"/>
        <v>0</v>
      </c>
      <c r="AK223" s="34"/>
      <c r="AL223" s="31">
        <f t="shared" si="22"/>
        <v>0</v>
      </c>
      <c r="AM223" s="34"/>
      <c r="AN223" s="34">
        <f>459800000*2</f>
        <v>919600000</v>
      </c>
      <c r="AO223" s="52"/>
      <c r="AP223" s="30" t="s">
        <v>1975</v>
      </c>
      <c r="AQ223" s="30" t="s">
        <v>130</v>
      </c>
      <c r="AR223" s="30"/>
      <c r="AS223" s="30"/>
      <c r="AT223" s="30" t="s">
        <v>2105</v>
      </c>
      <c r="AU223" s="30">
        <v>2014</v>
      </c>
      <c r="AV223" s="35"/>
      <c r="AW223" s="34"/>
      <c r="AX223" s="35"/>
      <c r="AY223" s="34"/>
      <c r="AZ223" s="34">
        <v>500000000</v>
      </c>
      <c r="BA223" s="32">
        <f>403750000-68750000</f>
        <v>335000000</v>
      </c>
      <c r="BB223" s="30" t="s">
        <v>2106</v>
      </c>
      <c r="BC223" s="30" t="s">
        <v>81</v>
      </c>
      <c r="BD223" s="30" t="s">
        <v>84</v>
      </c>
      <c r="BE223" s="30" t="s">
        <v>130</v>
      </c>
      <c r="BF223" s="30"/>
      <c r="BG223" s="30"/>
      <c r="BH223" s="30" t="s">
        <v>2105</v>
      </c>
      <c r="BI223" s="30">
        <v>2014</v>
      </c>
      <c r="BJ223" s="36"/>
      <c r="BK223" s="34"/>
      <c r="BL223" s="36"/>
      <c r="BM223" s="34"/>
      <c r="BN223" s="34">
        <v>475000000</v>
      </c>
      <c r="BO223" s="32">
        <f>378750000-63750000</f>
        <v>315000000</v>
      </c>
      <c r="BP223" s="30" t="s">
        <v>2107</v>
      </c>
      <c r="BQ223" s="30" t="s">
        <v>81</v>
      </c>
      <c r="BR223" s="30" t="s">
        <v>342</v>
      </c>
      <c r="BS223" s="30" t="s">
        <v>130</v>
      </c>
      <c r="BT223" s="30"/>
      <c r="BU223" s="30"/>
      <c r="BV223" s="30" t="s">
        <v>2105</v>
      </c>
      <c r="BW223" s="30">
        <v>2014</v>
      </c>
      <c r="BX223" s="36"/>
      <c r="BY223" s="34"/>
      <c r="BZ223" s="36"/>
      <c r="CA223" s="34"/>
      <c r="CB223" s="34">
        <v>540000000</v>
      </c>
      <c r="CC223" s="32">
        <f>443750000-78750000</f>
        <v>365000000</v>
      </c>
      <c r="CD223" s="30" t="s">
        <v>1979</v>
      </c>
      <c r="CE223" s="30" t="s">
        <v>81</v>
      </c>
      <c r="CF223" s="57"/>
      <c r="CG223" s="30"/>
      <c r="CH223" s="30"/>
      <c r="CI223" s="64"/>
      <c r="CJ223" s="64"/>
      <c r="CK223" s="64"/>
      <c r="CL223" s="64"/>
    </row>
    <row r="224" spans="2:90" ht="75" x14ac:dyDescent="0.25">
      <c r="B224" s="57"/>
      <c r="C224" s="57"/>
      <c r="D224" s="68"/>
      <c r="E224" s="57"/>
      <c r="F224" s="57"/>
      <c r="G224" s="30"/>
      <c r="H224" s="57"/>
      <c r="I224" s="35"/>
      <c r="J224" s="30"/>
      <c r="K224" s="35"/>
      <c r="L224" s="35"/>
      <c r="M224" s="30"/>
      <c r="N224" s="30"/>
      <c r="O224" s="30"/>
      <c r="P224" s="30"/>
      <c r="Q224" s="57"/>
      <c r="R224" s="57"/>
      <c r="S224" s="57"/>
      <c r="T224" s="57"/>
      <c r="U224" s="57"/>
      <c r="V224" s="57"/>
      <c r="W224" s="57"/>
      <c r="X224" s="57"/>
      <c r="Y224" s="57"/>
      <c r="Z224" s="68"/>
      <c r="AA224" s="68"/>
      <c r="AB224" s="57"/>
      <c r="AC224" s="30" t="s">
        <v>2108</v>
      </c>
      <c r="AD224" s="30">
        <v>2011</v>
      </c>
      <c r="AE224" s="30" t="s">
        <v>2109</v>
      </c>
      <c r="AF224" s="30"/>
      <c r="AG224" s="30"/>
      <c r="AH224" s="30"/>
      <c r="AI224" s="30"/>
      <c r="AJ224" s="31">
        <f t="shared" si="21"/>
        <v>0</v>
      </c>
      <c r="AK224" s="34"/>
      <c r="AL224" s="31">
        <f t="shared" si="22"/>
        <v>0</v>
      </c>
      <c r="AM224" s="34"/>
      <c r="AN224" s="34">
        <f>297900000+281000000+280600000+285300000+282100000</f>
        <v>1426900000</v>
      </c>
      <c r="AO224" s="52"/>
      <c r="AP224" s="30" t="s">
        <v>342</v>
      </c>
      <c r="AQ224" s="30" t="s">
        <v>130</v>
      </c>
      <c r="AR224" s="30"/>
      <c r="AS224" s="30"/>
      <c r="AT224" s="30" t="s">
        <v>2105</v>
      </c>
      <c r="AU224" s="30">
        <v>2011</v>
      </c>
      <c r="AV224" s="35"/>
      <c r="AW224" s="34"/>
      <c r="AX224" s="35"/>
      <c r="AY224" s="34"/>
      <c r="AZ224" s="34">
        <v>380000000</v>
      </c>
      <c r="BA224" s="32">
        <f>330000000-30000000</f>
        <v>300000000</v>
      </c>
      <c r="BB224" s="30" t="s">
        <v>2110</v>
      </c>
      <c r="BC224" s="30" t="s">
        <v>81</v>
      </c>
      <c r="BD224" s="30" t="s">
        <v>275</v>
      </c>
      <c r="BE224" s="30" t="s">
        <v>130</v>
      </c>
      <c r="BF224" s="30"/>
      <c r="BG224" s="30"/>
      <c r="BH224" s="30" t="s">
        <v>2105</v>
      </c>
      <c r="BI224" s="30">
        <v>2013</v>
      </c>
      <c r="BJ224" s="36"/>
      <c r="BK224" s="34"/>
      <c r="BL224" s="36"/>
      <c r="BM224" s="34"/>
      <c r="BN224" s="34">
        <v>380000000</v>
      </c>
      <c r="BO224" s="32">
        <f>BN224-70000000</f>
        <v>310000000</v>
      </c>
      <c r="BP224" s="30" t="s">
        <v>1945</v>
      </c>
      <c r="BQ224" s="30" t="s">
        <v>81</v>
      </c>
      <c r="BR224" s="30" t="s">
        <v>84</v>
      </c>
      <c r="BS224" s="30" t="s">
        <v>130</v>
      </c>
      <c r="BT224" s="30"/>
      <c r="BU224" s="30"/>
      <c r="BV224" s="30" t="s">
        <v>2105</v>
      </c>
      <c r="BW224" s="30">
        <v>2013</v>
      </c>
      <c r="BX224" s="36"/>
      <c r="BY224" s="34"/>
      <c r="BZ224" s="36"/>
      <c r="CA224" s="34"/>
      <c r="CB224" s="34">
        <v>410000000</v>
      </c>
      <c r="CC224" s="32">
        <f>CB224-70000000</f>
        <v>340000000</v>
      </c>
      <c r="CD224" s="30" t="s">
        <v>2111</v>
      </c>
      <c r="CE224" s="30" t="s">
        <v>81</v>
      </c>
      <c r="CF224" s="57"/>
      <c r="CG224" s="30"/>
      <c r="CH224" s="30"/>
      <c r="CI224" s="64"/>
      <c r="CJ224" s="64"/>
      <c r="CK224" s="64"/>
      <c r="CL224" s="64"/>
    </row>
    <row r="225" spans="2:90" ht="60" x14ac:dyDescent="0.25">
      <c r="B225" s="57"/>
      <c r="C225" s="57"/>
      <c r="D225" s="68"/>
      <c r="E225" s="57"/>
      <c r="F225" s="57"/>
      <c r="G225" s="30"/>
      <c r="H225" s="57"/>
      <c r="I225" s="35"/>
      <c r="J225" s="30"/>
      <c r="K225" s="35"/>
      <c r="L225" s="35"/>
      <c r="M225" s="30"/>
      <c r="N225" s="30"/>
      <c r="O225" s="30"/>
      <c r="P225" s="30"/>
      <c r="Q225" s="57"/>
      <c r="R225" s="57"/>
      <c r="S225" s="57"/>
      <c r="T225" s="57"/>
      <c r="U225" s="57"/>
      <c r="V225" s="57"/>
      <c r="W225" s="57"/>
      <c r="X225" s="57"/>
      <c r="Y225" s="57"/>
      <c r="Z225" s="68"/>
      <c r="AA225" s="68"/>
      <c r="AB225" s="57"/>
      <c r="AC225" s="30" t="s">
        <v>2112</v>
      </c>
      <c r="AD225" s="30">
        <v>2011</v>
      </c>
      <c r="AE225" s="30" t="s">
        <v>2030</v>
      </c>
      <c r="AF225" s="30"/>
      <c r="AG225" s="30"/>
      <c r="AH225" s="30"/>
      <c r="AI225" s="30"/>
      <c r="AJ225" s="31">
        <f t="shared" si="21"/>
        <v>0</v>
      </c>
      <c r="AK225" s="34"/>
      <c r="AL225" s="31">
        <f t="shared" si="22"/>
        <v>0</v>
      </c>
      <c r="AM225" s="34"/>
      <c r="AN225" s="34">
        <v>89400000</v>
      </c>
      <c r="AO225" s="52"/>
      <c r="AP225" s="30" t="s">
        <v>362</v>
      </c>
      <c r="AQ225" s="30" t="s">
        <v>130</v>
      </c>
      <c r="AR225" s="30"/>
      <c r="AS225" s="30"/>
      <c r="AT225" s="30" t="s">
        <v>2113</v>
      </c>
      <c r="AU225" s="30">
        <v>2011</v>
      </c>
      <c r="AV225" s="35"/>
      <c r="AW225" s="34"/>
      <c r="AX225" s="35"/>
      <c r="AY225" s="34"/>
      <c r="AZ225" s="34">
        <v>137000000</v>
      </c>
      <c r="BA225" s="32">
        <f>AZ225-22000000</f>
        <v>115000000</v>
      </c>
      <c r="BB225" s="30" t="s">
        <v>2114</v>
      </c>
      <c r="BC225" s="30" t="s">
        <v>81</v>
      </c>
      <c r="BD225" s="30" t="s">
        <v>1936</v>
      </c>
      <c r="BE225" s="30" t="s">
        <v>130</v>
      </c>
      <c r="BF225" s="30"/>
      <c r="BG225" s="30"/>
      <c r="BH225" s="30" t="s">
        <v>2113</v>
      </c>
      <c r="BI225" s="30">
        <v>2011</v>
      </c>
      <c r="BJ225" s="36"/>
      <c r="BK225" s="34"/>
      <c r="BL225" s="36"/>
      <c r="BM225" s="34"/>
      <c r="BN225" s="34">
        <v>135000000</v>
      </c>
      <c r="BO225" s="32">
        <f>BN225-20000000</f>
        <v>115000000</v>
      </c>
      <c r="BP225" s="30" t="s">
        <v>2115</v>
      </c>
      <c r="BQ225" s="30" t="s">
        <v>81</v>
      </c>
      <c r="BR225" s="30" t="s">
        <v>2116</v>
      </c>
      <c r="BS225" s="30" t="s">
        <v>130</v>
      </c>
      <c r="BT225" s="30"/>
      <c r="BU225" s="30"/>
      <c r="BV225" s="30" t="s">
        <v>2113</v>
      </c>
      <c r="BW225" s="30">
        <v>2012</v>
      </c>
      <c r="BX225" s="36"/>
      <c r="BY225" s="34"/>
      <c r="BZ225" s="36"/>
      <c r="CA225" s="34"/>
      <c r="CB225" s="34">
        <v>140000000</v>
      </c>
      <c r="CC225" s="32">
        <f>CB225-20000000</f>
        <v>120000000</v>
      </c>
      <c r="CD225" s="30" t="s">
        <v>2117</v>
      </c>
      <c r="CE225" s="30" t="s">
        <v>81</v>
      </c>
      <c r="CF225" s="57"/>
      <c r="CG225" s="30"/>
      <c r="CH225" s="30"/>
      <c r="CI225" s="64"/>
      <c r="CJ225" s="64"/>
      <c r="CK225" s="64"/>
      <c r="CL225" s="64"/>
    </row>
    <row r="226" spans="2:90" ht="60" x14ac:dyDescent="0.25">
      <c r="B226" s="57"/>
      <c r="C226" s="57"/>
      <c r="D226" s="68"/>
      <c r="E226" s="57"/>
      <c r="F226" s="57"/>
      <c r="G226" s="30"/>
      <c r="H226" s="57"/>
      <c r="I226" s="35"/>
      <c r="J226" s="30"/>
      <c r="K226" s="35"/>
      <c r="L226" s="35"/>
      <c r="M226" s="30"/>
      <c r="N226" s="30"/>
      <c r="O226" s="30"/>
      <c r="P226" s="30"/>
      <c r="Q226" s="57"/>
      <c r="R226" s="57"/>
      <c r="S226" s="57"/>
      <c r="T226" s="57"/>
      <c r="U226" s="57"/>
      <c r="V226" s="57"/>
      <c r="W226" s="57"/>
      <c r="X226" s="57"/>
      <c r="Y226" s="57"/>
      <c r="Z226" s="68"/>
      <c r="AA226" s="68"/>
      <c r="AB226" s="57"/>
      <c r="AC226" s="30" t="s">
        <v>2118</v>
      </c>
      <c r="AD226" s="30">
        <v>2011</v>
      </c>
      <c r="AE226" s="30" t="s">
        <v>2119</v>
      </c>
      <c r="AF226" s="30"/>
      <c r="AG226" s="30"/>
      <c r="AH226" s="30"/>
      <c r="AI226" s="30"/>
      <c r="AJ226" s="31">
        <f t="shared" si="21"/>
        <v>0</v>
      </c>
      <c r="AK226" s="34"/>
      <c r="AL226" s="31">
        <f t="shared" si="22"/>
        <v>0</v>
      </c>
      <c r="AM226" s="34"/>
      <c r="AN226" s="34">
        <v>95200000</v>
      </c>
      <c r="AO226" s="52"/>
      <c r="AP226" s="30" t="s">
        <v>132</v>
      </c>
      <c r="AQ226" s="30" t="s">
        <v>130</v>
      </c>
      <c r="AR226" s="30"/>
      <c r="AS226" s="30"/>
      <c r="AT226" s="30" t="s">
        <v>2120</v>
      </c>
      <c r="AU226" s="30">
        <v>2011</v>
      </c>
      <c r="AV226" s="35"/>
      <c r="AW226" s="34"/>
      <c r="AX226" s="35"/>
      <c r="AY226" s="34"/>
      <c r="AZ226" s="34">
        <v>136500000</v>
      </c>
      <c r="BA226" s="32">
        <f>AZ226-21500000</f>
        <v>115000000</v>
      </c>
      <c r="BB226" s="30" t="s">
        <v>2121</v>
      </c>
      <c r="BC226" s="30" t="s">
        <v>81</v>
      </c>
      <c r="BD226" s="30" t="s">
        <v>336</v>
      </c>
      <c r="BE226" s="30" t="s">
        <v>130</v>
      </c>
      <c r="BF226" s="30"/>
      <c r="BG226" s="30"/>
      <c r="BH226" s="30" t="s">
        <v>2120</v>
      </c>
      <c r="BI226" s="30">
        <v>2011</v>
      </c>
      <c r="BJ226" s="36"/>
      <c r="BK226" s="34"/>
      <c r="BL226" s="36"/>
      <c r="BM226" s="34"/>
      <c r="BN226" s="34">
        <v>145000000</v>
      </c>
      <c r="BO226" s="32">
        <f>BN226-20000000</f>
        <v>125000000</v>
      </c>
      <c r="BP226" s="30" t="s">
        <v>2122</v>
      </c>
      <c r="BQ226" s="30" t="s">
        <v>81</v>
      </c>
      <c r="BR226" s="30" t="s">
        <v>342</v>
      </c>
      <c r="BS226" s="30" t="s">
        <v>130</v>
      </c>
      <c r="BT226" s="30"/>
      <c r="BU226" s="30"/>
      <c r="BV226" s="30" t="s">
        <v>2120</v>
      </c>
      <c r="BW226" s="30">
        <v>2011</v>
      </c>
      <c r="BX226" s="36"/>
      <c r="BY226" s="34"/>
      <c r="BZ226" s="36"/>
      <c r="CA226" s="34"/>
      <c r="CB226" s="34">
        <v>149500000</v>
      </c>
      <c r="CC226" s="32">
        <f>CB226-24500000</f>
        <v>125000000</v>
      </c>
      <c r="CD226" s="30" t="s">
        <v>2123</v>
      </c>
      <c r="CE226" s="30" t="s">
        <v>81</v>
      </c>
      <c r="CF226" s="57"/>
      <c r="CG226" s="30"/>
      <c r="CH226" s="30"/>
      <c r="CI226" s="64"/>
      <c r="CJ226" s="64"/>
      <c r="CK226" s="64"/>
      <c r="CL226" s="64"/>
    </row>
    <row r="227" spans="2:90" ht="30" x14ac:dyDescent="0.25">
      <c r="B227" s="57"/>
      <c r="C227" s="57"/>
      <c r="D227" s="68"/>
      <c r="E227" s="57"/>
      <c r="F227" s="57"/>
      <c r="G227" s="30"/>
      <c r="H227" s="58"/>
      <c r="I227" s="35"/>
      <c r="J227" s="30"/>
      <c r="K227" s="35"/>
      <c r="L227" s="35"/>
      <c r="M227" s="30"/>
      <c r="N227" s="30"/>
      <c r="O227" s="30"/>
      <c r="P227" s="30"/>
      <c r="Q227" s="57"/>
      <c r="R227" s="57"/>
      <c r="S227" s="57"/>
      <c r="T227" s="57"/>
      <c r="U227" s="57"/>
      <c r="V227" s="57"/>
      <c r="W227" s="57"/>
      <c r="X227" s="57"/>
      <c r="Y227" s="57"/>
      <c r="Z227" s="68"/>
      <c r="AA227" s="68"/>
      <c r="AB227" s="57"/>
      <c r="AC227" s="30" t="s">
        <v>2124</v>
      </c>
      <c r="AD227" s="30">
        <v>2011</v>
      </c>
      <c r="AE227" s="30" t="s">
        <v>1882</v>
      </c>
      <c r="AF227" s="30"/>
      <c r="AG227" s="30"/>
      <c r="AH227" s="30"/>
      <c r="AI227" s="30"/>
      <c r="AJ227" s="31">
        <f t="shared" si="21"/>
        <v>0</v>
      </c>
      <c r="AK227" s="34"/>
      <c r="AL227" s="31">
        <f t="shared" si="22"/>
        <v>0</v>
      </c>
      <c r="AM227" s="34"/>
      <c r="AN227" s="34">
        <v>114400000</v>
      </c>
      <c r="AO227" s="52"/>
      <c r="AP227" s="30" t="s">
        <v>2125</v>
      </c>
      <c r="AQ227" s="30" t="s">
        <v>130</v>
      </c>
      <c r="AR227" s="30"/>
      <c r="AS227" s="30"/>
      <c r="AT227" s="30" t="s">
        <v>1881</v>
      </c>
      <c r="AU227" s="30">
        <v>2016</v>
      </c>
      <c r="AV227" s="35"/>
      <c r="AW227" s="34"/>
      <c r="AX227" s="35"/>
      <c r="AY227" s="34"/>
      <c r="AZ227" s="34">
        <v>135000000</v>
      </c>
      <c r="BA227" s="32">
        <f>AZ227-15000000</f>
        <v>120000000</v>
      </c>
      <c r="BB227" s="30" t="s">
        <v>2126</v>
      </c>
      <c r="BC227" s="30" t="s">
        <v>81</v>
      </c>
      <c r="BD227" s="30" t="s">
        <v>2127</v>
      </c>
      <c r="BE227" s="30" t="s">
        <v>130</v>
      </c>
      <c r="BF227" s="30"/>
      <c r="BG227" s="30"/>
      <c r="BH227" s="30" t="s">
        <v>1881</v>
      </c>
      <c r="BI227" s="30">
        <v>2016</v>
      </c>
      <c r="BJ227" s="36"/>
      <c r="BK227" s="34"/>
      <c r="BL227" s="36"/>
      <c r="BM227" s="34"/>
      <c r="BN227" s="34">
        <v>130000000</v>
      </c>
      <c r="BO227" s="32">
        <f>+BN227-5000000</f>
        <v>125000000</v>
      </c>
      <c r="BP227" s="30" t="s">
        <v>2128</v>
      </c>
      <c r="BQ227" s="30" t="s">
        <v>81</v>
      </c>
      <c r="BR227" s="30" t="s">
        <v>176</v>
      </c>
      <c r="BS227" s="30" t="s">
        <v>130</v>
      </c>
      <c r="BT227" s="30"/>
      <c r="BU227" s="30"/>
      <c r="BV227" s="30" t="s">
        <v>1881</v>
      </c>
      <c r="BW227" s="30">
        <v>2015</v>
      </c>
      <c r="BX227" s="36"/>
      <c r="BY227" s="34"/>
      <c r="BZ227" s="36"/>
      <c r="CA227" s="34"/>
      <c r="CB227" s="34">
        <v>120000000</v>
      </c>
      <c r="CC227" s="32">
        <f>CB227-5000000</f>
        <v>115000000</v>
      </c>
      <c r="CD227" s="30" t="s">
        <v>2129</v>
      </c>
      <c r="CE227" s="30" t="s">
        <v>81</v>
      </c>
      <c r="CF227" s="57"/>
      <c r="CG227" s="30"/>
      <c r="CH227" s="30"/>
      <c r="CI227" s="64"/>
      <c r="CJ227" s="64"/>
      <c r="CK227" s="64"/>
      <c r="CL227" s="64"/>
    </row>
    <row r="228" spans="2:90" ht="30" x14ac:dyDescent="0.25">
      <c r="B228" s="58"/>
      <c r="C228" s="58"/>
      <c r="D228" s="69"/>
      <c r="E228" s="58"/>
      <c r="F228" s="58"/>
      <c r="G228" s="30"/>
      <c r="H228" s="30" t="s">
        <v>1858</v>
      </c>
      <c r="I228" s="35"/>
      <c r="J228" s="30"/>
      <c r="K228" s="35"/>
      <c r="L228" s="35"/>
      <c r="M228" s="30"/>
      <c r="N228" s="30"/>
      <c r="O228" s="30"/>
      <c r="P228" s="30"/>
      <c r="Q228" s="58"/>
      <c r="R228" s="58"/>
      <c r="S228" s="58"/>
      <c r="T228" s="58"/>
      <c r="U228" s="58"/>
      <c r="V228" s="58"/>
      <c r="W228" s="58"/>
      <c r="X228" s="58"/>
      <c r="Y228" s="58"/>
      <c r="Z228" s="69"/>
      <c r="AA228" s="69"/>
      <c r="AB228" s="58"/>
      <c r="AC228" s="30" t="s">
        <v>2130</v>
      </c>
      <c r="AD228" s="30">
        <v>2011</v>
      </c>
      <c r="AE228" s="30" t="s">
        <v>2131</v>
      </c>
      <c r="AF228" s="30"/>
      <c r="AG228" s="30"/>
      <c r="AH228" s="30"/>
      <c r="AI228" s="30"/>
      <c r="AJ228" s="31">
        <f t="shared" si="21"/>
        <v>0</v>
      </c>
      <c r="AK228" s="34"/>
      <c r="AL228" s="31">
        <f t="shared" si="22"/>
        <v>0</v>
      </c>
      <c r="AM228" s="34"/>
      <c r="AN228" s="34">
        <v>4200000</v>
      </c>
      <c r="AO228" s="53"/>
      <c r="AP228" s="30" t="s">
        <v>336</v>
      </c>
      <c r="AQ228" s="30" t="s">
        <v>1858</v>
      </c>
      <c r="AR228" s="30"/>
      <c r="AS228" s="30"/>
      <c r="AT228" s="30" t="s">
        <v>2131</v>
      </c>
      <c r="AU228" s="30">
        <v>2011</v>
      </c>
      <c r="AV228" s="35"/>
      <c r="AW228" s="34"/>
      <c r="AX228" s="35"/>
      <c r="AY228" s="34"/>
      <c r="AZ228" s="34">
        <v>7000000</v>
      </c>
      <c r="BA228" s="32">
        <f>AZ228-1350000</f>
        <v>5650000</v>
      </c>
      <c r="BB228" s="30" t="s">
        <v>2132</v>
      </c>
      <c r="BC228" s="30" t="s">
        <v>81</v>
      </c>
      <c r="BD228" s="30" t="s">
        <v>344</v>
      </c>
      <c r="BE228" s="30" t="s">
        <v>130</v>
      </c>
      <c r="BF228" s="30"/>
      <c r="BG228" s="30"/>
      <c r="BH228" s="30" t="s">
        <v>2131</v>
      </c>
      <c r="BI228" s="30">
        <v>2011</v>
      </c>
      <c r="BJ228" s="36"/>
      <c r="BK228" s="34"/>
      <c r="BL228" s="36"/>
      <c r="BM228" s="34"/>
      <c r="BN228" s="34">
        <v>6500000</v>
      </c>
      <c r="BO228" s="32">
        <f>BN228-1250000</f>
        <v>5250000</v>
      </c>
      <c r="BP228" s="30" t="s">
        <v>2133</v>
      </c>
      <c r="BQ228" s="30" t="s">
        <v>81</v>
      </c>
      <c r="BR228" s="30" t="s">
        <v>336</v>
      </c>
      <c r="BS228" s="30" t="s">
        <v>2134</v>
      </c>
      <c r="BT228" s="30"/>
      <c r="BU228" s="30"/>
      <c r="BV228" s="30" t="s">
        <v>2131</v>
      </c>
      <c r="BW228" s="30">
        <v>2012</v>
      </c>
      <c r="BX228" s="36"/>
      <c r="BY228" s="34"/>
      <c r="BZ228" s="36"/>
      <c r="CA228" s="34"/>
      <c r="CB228" s="34">
        <v>5500000</v>
      </c>
      <c r="CC228" s="32">
        <f>CB228-1100000</f>
        <v>4400000</v>
      </c>
      <c r="CD228" s="30" t="s">
        <v>2135</v>
      </c>
      <c r="CE228" s="30" t="s">
        <v>81</v>
      </c>
      <c r="CF228" s="58"/>
      <c r="CG228" s="30"/>
      <c r="CH228" s="30"/>
      <c r="CI228" s="64"/>
      <c r="CJ228" s="64"/>
      <c r="CK228" s="64"/>
      <c r="CL228" s="64"/>
    </row>
    <row r="229" spans="2:90" ht="105" x14ac:dyDescent="0.25">
      <c r="B229" s="54" t="s">
        <v>2136</v>
      </c>
      <c r="C229" s="54" t="s">
        <v>2137</v>
      </c>
      <c r="D229" s="79">
        <v>45537</v>
      </c>
      <c r="E229" s="54" t="s">
        <v>2138</v>
      </c>
      <c r="F229" s="54" t="s">
        <v>93</v>
      </c>
      <c r="G229" s="30">
        <v>1</v>
      </c>
      <c r="H229" s="64" t="s">
        <v>387</v>
      </c>
      <c r="I229" s="35"/>
      <c r="J229" s="30"/>
      <c r="K229" s="35">
        <v>279</v>
      </c>
      <c r="L229" s="35"/>
      <c r="M229" s="30" t="s">
        <v>2139</v>
      </c>
      <c r="N229" s="30"/>
      <c r="O229" s="30"/>
      <c r="P229" s="30"/>
      <c r="Q229" s="54" t="s">
        <v>2140</v>
      </c>
      <c r="R229" s="54" t="s">
        <v>2141</v>
      </c>
      <c r="S229" s="54" t="s">
        <v>2142</v>
      </c>
      <c r="T229" s="54" t="s">
        <v>2143</v>
      </c>
      <c r="U229" s="54" t="s">
        <v>1665</v>
      </c>
      <c r="V229" s="54" t="s">
        <v>1666</v>
      </c>
      <c r="W229" s="54" t="s">
        <v>72</v>
      </c>
      <c r="X229" s="54" t="s">
        <v>85</v>
      </c>
      <c r="Y229" s="54" t="s">
        <v>73</v>
      </c>
      <c r="Z229" s="67" t="s">
        <v>2144</v>
      </c>
      <c r="AA229" s="67">
        <v>45406</v>
      </c>
      <c r="AB229" s="54" t="s">
        <v>90</v>
      </c>
      <c r="AC229" s="30"/>
      <c r="AD229" s="30"/>
      <c r="AE229" s="30"/>
      <c r="AF229" s="30"/>
      <c r="AG229" s="30"/>
      <c r="AH229" s="30"/>
      <c r="AI229" s="30"/>
      <c r="AJ229" s="31">
        <f t="shared" si="21"/>
        <v>0</v>
      </c>
      <c r="AK229" s="34"/>
      <c r="AL229" s="31">
        <f t="shared" si="22"/>
        <v>279</v>
      </c>
      <c r="AM229" s="34">
        <f>227000000/AL229</f>
        <v>813620.07168458786</v>
      </c>
      <c r="AN229" s="34">
        <f>315024000+2531428000+6874000000+96885000</f>
        <v>9817337000</v>
      </c>
      <c r="AO229" s="51">
        <f t="shared" ref="AO229:AO292" si="23">(AJ229*AK229)+(AL229*AM229)+AN229</f>
        <v>10044337000</v>
      </c>
      <c r="AP229" s="30"/>
      <c r="AQ229" s="30"/>
      <c r="AR229" s="30"/>
      <c r="AS229" s="30"/>
      <c r="AT229" s="30"/>
      <c r="AU229" s="30"/>
      <c r="AV229" s="35"/>
      <c r="AW229" s="34"/>
      <c r="AX229" s="35"/>
      <c r="AY229" s="34"/>
      <c r="AZ229" s="34"/>
      <c r="BA229" s="32">
        <f>AV229*AW229</f>
        <v>0</v>
      </c>
      <c r="BB229" s="30"/>
      <c r="BC229" s="30"/>
      <c r="BD229" s="30"/>
      <c r="BE229" s="30"/>
      <c r="BF229" s="30"/>
      <c r="BG229" s="30"/>
      <c r="BH229" s="30"/>
      <c r="BI229" s="30"/>
      <c r="BJ229" s="36"/>
      <c r="BK229" s="34"/>
      <c r="BL229" s="36"/>
      <c r="BM229" s="34"/>
      <c r="BN229" s="34"/>
      <c r="BO229" s="32">
        <f t="shared" si="19"/>
        <v>0</v>
      </c>
      <c r="BP229" s="30"/>
      <c r="BQ229" s="30"/>
      <c r="BR229" s="30"/>
      <c r="BS229" s="30"/>
      <c r="BT229" s="30"/>
      <c r="BU229" s="30"/>
      <c r="BV229" s="30"/>
      <c r="BW229" s="30"/>
      <c r="BX229" s="36"/>
      <c r="BY229" s="34"/>
      <c r="BZ229" s="36"/>
      <c r="CA229" s="34"/>
      <c r="CB229" s="34"/>
      <c r="CC229" s="32">
        <f t="shared" si="20"/>
        <v>0</v>
      </c>
      <c r="CD229" s="30"/>
      <c r="CE229" s="30"/>
      <c r="CF229" s="54" t="s">
        <v>597</v>
      </c>
      <c r="CG229" s="30"/>
      <c r="CH229" s="30"/>
      <c r="CI229" s="64"/>
      <c r="CJ229" s="64"/>
      <c r="CK229" s="64"/>
      <c r="CL229" s="64"/>
    </row>
    <row r="230" spans="2:90" ht="30" x14ac:dyDescent="0.25">
      <c r="B230" s="57"/>
      <c r="C230" s="57"/>
      <c r="D230" s="80"/>
      <c r="E230" s="57"/>
      <c r="F230" s="57"/>
      <c r="G230" s="30">
        <v>2</v>
      </c>
      <c r="H230" s="54" t="s">
        <v>130</v>
      </c>
      <c r="I230" s="35"/>
      <c r="J230" s="30"/>
      <c r="K230" s="35"/>
      <c r="L230" s="35"/>
      <c r="M230" s="30"/>
      <c r="N230" s="30"/>
      <c r="O230" s="30"/>
      <c r="P230" s="30"/>
      <c r="Q230" s="57"/>
      <c r="R230" s="57"/>
      <c r="S230" s="57"/>
      <c r="T230" s="57"/>
      <c r="U230" s="57"/>
      <c r="V230" s="57"/>
      <c r="W230" s="57"/>
      <c r="X230" s="57"/>
      <c r="Y230" s="57"/>
      <c r="Z230" s="68"/>
      <c r="AA230" s="68"/>
      <c r="AB230" s="57"/>
      <c r="AC230" s="30" t="s">
        <v>2145</v>
      </c>
      <c r="AD230" s="30">
        <v>2019</v>
      </c>
      <c r="AE230" s="30" t="s">
        <v>2146</v>
      </c>
      <c r="AF230" s="30"/>
      <c r="AG230" s="30"/>
      <c r="AH230" s="30"/>
      <c r="AI230" s="30"/>
      <c r="AJ230" s="31">
        <f t="shared" si="21"/>
        <v>0</v>
      </c>
      <c r="AK230" s="34"/>
      <c r="AL230" s="31">
        <f t="shared" si="22"/>
        <v>0</v>
      </c>
      <c r="AM230" s="34"/>
      <c r="AN230" s="34">
        <f>853240262+856278898</f>
        <v>1709519160</v>
      </c>
      <c r="AO230" s="52"/>
      <c r="AP230" s="30" t="s">
        <v>1850</v>
      </c>
      <c r="AQ230" s="30" t="s">
        <v>130</v>
      </c>
      <c r="AR230" s="30"/>
      <c r="AS230" s="30"/>
      <c r="AT230" s="30" t="s">
        <v>2147</v>
      </c>
      <c r="AU230" s="30">
        <v>2021</v>
      </c>
      <c r="AV230" s="35"/>
      <c r="AW230" s="34"/>
      <c r="AX230" s="35"/>
      <c r="AY230" s="34"/>
      <c r="AZ230" s="34">
        <v>1100000000</v>
      </c>
      <c r="BA230" s="32">
        <f>AZ230-200000000</f>
        <v>900000000</v>
      </c>
      <c r="BB230" s="30" t="s">
        <v>1852</v>
      </c>
      <c r="BC230" s="30" t="s">
        <v>81</v>
      </c>
      <c r="BD230" s="30" t="s">
        <v>1853</v>
      </c>
      <c r="BE230" s="30" t="s">
        <v>130</v>
      </c>
      <c r="BF230" s="30"/>
      <c r="BG230" s="30"/>
      <c r="BH230" s="30" t="s">
        <v>2146</v>
      </c>
      <c r="BI230" s="30">
        <v>2017</v>
      </c>
      <c r="BJ230" s="36"/>
      <c r="BK230" s="34"/>
      <c r="BL230" s="36"/>
      <c r="BM230" s="34"/>
      <c r="BN230" s="34">
        <v>775000000</v>
      </c>
      <c r="BO230" s="32">
        <f>BN230-125000000</f>
        <v>650000000</v>
      </c>
      <c r="BP230" s="30" t="s">
        <v>1854</v>
      </c>
      <c r="BQ230" s="30" t="s">
        <v>81</v>
      </c>
      <c r="BR230" s="30" t="s">
        <v>331</v>
      </c>
      <c r="BS230" s="30" t="s">
        <v>130</v>
      </c>
      <c r="BT230" s="30"/>
      <c r="BU230" s="30"/>
      <c r="BV230" s="30" t="s">
        <v>2148</v>
      </c>
      <c r="BW230" s="30">
        <v>2017</v>
      </c>
      <c r="BX230" s="36"/>
      <c r="BY230" s="34"/>
      <c r="BZ230" s="36"/>
      <c r="CA230" s="34"/>
      <c r="CB230" s="34">
        <v>730000000</v>
      </c>
      <c r="CC230" s="32">
        <f>CB230-100000000</f>
        <v>630000000</v>
      </c>
      <c r="CD230" s="30" t="s">
        <v>1847</v>
      </c>
      <c r="CE230" s="30" t="s">
        <v>81</v>
      </c>
      <c r="CF230" s="57"/>
      <c r="CG230" s="30"/>
      <c r="CH230" s="30"/>
      <c r="CI230" s="64"/>
      <c r="CJ230" s="64"/>
      <c r="CK230" s="64"/>
      <c r="CL230" s="64"/>
    </row>
    <row r="231" spans="2:90" ht="120" x14ac:dyDescent="0.25">
      <c r="B231" s="57"/>
      <c r="C231" s="57"/>
      <c r="D231" s="80"/>
      <c r="E231" s="57"/>
      <c r="F231" s="57"/>
      <c r="G231" s="30">
        <v>3</v>
      </c>
      <c r="H231" s="57"/>
      <c r="I231" s="35"/>
      <c r="J231" s="30"/>
      <c r="K231" s="35"/>
      <c r="L231" s="35"/>
      <c r="M231" s="30"/>
      <c r="N231" s="30"/>
      <c r="O231" s="30"/>
      <c r="P231" s="30"/>
      <c r="Q231" s="57"/>
      <c r="R231" s="57"/>
      <c r="S231" s="57"/>
      <c r="T231" s="57"/>
      <c r="U231" s="57"/>
      <c r="V231" s="57"/>
      <c r="W231" s="57"/>
      <c r="X231" s="57"/>
      <c r="Y231" s="57"/>
      <c r="Z231" s="68"/>
      <c r="AA231" s="68"/>
      <c r="AB231" s="57"/>
      <c r="AC231" s="30" t="s">
        <v>2149</v>
      </c>
      <c r="AD231" s="30" t="s">
        <v>2150</v>
      </c>
      <c r="AE231" s="30" t="s">
        <v>1833</v>
      </c>
      <c r="AF231" s="30"/>
      <c r="AG231" s="30"/>
      <c r="AH231" s="30"/>
      <c r="AI231" s="30"/>
      <c r="AJ231" s="31">
        <f t="shared" si="21"/>
        <v>0</v>
      </c>
      <c r="AK231" s="34"/>
      <c r="AL231" s="31">
        <f t="shared" si="22"/>
        <v>0</v>
      </c>
      <c r="AM231" s="34"/>
      <c r="AN231" s="34">
        <f>412335037+319257545+318463975+223429225+223429225+220219411+220219411</f>
        <v>1937353829</v>
      </c>
      <c r="AO231" s="52"/>
      <c r="AP231" s="30" t="s">
        <v>433</v>
      </c>
      <c r="AQ231" s="30" t="s">
        <v>130</v>
      </c>
      <c r="AR231" s="30"/>
      <c r="AS231" s="30"/>
      <c r="AT231" s="30" t="s">
        <v>1833</v>
      </c>
      <c r="AU231" s="30">
        <v>2006</v>
      </c>
      <c r="AV231" s="35"/>
      <c r="AW231" s="34"/>
      <c r="AX231" s="35"/>
      <c r="AY231" s="34"/>
      <c r="AZ231" s="34">
        <v>250000000</v>
      </c>
      <c r="BA231" s="32">
        <f>AZ231-45000000</f>
        <v>205000000</v>
      </c>
      <c r="BB231" s="30" t="s">
        <v>1835</v>
      </c>
      <c r="BC231" s="30" t="s">
        <v>81</v>
      </c>
      <c r="BD231" s="30" t="s">
        <v>147</v>
      </c>
      <c r="BE231" s="30" t="s">
        <v>130</v>
      </c>
      <c r="BF231" s="30"/>
      <c r="BG231" s="30"/>
      <c r="BH231" s="30" t="s">
        <v>1833</v>
      </c>
      <c r="BI231" s="30">
        <v>2005</v>
      </c>
      <c r="BJ231" s="36"/>
      <c r="BK231" s="34"/>
      <c r="BL231" s="36"/>
      <c r="BM231" s="34"/>
      <c r="BN231" s="34">
        <v>200000000</v>
      </c>
      <c r="BO231" s="32">
        <f>BN231-30000000</f>
        <v>170000000</v>
      </c>
      <c r="BP231" s="30" t="s">
        <v>2091</v>
      </c>
      <c r="BQ231" s="30" t="s">
        <v>81</v>
      </c>
      <c r="BR231" s="30" t="s">
        <v>433</v>
      </c>
      <c r="BS231" s="30" t="s">
        <v>130</v>
      </c>
      <c r="BT231" s="30"/>
      <c r="BU231" s="30"/>
      <c r="BV231" s="30" t="s">
        <v>1833</v>
      </c>
      <c r="BW231" s="30">
        <v>2009</v>
      </c>
      <c r="BX231" s="36"/>
      <c r="BY231" s="34"/>
      <c r="BZ231" s="36"/>
      <c r="CA231" s="34"/>
      <c r="CB231" s="34">
        <v>235000000</v>
      </c>
      <c r="CC231" s="32">
        <f>CB231-35000000</f>
        <v>200000000</v>
      </c>
      <c r="CD231" s="30" t="s">
        <v>1836</v>
      </c>
      <c r="CE231" s="30" t="s">
        <v>81</v>
      </c>
      <c r="CF231" s="57"/>
      <c r="CG231" s="30"/>
      <c r="CH231" s="30"/>
      <c r="CI231" s="64"/>
      <c r="CJ231" s="64"/>
      <c r="CK231" s="64"/>
      <c r="CL231" s="64"/>
    </row>
    <row r="232" spans="2:90" ht="90" x14ac:dyDescent="0.25">
      <c r="B232" s="57"/>
      <c r="C232" s="57"/>
      <c r="D232" s="80"/>
      <c r="E232" s="57"/>
      <c r="F232" s="57"/>
      <c r="G232" s="30">
        <v>4</v>
      </c>
      <c r="H232" s="57"/>
      <c r="I232" s="35"/>
      <c r="J232" s="30"/>
      <c r="K232" s="35"/>
      <c r="L232" s="35"/>
      <c r="M232" s="30"/>
      <c r="N232" s="30"/>
      <c r="O232" s="30"/>
      <c r="P232" s="30"/>
      <c r="Q232" s="57"/>
      <c r="R232" s="57"/>
      <c r="S232" s="57"/>
      <c r="T232" s="57"/>
      <c r="U232" s="57"/>
      <c r="V232" s="57"/>
      <c r="W232" s="57"/>
      <c r="X232" s="57"/>
      <c r="Y232" s="57"/>
      <c r="Z232" s="68"/>
      <c r="AA232" s="68"/>
      <c r="AB232" s="57"/>
      <c r="AC232" s="30" t="s">
        <v>2151</v>
      </c>
      <c r="AD232" s="30">
        <v>2016</v>
      </c>
      <c r="AE232" s="30" t="s">
        <v>2152</v>
      </c>
      <c r="AF232" s="30"/>
      <c r="AG232" s="30"/>
      <c r="AH232" s="30"/>
      <c r="AI232" s="30"/>
      <c r="AJ232" s="31">
        <f t="shared" si="21"/>
        <v>0</v>
      </c>
      <c r="AK232" s="34"/>
      <c r="AL232" s="31">
        <f t="shared" si="22"/>
        <v>0</v>
      </c>
      <c r="AM232" s="34"/>
      <c r="AN232" s="34">
        <f>535422264+535422264+532848753+535422264+530276805</f>
        <v>2669392350</v>
      </c>
      <c r="AO232" s="52"/>
      <c r="AP232" s="30" t="s">
        <v>433</v>
      </c>
      <c r="AQ232" s="30" t="s">
        <v>130</v>
      </c>
      <c r="AR232" s="30"/>
      <c r="AS232" s="30"/>
      <c r="AT232" s="30" t="s">
        <v>2152</v>
      </c>
      <c r="AU232" s="30">
        <v>2017</v>
      </c>
      <c r="AV232" s="35"/>
      <c r="AW232" s="34"/>
      <c r="AX232" s="35"/>
      <c r="AY232" s="34"/>
      <c r="AZ232" s="34">
        <v>597250000</v>
      </c>
      <c r="BA232" s="32">
        <f>AZ232-87250000</f>
        <v>510000000</v>
      </c>
      <c r="BB232" s="30" t="s">
        <v>2153</v>
      </c>
      <c r="BC232" s="30" t="s">
        <v>81</v>
      </c>
      <c r="BD232" s="30" t="s">
        <v>2154</v>
      </c>
      <c r="BE232" s="30" t="s">
        <v>130</v>
      </c>
      <c r="BF232" s="30"/>
      <c r="BG232" s="30"/>
      <c r="BH232" s="30" t="s">
        <v>2152</v>
      </c>
      <c r="BI232" s="30">
        <v>2017</v>
      </c>
      <c r="BJ232" s="36"/>
      <c r="BK232" s="34"/>
      <c r="BL232" s="36"/>
      <c r="BM232" s="34"/>
      <c r="BN232" s="34">
        <v>642250000</v>
      </c>
      <c r="BO232" s="32">
        <f>BN232-122250000</f>
        <v>520000000</v>
      </c>
      <c r="BP232" s="30" t="s">
        <v>2155</v>
      </c>
      <c r="BQ232" s="30" t="s">
        <v>81</v>
      </c>
      <c r="BR232" s="30" t="s">
        <v>344</v>
      </c>
      <c r="BS232" s="30" t="s">
        <v>130</v>
      </c>
      <c r="BT232" s="30"/>
      <c r="BU232" s="30"/>
      <c r="BV232" s="30" t="s">
        <v>2152</v>
      </c>
      <c r="BW232" s="30">
        <v>2016</v>
      </c>
      <c r="BX232" s="36"/>
      <c r="BY232" s="34"/>
      <c r="BZ232" s="36"/>
      <c r="CA232" s="34"/>
      <c r="CB232" s="34">
        <v>567250000</v>
      </c>
      <c r="CC232" s="32">
        <f>CB232-67250000</f>
        <v>500000000</v>
      </c>
      <c r="CD232" s="30" t="s">
        <v>1950</v>
      </c>
      <c r="CE232" s="30" t="s">
        <v>81</v>
      </c>
      <c r="CF232" s="57"/>
      <c r="CG232" s="30"/>
      <c r="CH232" s="30"/>
      <c r="CI232" s="64"/>
      <c r="CJ232" s="64"/>
      <c r="CK232" s="64"/>
      <c r="CL232" s="64"/>
    </row>
    <row r="233" spans="2:90" ht="30" x14ac:dyDescent="0.25">
      <c r="B233" s="57"/>
      <c r="C233" s="57"/>
      <c r="D233" s="80"/>
      <c r="E233" s="57"/>
      <c r="F233" s="57"/>
      <c r="G233" s="30">
        <v>5</v>
      </c>
      <c r="H233" s="57"/>
      <c r="I233" s="35"/>
      <c r="J233" s="30"/>
      <c r="K233" s="35"/>
      <c r="L233" s="35"/>
      <c r="M233" s="30"/>
      <c r="N233" s="30"/>
      <c r="O233" s="30"/>
      <c r="P233" s="30"/>
      <c r="Q233" s="57"/>
      <c r="R233" s="57"/>
      <c r="S233" s="57"/>
      <c r="T233" s="57"/>
      <c r="U233" s="57"/>
      <c r="V233" s="57"/>
      <c r="W233" s="57"/>
      <c r="X233" s="57"/>
      <c r="Y233" s="57"/>
      <c r="Z233" s="68"/>
      <c r="AA233" s="68"/>
      <c r="AB233" s="57"/>
      <c r="AC233" s="30" t="s">
        <v>2156</v>
      </c>
      <c r="AD233" s="30">
        <v>2009</v>
      </c>
      <c r="AE233" s="30" t="s">
        <v>1862</v>
      </c>
      <c r="AF233" s="30"/>
      <c r="AG233" s="30"/>
      <c r="AH233" s="30"/>
      <c r="AI233" s="30"/>
      <c r="AJ233" s="31">
        <f t="shared" si="21"/>
        <v>0</v>
      </c>
      <c r="AK233" s="34"/>
      <c r="AL233" s="31">
        <f t="shared" si="22"/>
        <v>0</v>
      </c>
      <c r="AM233" s="34"/>
      <c r="AN233" s="34">
        <v>53000000</v>
      </c>
      <c r="AO233" s="52"/>
      <c r="AP233" s="30" t="s">
        <v>1863</v>
      </c>
      <c r="AQ233" s="30" t="s">
        <v>130</v>
      </c>
      <c r="AR233" s="30"/>
      <c r="AS233" s="30"/>
      <c r="AT233" s="30" t="s">
        <v>2157</v>
      </c>
      <c r="AU233" s="30">
        <v>2012</v>
      </c>
      <c r="AV233" s="35"/>
      <c r="AW233" s="34"/>
      <c r="AX233" s="35"/>
      <c r="AY233" s="34"/>
      <c r="AZ233" s="34">
        <v>84500000</v>
      </c>
      <c r="BA233" s="32">
        <f>AZ233-20500000</f>
        <v>64000000</v>
      </c>
      <c r="BB233" s="30" t="s">
        <v>1864</v>
      </c>
      <c r="BC233" s="30" t="s">
        <v>81</v>
      </c>
      <c r="BD233" s="30" t="s">
        <v>1843</v>
      </c>
      <c r="BE233" s="30" t="s">
        <v>130</v>
      </c>
      <c r="BF233" s="30"/>
      <c r="BG233" s="30"/>
      <c r="BH233" s="30" t="s">
        <v>2157</v>
      </c>
      <c r="BI233" s="30">
        <v>2010</v>
      </c>
      <c r="BJ233" s="36"/>
      <c r="BK233" s="34"/>
      <c r="BL233" s="36"/>
      <c r="BM233" s="34"/>
      <c r="BN233" s="34">
        <v>77000000</v>
      </c>
      <c r="BO233" s="32">
        <f>BN233-17000000</f>
        <v>60000000</v>
      </c>
      <c r="BP233" s="30" t="s">
        <v>1865</v>
      </c>
      <c r="BQ233" s="30" t="s">
        <v>81</v>
      </c>
      <c r="BR233" s="30" t="s">
        <v>2158</v>
      </c>
      <c r="BS233" s="30" t="s">
        <v>130</v>
      </c>
      <c r="BT233" s="30"/>
      <c r="BU233" s="30"/>
      <c r="BV233" s="30" t="s">
        <v>2157</v>
      </c>
      <c r="BW233" s="30">
        <v>2011</v>
      </c>
      <c r="BX233" s="36"/>
      <c r="BY233" s="34"/>
      <c r="BZ233" s="36"/>
      <c r="CA233" s="34"/>
      <c r="CB233" s="34">
        <v>87000000</v>
      </c>
      <c r="CC233" s="32">
        <f>CB233-23000000</f>
        <v>64000000</v>
      </c>
      <c r="CD233" s="30" t="s">
        <v>1847</v>
      </c>
      <c r="CE233" s="30" t="s">
        <v>81</v>
      </c>
      <c r="CF233" s="57"/>
      <c r="CG233" s="30"/>
      <c r="CH233" s="30"/>
      <c r="CI233" s="64"/>
      <c r="CJ233" s="64"/>
      <c r="CK233" s="64"/>
      <c r="CL233" s="64"/>
    </row>
    <row r="234" spans="2:90" ht="30" x14ac:dyDescent="0.25">
      <c r="B234" s="57"/>
      <c r="C234" s="57"/>
      <c r="D234" s="80"/>
      <c r="E234" s="57"/>
      <c r="F234" s="57"/>
      <c r="G234" s="30">
        <v>6</v>
      </c>
      <c r="H234" s="57"/>
      <c r="I234" s="35"/>
      <c r="J234" s="30"/>
      <c r="K234" s="35"/>
      <c r="L234" s="35"/>
      <c r="M234" s="30"/>
      <c r="N234" s="30"/>
      <c r="O234" s="30"/>
      <c r="P234" s="30"/>
      <c r="Q234" s="57"/>
      <c r="R234" s="57"/>
      <c r="S234" s="57"/>
      <c r="T234" s="57"/>
      <c r="U234" s="57"/>
      <c r="V234" s="57"/>
      <c r="W234" s="57"/>
      <c r="X234" s="57"/>
      <c r="Y234" s="57"/>
      <c r="Z234" s="68"/>
      <c r="AA234" s="68"/>
      <c r="AB234" s="57"/>
      <c r="AC234" s="30" t="s">
        <v>2159</v>
      </c>
      <c r="AD234" s="30">
        <v>2009</v>
      </c>
      <c r="AE234" s="30" t="s">
        <v>2160</v>
      </c>
      <c r="AF234" s="30"/>
      <c r="AG234" s="30"/>
      <c r="AH234" s="30"/>
      <c r="AI234" s="30"/>
      <c r="AJ234" s="31">
        <f t="shared" si="21"/>
        <v>0</v>
      </c>
      <c r="AK234" s="34"/>
      <c r="AL234" s="31">
        <f t="shared" si="22"/>
        <v>0</v>
      </c>
      <c r="AM234" s="34"/>
      <c r="AN234" s="34">
        <v>96521009</v>
      </c>
      <c r="AO234" s="52"/>
      <c r="AP234" s="30" t="s">
        <v>1872</v>
      </c>
      <c r="AQ234" s="30" t="s">
        <v>130</v>
      </c>
      <c r="AR234" s="30"/>
      <c r="AS234" s="30"/>
      <c r="AT234" s="30" t="s">
        <v>2161</v>
      </c>
      <c r="AU234" s="30">
        <v>2009</v>
      </c>
      <c r="AV234" s="35"/>
      <c r="AW234" s="34"/>
      <c r="AX234" s="35"/>
      <c r="AY234" s="34"/>
      <c r="AZ234" s="34">
        <v>103000000</v>
      </c>
      <c r="BA234" s="32">
        <f>AZ234-14000000</f>
        <v>89000000</v>
      </c>
      <c r="BB234" s="30" t="s">
        <v>2162</v>
      </c>
      <c r="BC234" s="30" t="s">
        <v>81</v>
      </c>
      <c r="BD234" s="30" t="s">
        <v>706</v>
      </c>
      <c r="BE234" s="30" t="s">
        <v>130</v>
      </c>
      <c r="BF234" s="30"/>
      <c r="BG234" s="30"/>
      <c r="BH234" s="30" t="s">
        <v>2161</v>
      </c>
      <c r="BI234" s="30">
        <v>2009</v>
      </c>
      <c r="BJ234" s="36"/>
      <c r="BK234" s="34"/>
      <c r="BL234" s="36"/>
      <c r="BM234" s="34"/>
      <c r="BN234" s="34">
        <v>115000000</v>
      </c>
      <c r="BO234" s="32">
        <f>BN234-22000000</f>
        <v>93000000</v>
      </c>
      <c r="BP234" s="30" t="s">
        <v>2163</v>
      </c>
      <c r="BQ234" s="30" t="s">
        <v>81</v>
      </c>
      <c r="BR234" s="30" t="s">
        <v>1872</v>
      </c>
      <c r="BS234" s="30" t="s">
        <v>130</v>
      </c>
      <c r="BT234" s="30"/>
      <c r="BU234" s="30"/>
      <c r="BV234" s="30" t="s">
        <v>2161</v>
      </c>
      <c r="BW234" s="30">
        <v>2011</v>
      </c>
      <c r="BX234" s="36"/>
      <c r="BY234" s="34"/>
      <c r="BZ234" s="36"/>
      <c r="CA234" s="34"/>
      <c r="CB234" s="34">
        <v>115000000</v>
      </c>
      <c r="CC234" s="32">
        <f>CB234-20000000</f>
        <v>95000000</v>
      </c>
      <c r="CD234" s="30" t="s">
        <v>1847</v>
      </c>
      <c r="CE234" s="30" t="s">
        <v>81</v>
      </c>
      <c r="CF234" s="57"/>
      <c r="CG234" s="30"/>
      <c r="CH234" s="30"/>
      <c r="CI234" s="64"/>
      <c r="CJ234" s="64"/>
      <c r="CK234" s="64"/>
      <c r="CL234" s="64"/>
    </row>
    <row r="235" spans="2:90" ht="30" x14ac:dyDescent="0.25">
      <c r="B235" s="57"/>
      <c r="C235" s="57"/>
      <c r="D235" s="80"/>
      <c r="E235" s="57"/>
      <c r="F235" s="57"/>
      <c r="G235" s="30">
        <v>7</v>
      </c>
      <c r="H235" s="57"/>
      <c r="I235" s="35"/>
      <c r="J235" s="30"/>
      <c r="K235" s="35"/>
      <c r="L235" s="35"/>
      <c r="M235" s="30"/>
      <c r="N235" s="30"/>
      <c r="O235" s="30"/>
      <c r="P235" s="30"/>
      <c r="Q235" s="57"/>
      <c r="R235" s="57"/>
      <c r="S235" s="57"/>
      <c r="T235" s="57"/>
      <c r="U235" s="57"/>
      <c r="V235" s="57"/>
      <c r="W235" s="57"/>
      <c r="X235" s="57"/>
      <c r="Y235" s="57"/>
      <c r="Z235" s="68"/>
      <c r="AA235" s="68"/>
      <c r="AB235" s="57"/>
      <c r="AC235" s="30" t="s">
        <v>2164</v>
      </c>
      <c r="AD235" s="30">
        <v>2019</v>
      </c>
      <c r="AE235" s="30" t="s">
        <v>2165</v>
      </c>
      <c r="AF235" s="30"/>
      <c r="AG235" s="30"/>
      <c r="AH235" s="30"/>
      <c r="AI235" s="30"/>
      <c r="AJ235" s="31">
        <f t="shared" si="21"/>
        <v>0</v>
      </c>
      <c r="AK235" s="34"/>
      <c r="AL235" s="31">
        <f t="shared" si="22"/>
        <v>0</v>
      </c>
      <c r="AM235" s="34"/>
      <c r="AN235" s="34">
        <v>188482089</v>
      </c>
      <c r="AO235" s="52"/>
      <c r="AP235" s="30" t="s">
        <v>2166</v>
      </c>
      <c r="AQ235" s="30" t="s">
        <v>130</v>
      </c>
      <c r="AR235" s="30"/>
      <c r="AS235" s="30"/>
      <c r="AT235" s="30" t="s">
        <v>2167</v>
      </c>
      <c r="AU235" s="30">
        <v>2019</v>
      </c>
      <c r="AV235" s="35"/>
      <c r="AW235" s="34"/>
      <c r="AX235" s="35"/>
      <c r="AY235" s="34"/>
      <c r="AZ235" s="34">
        <v>203000000</v>
      </c>
      <c r="BA235" s="32">
        <f>AZ235-23000000</f>
        <v>180000000</v>
      </c>
      <c r="BB235" s="30" t="s">
        <v>2168</v>
      </c>
      <c r="BC235" s="30" t="s">
        <v>81</v>
      </c>
      <c r="BD235" s="30" t="s">
        <v>2169</v>
      </c>
      <c r="BE235" s="30" t="s">
        <v>130</v>
      </c>
      <c r="BF235" s="30"/>
      <c r="BG235" s="30"/>
      <c r="BH235" s="30" t="s">
        <v>2167</v>
      </c>
      <c r="BI235" s="30">
        <v>2020</v>
      </c>
      <c r="BJ235" s="36"/>
      <c r="BK235" s="34"/>
      <c r="BL235" s="36"/>
      <c r="BM235" s="34"/>
      <c r="BN235" s="34">
        <v>210000000</v>
      </c>
      <c r="BO235" s="32">
        <f>BN235-20000000</f>
        <v>190000000</v>
      </c>
      <c r="BP235" s="30" t="s">
        <v>2170</v>
      </c>
      <c r="BQ235" s="30" t="s">
        <v>81</v>
      </c>
      <c r="BR235" s="30" t="s">
        <v>706</v>
      </c>
      <c r="BS235" s="30" t="s">
        <v>130</v>
      </c>
      <c r="BT235" s="30"/>
      <c r="BU235" s="30"/>
      <c r="BV235" s="30" t="s">
        <v>2167</v>
      </c>
      <c r="BW235" s="30">
        <v>2019</v>
      </c>
      <c r="BX235" s="36"/>
      <c r="BY235" s="34"/>
      <c r="BZ235" s="36"/>
      <c r="CA235" s="34"/>
      <c r="CB235" s="34">
        <v>199000000</v>
      </c>
      <c r="CC235" s="32">
        <f>CB235-19000000</f>
        <v>180000000</v>
      </c>
      <c r="CD235" s="30" t="s">
        <v>2171</v>
      </c>
      <c r="CE235" s="30" t="s">
        <v>81</v>
      </c>
      <c r="CF235" s="57"/>
      <c r="CG235" s="30"/>
      <c r="CH235" s="30"/>
      <c r="CI235" s="64"/>
      <c r="CJ235" s="64"/>
      <c r="CK235" s="64"/>
      <c r="CL235" s="64"/>
    </row>
    <row r="236" spans="2:90" ht="45" x14ac:dyDescent="0.25">
      <c r="B236" s="57"/>
      <c r="C236" s="57"/>
      <c r="D236" s="80"/>
      <c r="E236" s="57"/>
      <c r="F236" s="57"/>
      <c r="G236" s="63">
        <v>8</v>
      </c>
      <c r="H236" s="57"/>
      <c r="I236" s="35"/>
      <c r="J236" s="30"/>
      <c r="K236" s="35"/>
      <c r="L236" s="35"/>
      <c r="M236" s="30"/>
      <c r="N236" s="30"/>
      <c r="O236" s="30"/>
      <c r="P236" s="30"/>
      <c r="Q236" s="57"/>
      <c r="R236" s="57"/>
      <c r="S236" s="57"/>
      <c r="T236" s="57"/>
      <c r="U236" s="57"/>
      <c r="V236" s="57"/>
      <c r="W236" s="57"/>
      <c r="X236" s="57"/>
      <c r="Y236" s="57"/>
      <c r="Z236" s="68"/>
      <c r="AA236" s="68"/>
      <c r="AB236" s="57"/>
      <c r="AC236" s="30" t="s">
        <v>2172</v>
      </c>
      <c r="AD236" s="30">
        <v>2017</v>
      </c>
      <c r="AE236" s="30" t="s">
        <v>175</v>
      </c>
      <c r="AF236" s="30"/>
      <c r="AG236" s="30"/>
      <c r="AH236" s="30"/>
      <c r="AI236" s="30"/>
      <c r="AJ236" s="31">
        <f t="shared" si="21"/>
        <v>0</v>
      </c>
      <c r="AK236" s="34"/>
      <c r="AL236" s="31">
        <f t="shared" si="22"/>
        <v>0</v>
      </c>
      <c r="AM236" s="34"/>
      <c r="AN236" s="34">
        <v>223835837</v>
      </c>
      <c r="AO236" s="53"/>
      <c r="AP236" s="30" t="s">
        <v>706</v>
      </c>
      <c r="AQ236" s="30" t="s">
        <v>130</v>
      </c>
      <c r="AR236" s="30"/>
      <c r="AS236" s="30"/>
      <c r="AT236" s="30" t="s">
        <v>175</v>
      </c>
      <c r="AU236" s="30">
        <v>2017</v>
      </c>
      <c r="AV236" s="35"/>
      <c r="AW236" s="34"/>
      <c r="AX236" s="35"/>
      <c r="AY236" s="34"/>
      <c r="AZ236" s="34">
        <v>238000000</v>
      </c>
      <c r="BA236" s="32">
        <f>AZ236-28000000</f>
        <v>210000000</v>
      </c>
      <c r="BB236" s="30" t="s">
        <v>2173</v>
      </c>
      <c r="BC236" s="30" t="s">
        <v>81</v>
      </c>
      <c r="BD236" s="30" t="s">
        <v>433</v>
      </c>
      <c r="BE236" s="30" t="s">
        <v>130</v>
      </c>
      <c r="BF236" s="30"/>
      <c r="BG236" s="30"/>
      <c r="BH236" s="30" t="s">
        <v>2174</v>
      </c>
      <c r="BI236" s="30">
        <v>2018</v>
      </c>
      <c r="BJ236" s="36"/>
      <c r="BK236" s="34"/>
      <c r="BL236" s="36"/>
      <c r="BM236" s="34"/>
      <c r="BN236" s="34">
        <v>280000000</v>
      </c>
      <c r="BO236" s="32">
        <f>BN236-40000000</f>
        <v>240000000</v>
      </c>
      <c r="BP236" s="30" t="s">
        <v>2175</v>
      </c>
      <c r="BQ236" s="30" t="s">
        <v>81</v>
      </c>
      <c r="BR236" s="30" t="s">
        <v>276</v>
      </c>
      <c r="BS236" s="30" t="s">
        <v>130</v>
      </c>
      <c r="BT236" s="30"/>
      <c r="BU236" s="30"/>
      <c r="BV236" s="30" t="s">
        <v>174</v>
      </c>
      <c r="BW236" s="30">
        <v>2016</v>
      </c>
      <c r="BX236" s="36"/>
      <c r="BY236" s="34"/>
      <c r="BZ236" s="36"/>
      <c r="CA236" s="34"/>
      <c r="CB236" s="34">
        <v>229000000</v>
      </c>
      <c r="CC236" s="32">
        <f>CB236-29000000</f>
        <v>200000000</v>
      </c>
      <c r="CD236" s="30" t="s">
        <v>2176</v>
      </c>
      <c r="CE236" s="30" t="s">
        <v>81</v>
      </c>
      <c r="CF236" s="58"/>
      <c r="CG236" s="30"/>
      <c r="CH236" s="30"/>
      <c r="CI236" s="64"/>
      <c r="CJ236" s="64"/>
      <c r="CK236" s="64"/>
      <c r="CL236" s="64"/>
    </row>
    <row r="237" spans="2:90" ht="180" x14ac:dyDescent="0.25">
      <c r="B237" s="30" t="s">
        <v>2177</v>
      </c>
      <c r="C237" s="30" t="s">
        <v>2178</v>
      </c>
      <c r="D237" s="81">
        <v>45537</v>
      </c>
      <c r="E237" s="82" t="s">
        <v>204</v>
      </c>
      <c r="F237" s="82" t="s">
        <v>204</v>
      </c>
      <c r="G237" s="30"/>
      <c r="H237" s="82" t="s">
        <v>265</v>
      </c>
      <c r="I237" s="35">
        <v>250</v>
      </c>
      <c r="J237" s="30" t="s">
        <v>70</v>
      </c>
      <c r="K237" s="35">
        <v>258</v>
      </c>
      <c r="L237" s="35"/>
      <c r="M237" s="30" t="s">
        <v>2179</v>
      </c>
      <c r="N237" s="30"/>
      <c r="O237" s="30"/>
      <c r="P237" s="30"/>
      <c r="Q237" s="82" t="s">
        <v>2180</v>
      </c>
      <c r="R237" s="82" t="s">
        <v>2181</v>
      </c>
      <c r="S237" s="82" t="s">
        <v>2182</v>
      </c>
      <c r="T237" s="82" t="s">
        <v>2183</v>
      </c>
      <c r="U237" s="82" t="s">
        <v>124</v>
      </c>
      <c r="V237" s="82" t="s">
        <v>92</v>
      </c>
      <c r="W237" s="82" t="s">
        <v>72</v>
      </c>
      <c r="X237" s="82" t="s">
        <v>85</v>
      </c>
      <c r="Y237" s="82" t="s">
        <v>73</v>
      </c>
      <c r="Z237" s="83">
        <v>45523</v>
      </c>
      <c r="AA237" s="83">
        <v>45523</v>
      </c>
      <c r="AB237" s="82" t="s">
        <v>90</v>
      </c>
      <c r="AC237" s="30"/>
      <c r="AD237" s="30"/>
      <c r="AE237" s="30"/>
      <c r="AF237" s="30"/>
      <c r="AG237" s="30"/>
      <c r="AH237" s="30"/>
      <c r="AI237" s="30"/>
      <c r="AJ237" s="31">
        <f t="shared" si="21"/>
        <v>250</v>
      </c>
      <c r="AK237" s="34">
        <f>2575000000/AJ237</f>
        <v>10300000</v>
      </c>
      <c r="AL237" s="31">
        <f t="shared" si="22"/>
        <v>258</v>
      </c>
      <c r="AM237" s="34">
        <f>1157900000/AL237</f>
        <v>4487984.496124031</v>
      </c>
      <c r="AN237" s="34">
        <v>13402500</v>
      </c>
      <c r="AO237" s="34">
        <f t="shared" si="23"/>
        <v>3746302500</v>
      </c>
      <c r="AP237" s="30" t="s">
        <v>2184</v>
      </c>
      <c r="AQ237" s="30" t="s">
        <v>265</v>
      </c>
      <c r="AR237" s="30"/>
      <c r="AS237" s="30"/>
      <c r="AT237" s="30"/>
      <c r="AU237" s="30"/>
      <c r="AV237" s="35">
        <v>160</v>
      </c>
      <c r="AW237" s="34">
        <v>10467275</v>
      </c>
      <c r="AX237" s="35">
        <v>220</v>
      </c>
      <c r="AY237" s="34"/>
      <c r="AZ237" s="34">
        <v>2800000000</v>
      </c>
      <c r="BA237" s="32">
        <f>AV237*AW237+(3523800*AX237)</f>
        <v>2450000000</v>
      </c>
      <c r="BB237" s="30" t="s">
        <v>2185</v>
      </c>
      <c r="BC237" s="30" t="s">
        <v>81</v>
      </c>
      <c r="BD237" s="30" t="s">
        <v>2186</v>
      </c>
      <c r="BE237" s="30" t="s">
        <v>265</v>
      </c>
      <c r="BF237" s="30"/>
      <c r="BG237" s="30"/>
      <c r="BH237" s="30"/>
      <c r="BI237" s="30"/>
      <c r="BJ237" s="36">
        <v>170</v>
      </c>
      <c r="BK237" s="34">
        <v>10520435</v>
      </c>
      <c r="BL237" s="36">
        <v>220</v>
      </c>
      <c r="BM237" s="34"/>
      <c r="BN237" s="34">
        <v>3500000000</v>
      </c>
      <c r="BO237" s="84">
        <f>BJ237*BK237+(4143300*BL237)</f>
        <v>2699999950</v>
      </c>
      <c r="BP237" s="30" t="s">
        <v>2187</v>
      </c>
      <c r="BQ237" s="30" t="s">
        <v>81</v>
      </c>
      <c r="BR237" s="30" t="s">
        <v>2188</v>
      </c>
      <c r="BS237" s="30" t="s">
        <v>265</v>
      </c>
      <c r="BT237" s="30"/>
      <c r="BU237" s="30"/>
      <c r="BV237" s="30"/>
      <c r="BW237" s="30"/>
      <c r="BX237" s="36">
        <v>300</v>
      </c>
      <c r="BY237" s="34">
        <v>11292533</v>
      </c>
      <c r="BZ237" s="36">
        <v>450</v>
      </c>
      <c r="CA237" s="34"/>
      <c r="CB237" s="34">
        <v>6800000000</v>
      </c>
      <c r="CC237" s="32">
        <f>BX237*BY237+(4027200*BZ237)+100</f>
        <v>5200000000</v>
      </c>
      <c r="CD237" s="30" t="s">
        <v>2189</v>
      </c>
      <c r="CE237" s="30" t="s">
        <v>81</v>
      </c>
      <c r="CF237" s="30" t="s">
        <v>216</v>
      </c>
      <c r="CG237" s="30"/>
      <c r="CH237" s="30"/>
      <c r="CI237" s="64"/>
      <c r="CJ237" s="64"/>
      <c r="CK237" s="64"/>
      <c r="CL237" s="64"/>
    </row>
    <row r="238" spans="2:90" ht="105" x14ac:dyDescent="0.25">
      <c r="B238" s="30" t="s">
        <v>2190</v>
      </c>
      <c r="C238" s="30" t="s">
        <v>2191</v>
      </c>
      <c r="D238" s="81">
        <v>45541</v>
      </c>
      <c r="E238" s="82" t="s">
        <v>2192</v>
      </c>
      <c r="F238" s="82" t="s">
        <v>845</v>
      </c>
      <c r="G238" s="30"/>
      <c r="H238" s="82" t="s">
        <v>282</v>
      </c>
      <c r="I238" s="35"/>
      <c r="J238" s="30"/>
      <c r="K238" s="35"/>
      <c r="L238" s="35" t="s">
        <v>2193</v>
      </c>
      <c r="M238" s="30" t="s">
        <v>2194</v>
      </c>
      <c r="N238" s="30" t="s">
        <v>2195</v>
      </c>
      <c r="O238" s="30"/>
      <c r="P238" s="30"/>
      <c r="Q238" s="82"/>
      <c r="R238" s="82" t="s">
        <v>2196</v>
      </c>
      <c r="S238" s="82" t="s">
        <v>2197</v>
      </c>
      <c r="T238" s="82"/>
      <c r="U238" s="82" t="s">
        <v>2198</v>
      </c>
      <c r="V238" s="82" t="s">
        <v>2199</v>
      </c>
      <c r="W238" s="82" t="s">
        <v>72</v>
      </c>
      <c r="X238" s="82" t="s">
        <v>85</v>
      </c>
      <c r="Y238" s="82" t="s">
        <v>73</v>
      </c>
      <c r="Z238" s="83" t="s">
        <v>2200</v>
      </c>
      <c r="AA238" s="83">
        <v>45485</v>
      </c>
      <c r="AB238" s="82" t="s">
        <v>90</v>
      </c>
      <c r="AC238" s="30"/>
      <c r="AD238" s="30"/>
      <c r="AE238" s="30"/>
      <c r="AF238" s="30"/>
      <c r="AG238" s="30"/>
      <c r="AH238" s="30"/>
      <c r="AI238" s="30"/>
      <c r="AJ238" s="31">
        <f t="shared" si="21"/>
        <v>0</v>
      </c>
      <c r="AK238" s="34" t="e">
        <f>226759700000/AJ238</f>
        <v>#DIV/0!</v>
      </c>
      <c r="AL238" s="31">
        <f t="shared" si="22"/>
        <v>0</v>
      </c>
      <c r="AM238" s="34"/>
      <c r="AN238" s="34">
        <f>1241584000000+24514900000+9433000000+12360991000+7297702000+1244463000+937112000+81306438000+42731800000+3751815000+1532234000+9503500000</f>
        <v>1436197955000</v>
      </c>
      <c r="AO238" s="34" t="e">
        <f t="shared" si="23"/>
        <v>#DIV/0!</v>
      </c>
      <c r="AP238" s="30"/>
      <c r="AQ238" s="30"/>
      <c r="AR238" s="30"/>
      <c r="AS238" s="30"/>
      <c r="AT238" s="30"/>
      <c r="AU238" s="30"/>
      <c r="AV238" s="35"/>
      <c r="AW238" s="34"/>
      <c r="AX238" s="35"/>
      <c r="AY238" s="34"/>
      <c r="AZ238" s="34"/>
      <c r="BA238" s="32">
        <f>AV238*AW238</f>
        <v>0</v>
      </c>
      <c r="BB238" s="30"/>
      <c r="BC238" s="30"/>
      <c r="BD238" s="30"/>
      <c r="BE238" s="30"/>
      <c r="BF238" s="30"/>
      <c r="BG238" s="30"/>
      <c r="BH238" s="30"/>
      <c r="BI238" s="30"/>
      <c r="BJ238" s="36"/>
      <c r="BK238" s="34"/>
      <c r="BL238" s="36"/>
      <c r="BM238" s="34"/>
      <c r="BN238" s="34"/>
      <c r="BO238" s="32">
        <f t="shared" si="19"/>
        <v>0</v>
      </c>
      <c r="BP238" s="30"/>
      <c r="BQ238" s="30"/>
      <c r="BR238" s="30"/>
      <c r="BS238" s="30"/>
      <c r="BT238" s="30"/>
      <c r="BU238" s="30"/>
      <c r="BV238" s="30"/>
      <c r="BW238" s="30"/>
      <c r="BX238" s="36"/>
      <c r="BY238" s="34"/>
      <c r="BZ238" s="36"/>
      <c r="CA238" s="34"/>
      <c r="CB238" s="34"/>
      <c r="CC238" s="32">
        <f t="shared" si="20"/>
        <v>0</v>
      </c>
      <c r="CD238" s="30"/>
      <c r="CE238" s="30"/>
      <c r="CF238" s="30"/>
      <c r="CG238" s="30"/>
      <c r="CH238" s="30"/>
      <c r="CI238" s="64"/>
      <c r="CJ238" s="64"/>
      <c r="CK238" s="64"/>
      <c r="CL238" s="64"/>
    </row>
    <row r="239" spans="2:90" ht="60" x14ac:dyDescent="0.25">
      <c r="B239" s="30" t="s">
        <v>2201</v>
      </c>
      <c r="C239" s="30" t="s">
        <v>2202</v>
      </c>
      <c r="D239" s="33">
        <v>45541</v>
      </c>
      <c r="E239" s="30" t="s">
        <v>2203</v>
      </c>
      <c r="F239" s="30" t="s">
        <v>845</v>
      </c>
      <c r="G239" s="30"/>
      <c r="H239" s="30" t="s">
        <v>282</v>
      </c>
      <c r="I239" s="35"/>
      <c r="J239" s="30"/>
      <c r="K239" s="35"/>
      <c r="L239" s="35" t="s">
        <v>2204</v>
      </c>
      <c r="M239" s="30" t="s">
        <v>2205</v>
      </c>
      <c r="N239" s="30" t="s">
        <v>2206</v>
      </c>
      <c r="O239" s="30"/>
      <c r="P239" s="30"/>
      <c r="Q239" s="30"/>
      <c r="R239" s="30" t="s">
        <v>2207</v>
      </c>
      <c r="S239" s="30" t="s">
        <v>2197</v>
      </c>
      <c r="T239" s="30"/>
      <c r="U239" s="30" t="s">
        <v>2198</v>
      </c>
      <c r="V239" s="30" t="s">
        <v>2208</v>
      </c>
      <c r="W239" s="30" t="s">
        <v>72</v>
      </c>
      <c r="X239" s="82" t="s">
        <v>85</v>
      </c>
      <c r="Y239" s="82" t="s">
        <v>73</v>
      </c>
      <c r="Z239" s="83" t="s">
        <v>2200</v>
      </c>
      <c r="AA239" s="83">
        <v>45485</v>
      </c>
      <c r="AB239" s="82" t="s">
        <v>90</v>
      </c>
      <c r="AC239" s="30"/>
      <c r="AD239" s="30"/>
      <c r="AE239" s="30"/>
      <c r="AF239" s="30"/>
      <c r="AG239" s="30"/>
      <c r="AH239" s="30"/>
      <c r="AI239" s="30"/>
      <c r="AJ239" s="31">
        <f t="shared" si="21"/>
        <v>0</v>
      </c>
      <c r="AK239" s="34" t="e">
        <f>99057700000/AJ239</f>
        <v>#DIV/0!</v>
      </c>
      <c r="AL239" s="31">
        <f t="shared" si="22"/>
        <v>0</v>
      </c>
      <c r="AM239" s="34"/>
      <c r="AN239" s="34">
        <f>642786100000+3452800000+1283300000+4042383000+7081646000+1191431000+711507000+105800002000+20626400000</f>
        <v>786975569000</v>
      </c>
      <c r="AO239" s="34" t="e">
        <f t="shared" si="23"/>
        <v>#DIV/0!</v>
      </c>
      <c r="AP239" s="30"/>
      <c r="AQ239" s="30"/>
      <c r="AR239" s="30"/>
      <c r="AS239" s="30"/>
      <c r="AT239" s="30"/>
      <c r="AU239" s="30"/>
      <c r="AV239" s="35"/>
      <c r="AW239" s="34"/>
      <c r="AX239" s="35"/>
      <c r="AY239" s="34"/>
      <c r="AZ239" s="34"/>
      <c r="BA239" s="32">
        <f>AV239*AW239</f>
        <v>0</v>
      </c>
      <c r="BB239" s="30"/>
      <c r="BC239" s="30"/>
      <c r="BD239" s="30"/>
      <c r="BE239" s="30"/>
      <c r="BF239" s="30"/>
      <c r="BG239" s="30"/>
      <c r="BH239" s="30"/>
      <c r="BI239" s="30"/>
      <c r="BJ239" s="36"/>
      <c r="BK239" s="34"/>
      <c r="BL239" s="36"/>
      <c r="BM239" s="34"/>
      <c r="BN239" s="34"/>
      <c r="BO239" s="32">
        <f t="shared" si="19"/>
        <v>0</v>
      </c>
      <c r="BP239" s="30"/>
      <c r="BQ239" s="30"/>
      <c r="BR239" s="30"/>
      <c r="BS239" s="30"/>
      <c r="BT239" s="30"/>
      <c r="BU239" s="30"/>
      <c r="BV239" s="30"/>
      <c r="BW239" s="30"/>
      <c r="BX239" s="36"/>
      <c r="BY239" s="34"/>
      <c r="BZ239" s="36"/>
      <c r="CA239" s="34"/>
      <c r="CB239" s="34"/>
      <c r="CC239" s="32">
        <f t="shared" si="20"/>
        <v>0</v>
      </c>
      <c r="CD239" s="30"/>
      <c r="CE239" s="30"/>
      <c r="CF239" s="30"/>
      <c r="CG239" s="30"/>
      <c r="CH239" s="30"/>
      <c r="CI239" s="64"/>
      <c r="CJ239" s="64"/>
      <c r="CK239" s="64"/>
      <c r="CL239" s="64"/>
    </row>
    <row r="240" spans="2:90" ht="45" x14ac:dyDescent="0.25">
      <c r="B240" s="30" t="s">
        <v>2209</v>
      </c>
      <c r="C240" s="30" t="s">
        <v>2210</v>
      </c>
      <c r="D240" s="33">
        <v>45541</v>
      </c>
      <c r="E240" s="30" t="s">
        <v>2211</v>
      </c>
      <c r="F240" s="30" t="s">
        <v>93</v>
      </c>
      <c r="G240" s="30"/>
      <c r="H240" s="30" t="s">
        <v>2212</v>
      </c>
      <c r="I240" s="35"/>
      <c r="J240" s="30"/>
      <c r="K240" s="35"/>
      <c r="L240" s="35"/>
      <c r="M240" s="30"/>
      <c r="N240" s="30"/>
      <c r="O240" s="30">
        <v>18775</v>
      </c>
      <c r="P240" s="30" t="s">
        <v>466</v>
      </c>
      <c r="Q240" s="30"/>
      <c r="R240" s="30" t="s">
        <v>2213</v>
      </c>
      <c r="S240" s="30" t="s">
        <v>2214</v>
      </c>
      <c r="T240" s="30" t="s">
        <v>2215</v>
      </c>
      <c r="U240" s="30" t="s">
        <v>120</v>
      </c>
      <c r="V240" s="30" t="s">
        <v>2216</v>
      </c>
      <c r="W240" s="30" t="s">
        <v>72</v>
      </c>
      <c r="X240" s="30" t="s">
        <v>85</v>
      </c>
      <c r="Y240" s="30" t="s">
        <v>73</v>
      </c>
      <c r="Z240" s="33" t="s">
        <v>2217</v>
      </c>
      <c r="AA240" s="33">
        <v>45512</v>
      </c>
      <c r="AB240" s="30" t="s">
        <v>90</v>
      </c>
      <c r="AC240" s="30"/>
      <c r="AD240" s="30">
        <v>2004</v>
      </c>
      <c r="AE240" s="30" t="s">
        <v>155</v>
      </c>
      <c r="AF240" s="30" t="s">
        <v>2218</v>
      </c>
      <c r="AG240" s="30">
        <v>9279678</v>
      </c>
      <c r="AH240" s="30"/>
      <c r="AI240" s="30"/>
      <c r="AJ240" s="31">
        <f t="shared" si="21"/>
        <v>0</v>
      </c>
      <c r="AK240" s="34"/>
      <c r="AL240" s="31">
        <f t="shared" si="22"/>
        <v>0</v>
      </c>
      <c r="AM240" s="34"/>
      <c r="AN240" s="34">
        <v>125052097100</v>
      </c>
      <c r="AO240" s="34">
        <f t="shared" si="23"/>
        <v>125052097100</v>
      </c>
      <c r="AP240" s="30" t="s">
        <v>2219</v>
      </c>
      <c r="AQ240" s="30" t="s">
        <v>2220</v>
      </c>
      <c r="AR240" s="30">
        <v>18736</v>
      </c>
      <c r="AS240" s="30" t="s">
        <v>2221</v>
      </c>
      <c r="AT240" s="30"/>
      <c r="AU240" s="30">
        <v>2002</v>
      </c>
      <c r="AV240" s="35"/>
      <c r="AW240" s="34"/>
      <c r="AX240" s="35"/>
      <c r="AY240" s="34"/>
      <c r="AZ240" s="72">
        <v>10000000</v>
      </c>
      <c r="BA240" s="85">
        <f>AZ240-1700000</f>
        <v>8300000</v>
      </c>
      <c r="BB240" s="30"/>
      <c r="BC240" s="30" t="s">
        <v>81</v>
      </c>
      <c r="BD240" s="30" t="s">
        <v>2222</v>
      </c>
      <c r="BE240" s="30" t="s">
        <v>2220</v>
      </c>
      <c r="BF240" s="30">
        <v>19819</v>
      </c>
      <c r="BG240" s="30" t="s">
        <v>2223</v>
      </c>
      <c r="BH240" s="30"/>
      <c r="BI240" s="30">
        <v>2002</v>
      </c>
      <c r="BJ240" s="36"/>
      <c r="BK240" s="34"/>
      <c r="BL240" s="36"/>
      <c r="BM240" s="34"/>
      <c r="BN240" s="72">
        <v>12500000</v>
      </c>
      <c r="BO240" s="85">
        <f>BN240-2700000</f>
        <v>9800000</v>
      </c>
      <c r="BP240" s="30"/>
      <c r="BQ240" s="30" t="s">
        <v>81</v>
      </c>
      <c r="BR240" s="30" t="s">
        <v>2224</v>
      </c>
      <c r="BS240" s="30" t="s">
        <v>2220</v>
      </c>
      <c r="BT240" s="30">
        <v>19999</v>
      </c>
      <c r="BU240" s="30" t="s">
        <v>1510</v>
      </c>
      <c r="BV240" s="30"/>
      <c r="BW240" s="30">
        <v>2008</v>
      </c>
      <c r="BX240" s="36"/>
      <c r="BY240" s="34"/>
      <c r="BZ240" s="36"/>
      <c r="CA240" s="34"/>
      <c r="CB240" s="72">
        <v>16000000</v>
      </c>
      <c r="CC240" s="85">
        <f>CB240-3000000</f>
        <v>13000000</v>
      </c>
      <c r="CD240" s="30"/>
      <c r="CE240" s="30" t="s">
        <v>81</v>
      </c>
      <c r="CF240" s="30" t="s">
        <v>1407</v>
      </c>
      <c r="CG240" s="30"/>
      <c r="CH240" s="30"/>
      <c r="CI240" s="64"/>
      <c r="CJ240" s="64"/>
      <c r="CK240" s="64"/>
      <c r="CL240" s="64"/>
    </row>
    <row r="241" spans="2:90" ht="30" x14ac:dyDescent="0.25">
      <c r="B241" s="54" t="s">
        <v>2225</v>
      </c>
      <c r="C241" s="54" t="s">
        <v>2226</v>
      </c>
      <c r="D241" s="67">
        <v>45546</v>
      </c>
      <c r="E241" s="54" t="s">
        <v>2227</v>
      </c>
      <c r="F241" s="54" t="s">
        <v>93</v>
      </c>
      <c r="G241" s="30"/>
      <c r="H241" s="54" t="s">
        <v>221</v>
      </c>
      <c r="I241" s="35"/>
      <c r="J241" s="30"/>
      <c r="K241" s="35"/>
      <c r="L241" s="35"/>
      <c r="M241" s="54" t="s">
        <v>2228</v>
      </c>
      <c r="N241" s="30"/>
      <c r="O241" s="30"/>
      <c r="P241" s="30"/>
      <c r="Q241" s="30"/>
      <c r="R241" s="30" t="s">
        <v>2229</v>
      </c>
      <c r="S241" s="30" t="s">
        <v>2230</v>
      </c>
      <c r="T241" s="30" t="s">
        <v>269</v>
      </c>
      <c r="U241" s="30" t="s">
        <v>164</v>
      </c>
      <c r="V241" s="30" t="s">
        <v>84</v>
      </c>
      <c r="W241" s="54" t="s">
        <v>72</v>
      </c>
      <c r="X241" s="54" t="s">
        <v>85</v>
      </c>
      <c r="Y241" s="54" t="s">
        <v>73</v>
      </c>
      <c r="Z241" s="67">
        <v>45503</v>
      </c>
      <c r="AA241" s="67">
        <v>45503</v>
      </c>
      <c r="AB241" s="54" t="s">
        <v>90</v>
      </c>
      <c r="AC241" s="30"/>
      <c r="AD241" s="30"/>
      <c r="AE241" s="30"/>
      <c r="AF241" s="30"/>
      <c r="AG241" s="30"/>
      <c r="AH241" s="30"/>
      <c r="AI241" s="30"/>
      <c r="AJ241" s="31">
        <f t="shared" si="21"/>
        <v>0</v>
      </c>
      <c r="AK241" s="34"/>
      <c r="AL241" s="31">
        <f t="shared" si="22"/>
        <v>0</v>
      </c>
      <c r="AM241" s="34"/>
      <c r="AN241" s="34">
        <v>149148646000</v>
      </c>
      <c r="AO241" s="51">
        <f>(AJ241*AK241)+(AL241*AM241)+AN241+AN242</f>
        <v>214923917000</v>
      </c>
      <c r="AP241" s="30"/>
      <c r="AQ241" s="30"/>
      <c r="AR241" s="30"/>
      <c r="AS241" s="30"/>
      <c r="AT241" s="30"/>
      <c r="AU241" s="30"/>
      <c r="AV241" s="35"/>
      <c r="AW241" s="34"/>
      <c r="AX241" s="35"/>
      <c r="AY241" s="34"/>
      <c r="AZ241" s="34"/>
      <c r="BA241" s="32">
        <f t="shared" ref="BA241:BA246" si="24">AV241*AW241</f>
        <v>0</v>
      </c>
      <c r="BB241" s="30"/>
      <c r="BC241" s="30"/>
      <c r="BD241" s="30"/>
      <c r="BE241" s="30"/>
      <c r="BF241" s="30"/>
      <c r="BG241" s="30"/>
      <c r="BH241" s="30"/>
      <c r="BI241" s="30"/>
      <c r="BJ241" s="36"/>
      <c r="BK241" s="34"/>
      <c r="BL241" s="36"/>
      <c r="BM241" s="34"/>
      <c r="BN241" s="34"/>
      <c r="BO241" s="32">
        <f t="shared" si="19"/>
        <v>0</v>
      </c>
      <c r="BP241" s="30"/>
      <c r="BQ241" s="30"/>
      <c r="BR241" s="30"/>
      <c r="BS241" s="30"/>
      <c r="BT241" s="30"/>
      <c r="BU241" s="30"/>
      <c r="BV241" s="30"/>
      <c r="BW241" s="30"/>
      <c r="BX241" s="36"/>
      <c r="BY241" s="34"/>
      <c r="BZ241" s="36"/>
      <c r="CA241" s="34"/>
      <c r="CB241" s="34"/>
      <c r="CC241" s="32">
        <f t="shared" si="20"/>
        <v>0</v>
      </c>
      <c r="CD241" s="30"/>
      <c r="CE241" s="30"/>
      <c r="CF241" s="30"/>
      <c r="CG241" s="30"/>
      <c r="CH241" s="30"/>
      <c r="CI241" s="64"/>
      <c r="CJ241" s="64"/>
      <c r="CK241" s="64"/>
      <c r="CL241" s="64"/>
    </row>
    <row r="242" spans="2:90" ht="45" x14ac:dyDescent="0.25">
      <c r="B242" s="58"/>
      <c r="C242" s="58"/>
      <c r="D242" s="69"/>
      <c r="E242" s="58"/>
      <c r="F242" s="58"/>
      <c r="G242" s="30"/>
      <c r="H242" s="58"/>
      <c r="I242" s="35"/>
      <c r="J242" s="30"/>
      <c r="K242" s="35"/>
      <c r="L242" s="35"/>
      <c r="M242" s="58"/>
      <c r="N242" s="30"/>
      <c r="O242" s="30"/>
      <c r="P242" s="30"/>
      <c r="Q242" s="30" t="s">
        <v>152</v>
      </c>
      <c r="R242" s="30" t="s">
        <v>2231</v>
      </c>
      <c r="S242" s="30" t="s">
        <v>1687</v>
      </c>
      <c r="T242" s="30" t="s">
        <v>1574</v>
      </c>
      <c r="U242" s="30" t="s">
        <v>107</v>
      </c>
      <c r="V242" s="30" t="s">
        <v>92</v>
      </c>
      <c r="W242" s="58"/>
      <c r="X242" s="58"/>
      <c r="Y242" s="58"/>
      <c r="Z242" s="69"/>
      <c r="AA242" s="69"/>
      <c r="AB242" s="58"/>
      <c r="AC242" s="30"/>
      <c r="AD242" s="30"/>
      <c r="AE242" s="30"/>
      <c r="AF242" s="30"/>
      <c r="AG242" s="30"/>
      <c r="AH242" s="30"/>
      <c r="AI242" s="30"/>
      <c r="AJ242" s="31">
        <f t="shared" si="21"/>
        <v>0</v>
      </c>
      <c r="AK242" s="34"/>
      <c r="AL242" s="31">
        <f t="shared" si="22"/>
        <v>0</v>
      </c>
      <c r="AM242" s="34"/>
      <c r="AN242" s="34">
        <v>65775271000</v>
      </c>
      <c r="AO242" s="53"/>
      <c r="AP242" s="30"/>
      <c r="AQ242" s="30"/>
      <c r="AR242" s="30"/>
      <c r="AS242" s="30"/>
      <c r="AT242" s="30"/>
      <c r="AU242" s="30"/>
      <c r="AV242" s="35"/>
      <c r="AW242" s="34"/>
      <c r="AX242" s="35"/>
      <c r="AY242" s="34"/>
      <c r="AZ242" s="34"/>
      <c r="BA242" s="32">
        <f t="shared" si="24"/>
        <v>0</v>
      </c>
      <c r="BB242" s="30"/>
      <c r="BC242" s="30"/>
      <c r="BD242" s="30"/>
      <c r="BE242" s="30"/>
      <c r="BF242" s="30"/>
      <c r="BG242" s="30"/>
      <c r="BH242" s="30"/>
      <c r="BI242" s="30"/>
      <c r="BJ242" s="36"/>
      <c r="BK242" s="34"/>
      <c r="BL242" s="36"/>
      <c r="BM242" s="34"/>
      <c r="BN242" s="34"/>
      <c r="BO242" s="32">
        <f t="shared" si="19"/>
        <v>0</v>
      </c>
      <c r="BP242" s="30"/>
      <c r="BQ242" s="30"/>
      <c r="BR242" s="30"/>
      <c r="BS242" s="30"/>
      <c r="BT242" s="30"/>
      <c r="BU242" s="30"/>
      <c r="BV242" s="30"/>
      <c r="BW242" s="30"/>
      <c r="BX242" s="36"/>
      <c r="BY242" s="34"/>
      <c r="BZ242" s="36"/>
      <c r="CA242" s="34"/>
      <c r="CB242" s="34"/>
      <c r="CC242" s="32">
        <f t="shared" si="20"/>
        <v>0</v>
      </c>
      <c r="CD242" s="30"/>
      <c r="CE242" s="30"/>
      <c r="CF242" s="30"/>
      <c r="CG242" s="30"/>
      <c r="CH242" s="30"/>
      <c r="CI242" s="64"/>
      <c r="CJ242" s="64"/>
      <c r="CK242" s="64"/>
      <c r="CL242" s="64"/>
    </row>
    <row r="243" spans="2:90" ht="60" x14ac:dyDescent="0.25">
      <c r="B243" s="30" t="s">
        <v>2232</v>
      </c>
      <c r="C243" s="30" t="s">
        <v>2233</v>
      </c>
      <c r="D243" s="33">
        <v>45546</v>
      </c>
      <c r="E243" s="30" t="s">
        <v>2234</v>
      </c>
      <c r="F243" s="30" t="s">
        <v>93</v>
      </c>
      <c r="G243" s="30"/>
      <c r="H243" s="30" t="s">
        <v>221</v>
      </c>
      <c r="I243" s="35"/>
      <c r="J243" s="30"/>
      <c r="K243" s="35"/>
      <c r="L243" s="35"/>
      <c r="M243" s="30" t="s">
        <v>2228</v>
      </c>
      <c r="N243" s="30"/>
      <c r="O243" s="30"/>
      <c r="P243" s="30"/>
      <c r="Q243" s="30" t="s">
        <v>2235</v>
      </c>
      <c r="R243" s="30" t="s">
        <v>2236</v>
      </c>
      <c r="S243" s="30" t="s">
        <v>2237</v>
      </c>
      <c r="T243" s="30" t="s">
        <v>269</v>
      </c>
      <c r="U243" s="30" t="s">
        <v>164</v>
      </c>
      <c r="V243" s="30" t="s">
        <v>84</v>
      </c>
      <c r="W243" s="30" t="s">
        <v>72</v>
      </c>
      <c r="X243" s="30" t="s">
        <v>85</v>
      </c>
      <c r="Y243" s="30" t="s">
        <v>73</v>
      </c>
      <c r="Z243" s="33">
        <v>45503</v>
      </c>
      <c r="AA243" s="33">
        <v>45503</v>
      </c>
      <c r="AB243" s="30" t="s">
        <v>90</v>
      </c>
      <c r="AC243" s="30"/>
      <c r="AD243" s="30"/>
      <c r="AE243" s="30"/>
      <c r="AF243" s="30"/>
      <c r="AG243" s="30"/>
      <c r="AH243" s="30"/>
      <c r="AI243" s="30"/>
      <c r="AJ243" s="31">
        <f t="shared" si="21"/>
        <v>0</v>
      </c>
      <c r="AK243" s="34"/>
      <c r="AL243" s="31">
        <f t="shared" si="22"/>
        <v>0</v>
      </c>
      <c r="AM243" s="34"/>
      <c r="AN243" s="34">
        <v>23083619000</v>
      </c>
      <c r="AO243" s="34">
        <f t="shared" si="23"/>
        <v>23083619000</v>
      </c>
      <c r="AP243" s="30"/>
      <c r="AQ243" s="30"/>
      <c r="AR243" s="30"/>
      <c r="AS243" s="30"/>
      <c r="AT243" s="30"/>
      <c r="AU243" s="30"/>
      <c r="AV243" s="35"/>
      <c r="AW243" s="34"/>
      <c r="AX243" s="35"/>
      <c r="AY243" s="34"/>
      <c r="AZ243" s="34"/>
      <c r="BA243" s="32">
        <f t="shared" si="24"/>
        <v>0</v>
      </c>
      <c r="BB243" s="30"/>
      <c r="BC243" s="30"/>
      <c r="BD243" s="30"/>
      <c r="BE243" s="30"/>
      <c r="BF243" s="30"/>
      <c r="BG243" s="30"/>
      <c r="BH243" s="30"/>
      <c r="BI243" s="30"/>
      <c r="BJ243" s="36"/>
      <c r="BK243" s="34"/>
      <c r="BL243" s="36"/>
      <c r="BM243" s="34"/>
      <c r="BN243" s="34"/>
      <c r="BO243" s="32">
        <f t="shared" si="19"/>
        <v>0</v>
      </c>
      <c r="BP243" s="30"/>
      <c r="BQ243" s="30"/>
      <c r="BR243" s="30"/>
      <c r="BS243" s="30"/>
      <c r="BT243" s="30"/>
      <c r="BU243" s="30"/>
      <c r="BV243" s="30"/>
      <c r="BW243" s="30"/>
      <c r="BX243" s="36"/>
      <c r="BY243" s="34"/>
      <c r="BZ243" s="36"/>
      <c r="CA243" s="34"/>
      <c r="CB243" s="34"/>
      <c r="CC243" s="32">
        <f t="shared" si="20"/>
        <v>0</v>
      </c>
      <c r="CD243" s="30"/>
      <c r="CE243" s="30"/>
      <c r="CF243" s="30"/>
      <c r="CG243" s="30"/>
      <c r="CH243" s="30"/>
      <c r="CI243" s="64"/>
      <c r="CJ243" s="64"/>
      <c r="CK243" s="64"/>
      <c r="CL243" s="64"/>
    </row>
    <row r="244" spans="2:90" ht="60" x14ac:dyDescent="0.25">
      <c r="B244" s="30" t="s">
        <v>2238</v>
      </c>
      <c r="C244" s="30" t="s">
        <v>2239</v>
      </c>
      <c r="D244" s="33">
        <v>45546</v>
      </c>
      <c r="E244" s="30" t="s">
        <v>2240</v>
      </c>
      <c r="F244" s="30" t="s">
        <v>93</v>
      </c>
      <c r="G244" s="30"/>
      <c r="H244" s="30" t="s">
        <v>221</v>
      </c>
      <c r="I244" s="35"/>
      <c r="J244" s="30"/>
      <c r="K244" s="35"/>
      <c r="L244" s="35"/>
      <c r="M244" s="30" t="s">
        <v>2228</v>
      </c>
      <c r="N244" s="30"/>
      <c r="O244" s="30"/>
      <c r="P244" s="30"/>
      <c r="Q244" s="30" t="s">
        <v>2241</v>
      </c>
      <c r="R244" s="30" t="s">
        <v>2242</v>
      </c>
      <c r="S244" s="30" t="s">
        <v>2243</v>
      </c>
      <c r="T244" s="30" t="s">
        <v>2244</v>
      </c>
      <c r="U244" s="30" t="s">
        <v>229</v>
      </c>
      <c r="V244" s="30" t="s">
        <v>92</v>
      </c>
      <c r="W244" s="30" t="s">
        <v>72</v>
      </c>
      <c r="X244" s="30" t="s">
        <v>85</v>
      </c>
      <c r="Y244" s="30" t="s">
        <v>73</v>
      </c>
      <c r="Z244" s="33">
        <v>45503</v>
      </c>
      <c r="AA244" s="33">
        <v>45503</v>
      </c>
      <c r="AB244" s="30" t="s">
        <v>90</v>
      </c>
      <c r="AC244" s="30"/>
      <c r="AD244" s="30"/>
      <c r="AE244" s="30"/>
      <c r="AF244" s="30"/>
      <c r="AG244" s="30"/>
      <c r="AH244" s="30"/>
      <c r="AI244" s="30"/>
      <c r="AJ244" s="31">
        <f t="shared" si="21"/>
        <v>0</v>
      </c>
      <c r="AK244" s="34"/>
      <c r="AL244" s="31">
        <f t="shared" si="22"/>
        <v>0</v>
      </c>
      <c r="AM244" s="34"/>
      <c r="AN244" s="34">
        <v>147693055000</v>
      </c>
      <c r="AO244" s="34">
        <f t="shared" si="23"/>
        <v>147693055000</v>
      </c>
      <c r="AP244" s="30"/>
      <c r="AQ244" s="30"/>
      <c r="AR244" s="30"/>
      <c r="AS244" s="30"/>
      <c r="AT244" s="30"/>
      <c r="AU244" s="30"/>
      <c r="AV244" s="35"/>
      <c r="AW244" s="34"/>
      <c r="AX244" s="35"/>
      <c r="AY244" s="34"/>
      <c r="AZ244" s="34"/>
      <c r="BA244" s="32">
        <f t="shared" si="24"/>
        <v>0</v>
      </c>
      <c r="BB244" s="30"/>
      <c r="BC244" s="30"/>
      <c r="BD244" s="30"/>
      <c r="BE244" s="30"/>
      <c r="BF244" s="30"/>
      <c r="BG244" s="30"/>
      <c r="BH244" s="30"/>
      <c r="BI244" s="30"/>
      <c r="BJ244" s="36"/>
      <c r="BK244" s="34"/>
      <c r="BL244" s="36"/>
      <c r="BM244" s="34"/>
      <c r="BN244" s="34"/>
      <c r="BO244" s="32">
        <f t="shared" si="19"/>
        <v>0</v>
      </c>
      <c r="BP244" s="30"/>
      <c r="BQ244" s="30"/>
      <c r="BR244" s="30"/>
      <c r="BS244" s="30"/>
      <c r="BT244" s="30"/>
      <c r="BU244" s="30"/>
      <c r="BV244" s="30"/>
      <c r="BW244" s="30"/>
      <c r="BX244" s="36"/>
      <c r="BY244" s="34"/>
      <c r="BZ244" s="36"/>
      <c r="CA244" s="34"/>
      <c r="CB244" s="34"/>
      <c r="CC244" s="32">
        <f t="shared" si="20"/>
        <v>0</v>
      </c>
      <c r="CD244" s="30"/>
      <c r="CE244" s="30"/>
      <c r="CF244" s="30"/>
      <c r="CG244" s="30"/>
      <c r="CH244" s="30"/>
      <c r="CI244" s="64"/>
      <c r="CJ244" s="64"/>
      <c r="CK244" s="64"/>
      <c r="CL244" s="64"/>
    </row>
    <row r="245" spans="2:90" ht="60" x14ac:dyDescent="0.25">
      <c r="B245" s="30" t="s">
        <v>2245</v>
      </c>
      <c r="C245" s="30" t="s">
        <v>2246</v>
      </c>
      <c r="D245" s="33">
        <v>45546</v>
      </c>
      <c r="E245" s="30" t="s">
        <v>2247</v>
      </c>
      <c r="F245" s="30" t="s">
        <v>93</v>
      </c>
      <c r="G245" s="30"/>
      <c r="H245" s="30" t="s">
        <v>221</v>
      </c>
      <c r="I245" s="35"/>
      <c r="J245" s="30"/>
      <c r="K245" s="35"/>
      <c r="L245" s="35"/>
      <c r="M245" s="30" t="s">
        <v>2228</v>
      </c>
      <c r="N245" s="30"/>
      <c r="O245" s="30"/>
      <c r="P245" s="30"/>
      <c r="Q245" s="30" t="s">
        <v>2235</v>
      </c>
      <c r="R245" s="30" t="s">
        <v>2248</v>
      </c>
      <c r="S245" s="30" t="s">
        <v>2237</v>
      </c>
      <c r="T245" s="30" t="s">
        <v>269</v>
      </c>
      <c r="U245" s="30" t="s">
        <v>164</v>
      </c>
      <c r="V245" s="30" t="s">
        <v>84</v>
      </c>
      <c r="W245" s="30" t="s">
        <v>72</v>
      </c>
      <c r="X245" s="30" t="s">
        <v>85</v>
      </c>
      <c r="Y245" s="30" t="s">
        <v>73</v>
      </c>
      <c r="Z245" s="33">
        <v>45504</v>
      </c>
      <c r="AA245" s="33">
        <v>45504</v>
      </c>
      <c r="AB245" s="30" t="s">
        <v>90</v>
      </c>
      <c r="AC245" s="30"/>
      <c r="AD245" s="30"/>
      <c r="AE245" s="30"/>
      <c r="AF245" s="30"/>
      <c r="AG245" s="30"/>
      <c r="AH245" s="30"/>
      <c r="AI245" s="30"/>
      <c r="AJ245" s="31">
        <f t="shared" si="21"/>
        <v>0</v>
      </c>
      <c r="AK245" s="34"/>
      <c r="AL245" s="31">
        <f t="shared" si="22"/>
        <v>0</v>
      </c>
      <c r="AM245" s="34"/>
      <c r="AN245" s="34">
        <v>46978505000</v>
      </c>
      <c r="AO245" s="34">
        <f t="shared" si="23"/>
        <v>46978505000</v>
      </c>
      <c r="AP245" s="30"/>
      <c r="AQ245" s="30"/>
      <c r="AR245" s="30"/>
      <c r="AS245" s="30"/>
      <c r="AT245" s="30"/>
      <c r="AU245" s="30"/>
      <c r="AV245" s="35"/>
      <c r="AW245" s="34"/>
      <c r="AX245" s="35"/>
      <c r="AY245" s="34"/>
      <c r="AZ245" s="34"/>
      <c r="BA245" s="32">
        <f t="shared" si="24"/>
        <v>0</v>
      </c>
      <c r="BB245" s="30"/>
      <c r="BC245" s="30"/>
      <c r="BD245" s="30"/>
      <c r="BE245" s="30"/>
      <c r="BF245" s="30"/>
      <c r="BG245" s="30"/>
      <c r="BH245" s="30"/>
      <c r="BI245" s="30"/>
      <c r="BJ245" s="36"/>
      <c r="BK245" s="34"/>
      <c r="BL245" s="36"/>
      <c r="BM245" s="34"/>
      <c r="BN245" s="34"/>
      <c r="BO245" s="32">
        <f t="shared" si="19"/>
        <v>0</v>
      </c>
      <c r="BP245" s="30"/>
      <c r="BQ245" s="30"/>
      <c r="BR245" s="30"/>
      <c r="BS245" s="30"/>
      <c r="BT245" s="30"/>
      <c r="BU245" s="30"/>
      <c r="BV245" s="30"/>
      <c r="BW245" s="30"/>
      <c r="BX245" s="36"/>
      <c r="BY245" s="34"/>
      <c r="BZ245" s="36"/>
      <c r="CA245" s="34"/>
      <c r="CB245" s="34"/>
      <c r="CC245" s="32">
        <f t="shared" si="20"/>
        <v>0</v>
      </c>
      <c r="CD245" s="30"/>
      <c r="CE245" s="30"/>
      <c r="CF245" s="30"/>
      <c r="CG245" s="30"/>
      <c r="CH245" s="30"/>
      <c r="CI245" s="64"/>
      <c r="CJ245" s="64"/>
      <c r="CK245" s="64"/>
      <c r="CL245" s="64"/>
    </row>
    <row r="246" spans="2:90" ht="120" x14ac:dyDescent="0.25">
      <c r="B246" s="30" t="s">
        <v>2249</v>
      </c>
      <c r="C246" s="30" t="s">
        <v>2250</v>
      </c>
      <c r="D246" s="33">
        <v>45547</v>
      </c>
      <c r="E246" s="30" t="s">
        <v>270</v>
      </c>
      <c r="F246" s="30" t="s">
        <v>270</v>
      </c>
      <c r="G246" s="30"/>
      <c r="H246" s="30" t="s">
        <v>77</v>
      </c>
      <c r="I246" s="35">
        <v>788</v>
      </c>
      <c r="J246" s="30" t="s">
        <v>70</v>
      </c>
      <c r="K246" s="35"/>
      <c r="L246" s="35"/>
      <c r="M246" s="30"/>
      <c r="N246" s="30"/>
      <c r="O246" s="30"/>
      <c r="P246" s="30"/>
      <c r="Q246" s="30"/>
      <c r="R246" s="30" t="s">
        <v>1027</v>
      </c>
      <c r="S246" s="30" t="s">
        <v>271</v>
      </c>
      <c r="T246" s="30" t="s">
        <v>272</v>
      </c>
      <c r="U246" s="30" t="s">
        <v>122</v>
      </c>
      <c r="V246" s="30" t="s">
        <v>71</v>
      </c>
      <c r="W246" s="30" t="s">
        <v>72</v>
      </c>
      <c r="X246" s="30" t="s">
        <v>142</v>
      </c>
      <c r="Y246" s="30" t="s">
        <v>89</v>
      </c>
      <c r="Z246" s="33">
        <v>45517</v>
      </c>
      <c r="AA246" s="33">
        <v>45291</v>
      </c>
      <c r="AB246" s="30" t="s">
        <v>90</v>
      </c>
      <c r="AC246" s="30"/>
      <c r="AD246" s="30"/>
      <c r="AE246" s="30"/>
      <c r="AF246" s="30"/>
      <c r="AG246" s="30"/>
      <c r="AH246" s="30"/>
      <c r="AI246" s="30"/>
      <c r="AJ246" s="31">
        <f t="shared" si="21"/>
        <v>788</v>
      </c>
      <c r="AK246" s="34">
        <f>43340000000/AJ246</f>
        <v>55000000</v>
      </c>
      <c r="AL246" s="31">
        <f t="shared" si="22"/>
        <v>0</v>
      </c>
      <c r="AM246" s="34"/>
      <c r="AN246" s="34"/>
      <c r="AO246" s="34">
        <f t="shared" si="23"/>
        <v>43340000000</v>
      </c>
      <c r="AP246" s="30" t="s">
        <v>1028</v>
      </c>
      <c r="AQ246" s="30" t="s">
        <v>2251</v>
      </c>
      <c r="AR246" s="30"/>
      <c r="AS246" s="30"/>
      <c r="AT246" s="30"/>
      <c r="AU246" s="30"/>
      <c r="AV246" s="35">
        <v>1334</v>
      </c>
      <c r="AW246" s="34">
        <v>53500000</v>
      </c>
      <c r="AX246" s="35"/>
      <c r="AY246" s="34"/>
      <c r="AZ246" s="34">
        <v>86710000000</v>
      </c>
      <c r="BA246" s="32">
        <f t="shared" si="24"/>
        <v>71369000000</v>
      </c>
      <c r="BB246" s="30" t="s">
        <v>1029</v>
      </c>
      <c r="BC246" s="30" t="s">
        <v>81</v>
      </c>
      <c r="BD246" s="30" t="s">
        <v>1032</v>
      </c>
      <c r="BE246" s="30" t="s">
        <v>97</v>
      </c>
      <c r="BF246" s="30"/>
      <c r="BG246" s="30"/>
      <c r="BH246" s="30"/>
      <c r="BI246" s="30"/>
      <c r="BJ246" s="36">
        <v>1286</v>
      </c>
      <c r="BK246" s="34">
        <v>54335433</v>
      </c>
      <c r="BL246" s="36">
        <v>810</v>
      </c>
      <c r="BM246" s="34"/>
      <c r="BN246" s="34">
        <v>85000000000</v>
      </c>
      <c r="BO246" s="32">
        <f>BJ246*BK246+(2005720*BL246)</f>
        <v>71500000038</v>
      </c>
      <c r="BP246" s="30" t="s">
        <v>1033</v>
      </c>
      <c r="BQ246" s="30" t="s">
        <v>81</v>
      </c>
      <c r="BR246" s="30" t="s">
        <v>1032</v>
      </c>
      <c r="BS246" s="30" t="s">
        <v>97</v>
      </c>
      <c r="BT246" s="30"/>
      <c r="BU246" s="30"/>
      <c r="BV246" s="30"/>
      <c r="BW246" s="30"/>
      <c r="BX246" s="36">
        <v>1130</v>
      </c>
      <c r="BY246" s="34">
        <v>54494212</v>
      </c>
      <c r="BZ246" s="36">
        <v>900</v>
      </c>
      <c r="CA246" s="34"/>
      <c r="CB246" s="34">
        <v>75000000000</v>
      </c>
      <c r="CC246" s="32">
        <f>BX246*BY246+(2690600*BZ246)</f>
        <v>63999999560</v>
      </c>
      <c r="CD246" s="30" t="s">
        <v>2252</v>
      </c>
      <c r="CE246" s="30" t="s">
        <v>81</v>
      </c>
      <c r="CF246" s="30" t="s">
        <v>196</v>
      </c>
      <c r="CG246" s="30"/>
      <c r="CH246" s="30"/>
      <c r="CI246" s="64"/>
      <c r="CJ246" s="64"/>
      <c r="CK246" s="64"/>
      <c r="CL246" s="64"/>
    </row>
    <row r="247" spans="2:90" ht="150" x14ac:dyDescent="0.25">
      <c r="B247" s="30" t="s">
        <v>2253</v>
      </c>
      <c r="C247" s="30" t="s">
        <v>2254</v>
      </c>
      <c r="D247" s="33">
        <v>45548</v>
      </c>
      <c r="E247" s="30" t="s">
        <v>2255</v>
      </c>
      <c r="F247" s="30" t="s">
        <v>2255</v>
      </c>
      <c r="G247" s="30"/>
      <c r="H247" s="30" t="s">
        <v>97</v>
      </c>
      <c r="I247" s="35">
        <v>180</v>
      </c>
      <c r="J247" s="30" t="s">
        <v>70</v>
      </c>
      <c r="K247" s="35">
        <v>181</v>
      </c>
      <c r="L247" s="35"/>
      <c r="M247" s="30"/>
      <c r="N247" s="30"/>
      <c r="O247" s="30"/>
      <c r="P247" s="30"/>
      <c r="Q247" s="30" t="s">
        <v>2256</v>
      </c>
      <c r="R247" s="30" t="s">
        <v>2257</v>
      </c>
      <c r="S247" s="30" t="s">
        <v>192</v>
      </c>
      <c r="T247" s="30" t="s">
        <v>193</v>
      </c>
      <c r="U247" s="30" t="s">
        <v>124</v>
      </c>
      <c r="V247" s="30" t="s">
        <v>92</v>
      </c>
      <c r="W247" s="30" t="s">
        <v>72</v>
      </c>
      <c r="X247" s="30" t="s">
        <v>131</v>
      </c>
      <c r="Y247" s="30" t="s">
        <v>73</v>
      </c>
      <c r="Z247" s="33">
        <v>45518</v>
      </c>
      <c r="AA247" s="33">
        <v>45518</v>
      </c>
      <c r="AB247" s="30" t="s">
        <v>90</v>
      </c>
      <c r="AC247" s="30"/>
      <c r="AD247" s="30"/>
      <c r="AE247" s="30"/>
      <c r="AF247" s="30"/>
      <c r="AG247" s="30"/>
      <c r="AH247" s="30"/>
      <c r="AI247" s="30"/>
      <c r="AJ247" s="31">
        <f t="shared" si="21"/>
        <v>180</v>
      </c>
      <c r="AK247" s="34">
        <f>1980000000/AJ247</f>
        <v>11000000</v>
      </c>
      <c r="AL247" s="31">
        <f t="shared" si="22"/>
        <v>181</v>
      </c>
      <c r="AM247" s="34">
        <f>583100000/AL247</f>
        <v>3221546.9613259668</v>
      </c>
      <c r="AN247" s="34"/>
      <c r="AO247" s="34">
        <f t="shared" si="23"/>
        <v>2563100000</v>
      </c>
      <c r="AP247" s="30" t="s">
        <v>2258</v>
      </c>
      <c r="AQ247" s="30" t="s">
        <v>97</v>
      </c>
      <c r="AR247" s="30"/>
      <c r="AS247" s="30"/>
      <c r="AT247" s="30"/>
      <c r="AU247" s="30"/>
      <c r="AV247" s="35">
        <v>45</v>
      </c>
      <c r="AW247" s="34">
        <v>12303769</v>
      </c>
      <c r="AX247" s="35">
        <v>68</v>
      </c>
      <c r="AY247" s="34"/>
      <c r="AZ247" s="34">
        <v>1100000000</v>
      </c>
      <c r="BA247" s="32">
        <f>AV247*AW247+(4357800*AX247)</f>
        <v>850000005</v>
      </c>
      <c r="BB247" s="30" t="s">
        <v>2259</v>
      </c>
      <c r="BC247" s="30" t="s">
        <v>81</v>
      </c>
      <c r="BD247" s="30" t="s">
        <v>2260</v>
      </c>
      <c r="BE247" s="30" t="s">
        <v>97</v>
      </c>
      <c r="BF247" s="30"/>
      <c r="BG247" s="30"/>
      <c r="BH247" s="30"/>
      <c r="BI247" s="30"/>
      <c r="BJ247" s="36">
        <v>108</v>
      </c>
      <c r="BK247" s="34">
        <v>10550741</v>
      </c>
      <c r="BL247" s="36">
        <v>100</v>
      </c>
      <c r="BM247" s="34"/>
      <c r="BN247" s="34">
        <v>1600000000</v>
      </c>
      <c r="BO247" s="32">
        <f>BJ247*BK247+(2905200*BL247)</f>
        <v>1430000028</v>
      </c>
      <c r="BP247" s="30" t="s">
        <v>2261</v>
      </c>
      <c r="BQ247" s="30" t="s">
        <v>81</v>
      </c>
      <c r="BR247" s="30" t="s">
        <v>2262</v>
      </c>
      <c r="BS247" s="30" t="s">
        <v>97</v>
      </c>
      <c r="BT247" s="30"/>
      <c r="BU247" s="30"/>
      <c r="BV247" s="30"/>
      <c r="BW247" s="30"/>
      <c r="BX247" s="36">
        <v>108</v>
      </c>
      <c r="BY247" s="34">
        <v>10617000</v>
      </c>
      <c r="BZ247" s="36">
        <v>70</v>
      </c>
      <c r="CA247" s="34"/>
      <c r="CB247" s="34">
        <v>1500000000</v>
      </c>
      <c r="CC247" s="32">
        <f>BX247*BY247+(2905200*BZ247)</f>
        <v>1350000000</v>
      </c>
      <c r="CD247" s="30" t="s">
        <v>2263</v>
      </c>
      <c r="CE247" s="30" t="s">
        <v>81</v>
      </c>
      <c r="CF247" s="30" t="s">
        <v>597</v>
      </c>
      <c r="CG247" s="30"/>
      <c r="CH247" s="30"/>
      <c r="CI247" s="64" t="s">
        <v>2264</v>
      </c>
      <c r="CJ247" s="64"/>
      <c r="CK247" s="64"/>
      <c r="CL247" s="64"/>
    </row>
    <row r="248" spans="2:90" ht="60" x14ac:dyDescent="0.25">
      <c r="B248" s="54" t="s">
        <v>2265</v>
      </c>
      <c r="C248" s="54" t="s">
        <v>2266</v>
      </c>
      <c r="D248" s="67">
        <v>45548</v>
      </c>
      <c r="E248" s="54" t="s">
        <v>185</v>
      </c>
      <c r="F248" s="54" t="s">
        <v>185</v>
      </c>
      <c r="G248" s="30"/>
      <c r="H248" s="30" t="s">
        <v>2267</v>
      </c>
      <c r="I248" s="35">
        <v>41682</v>
      </c>
      <c r="J248" s="30" t="s">
        <v>70</v>
      </c>
      <c r="K248" s="35"/>
      <c r="L248" s="35"/>
      <c r="M248" s="30"/>
      <c r="N248" s="30"/>
      <c r="O248" s="30"/>
      <c r="P248" s="30"/>
      <c r="Q248" s="54" t="s">
        <v>2268</v>
      </c>
      <c r="R248" s="54" t="s">
        <v>2269</v>
      </c>
      <c r="S248" s="54" t="s">
        <v>2270</v>
      </c>
      <c r="T248" s="54" t="s">
        <v>278</v>
      </c>
      <c r="U248" s="54" t="s">
        <v>279</v>
      </c>
      <c r="V248" s="54" t="s">
        <v>80</v>
      </c>
      <c r="W248" s="54" t="s">
        <v>72</v>
      </c>
      <c r="X248" s="54" t="s">
        <v>85</v>
      </c>
      <c r="Y248" s="54" t="s">
        <v>73</v>
      </c>
      <c r="Z248" s="67">
        <v>45539</v>
      </c>
      <c r="AA248" s="67">
        <v>45539</v>
      </c>
      <c r="AB248" s="54" t="s">
        <v>90</v>
      </c>
      <c r="AC248" s="30"/>
      <c r="AD248" s="30"/>
      <c r="AE248" s="30"/>
      <c r="AF248" s="30"/>
      <c r="AG248" s="30"/>
      <c r="AH248" s="30"/>
      <c r="AI248" s="30"/>
      <c r="AJ248" s="31">
        <f t="shared" si="21"/>
        <v>41682</v>
      </c>
      <c r="AK248" s="34">
        <f>40965800000/AJ248</f>
        <v>982817.52315148024</v>
      </c>
      <c r="AL248" s="31">
        <f t="shared" si="22"/>
        <v>0</v>
      </c>
      <c r="AM248" s="34"/>
      <c r="AN248" s="34"/>
      <c r="AO248" s="51">
        <f>(AJ248*AK248)+(AL248*AM248)+AN248+(AJ249*AK249)+(AJ250*AK250)</f>
        <v>86781080000</v>
      </c>
      <c r="AP248" s="30"/>
      <c r="AQ248" s="30"/>
      <c r="AR248" s="30"/>
      <c r="AS248" s="30"/>
      <c r="AT248" s="30"/>
      <c r="AU248" s="30"/>
      <c r="AV248" s="35"/>
      <c r="AW248" s="34"/>
      <c r="AX248" s="35"/>
      <c r="AY248" s="34"/>
      <c r="AZ248" s="34"/>
      <c r="BA248" s="32">
        <f>AV248*AW248</f>
        <v>0</v>
      </c>
      <c r="BB248" s="30"/>
      <c r="BC248" s="30"/>
      <c r="BD248" s="30"/>
      <c r="BE248" s="30"/>
      <c r="BF248" s="30"/>
      <c r="BG248" s="30"/>
      <c r="BH248" s="30"/>
      <c r="BI248" s="30"/>
      <c r="BJ248" s="36"/>
      <c r="BK248" s="34"/>
      <c r="BL248" s="36"/>
      <c r="BM248" s="34"/>
      <c r="BN248" s="34"/>
      <c r="BO248" s="32">
        <f t="shared" si="19"/>
        <v>0</v>
      </c>
      <c r="BP248" s="30"/>
      <c r="BQ248" s="30"/>
      <c r="BR248" s="30"/>
      <c r="BS248" s="30"/>
      <c r="BT248" s="30"/>
      <c r="BU248" s="30"/>
      <c r="BV248" s="30"/>
      <c r="BW248" s="30"/>
      <c r="BX248" s="36"/>
      <c r="BY248" s="34"/>
      <c r="BZ248" s="36"/>
      <c r="CA248" s="34"/>
      <c r="CB248" s="34"/>
      <c r="CC248" s="32">
        <f t="shared" si="20"/>
        <v>0</v>
      </c>
      <c r="CD248" s="30"/>
      <c r="CE248" s="30"/>
      <c r="CF248" s="30"/>
      <c r="CG248" s="30"/>
      <c r="CH248" s="30"/>
      <c r="CI248" s="64"/>
      <c r="CJ248" s="64"/>
      <c r="CK248" s="64"/>
      <c r="CL248" s="64"/>
    </row>
    <row r="249" spans="2:90" ht="60" x14ac:dyDescent="0.25">
      <c r="B249" s="57"/>
      <c r="C249" s="57"/>
      <c r="D249" s="68"/>
      <c r="E249" s="57"/>
      <c r="F249" s="57"/>
      <c r="G249" s="30"/>
      <c r="H249" s="30" t="s">
        <v>2271</v>
      </c>
      <c r="I249" s="35">
        <v>29061</v>
      </c>
      <c r="J249" s="30" t="s">
        <v>70</v>
      </c>
      <c r="K249" s="35"/>
      <c r="L249" s="35"/>
      <c r="M249" s="30"/>
      <c r="N249" s="30"/>
      <c r="O249" s="30"/>
      <c r="P249" s="30"/>
      <c r="Q249" s="57"/>
      <c r="R249" s="57"/>
      <c r="S249" s="57"/>
      <c r="T249" s="57"/>
      <c r="U249" s="57"/>
      <c r="V249" s="57"/>
      <c r="W249" s="57"/>
      <c r="X249" s="57"/>
      <c r="Y249" s="57"/>
      <c r="Z249" s="68"/>
      <c r="AA249" s="68"/>
      <c r="AB249" s="57"/>
      <c r="AC249" s="30"/>
      <c r="AD249" s="30"/>
      <c r="AE249" s="30"/>
      <c r="AF249" s="30"/>
      <c r="AG249" s="30"/>
      <c r="AH249" s="30"/>
      <c r="AI249" s="30"/>
      <c r="AJ249" s="31">
        <f t="shared" si="21"/>
        <v>29061</v>
      </c>
      <c r="AK249" s="34">
        <f>26825100000/AJ249</f>
        <v>923061.8354495716</v>
      </c>
      <c r="AL249" s="31">
        <f t="shared" si="22"/>
        <v>0</v>
      </c>
      <c r="AM249" s="34"/>
      <c r="AN249" s="34"/>
      <c r="AO249" s="52"/>
      <c r="AP249" s="30"/>
      <c r="AQ249" s="30"/>
      <c r="AR249" s="30"/>
      <c r="AS249" s="30"/>
      <c r="AT249" s="30"/>
      <c r="AU249" s="30"/>
      <c r="AV249" s="35"/>
      <c r="AW249" s="34"/>
      <c r="AX249" s="35"/>
      <c r="AY249" s="34"/>
      <c r="AZ249" s="34"/>
      <c r="BA249" s="32">
        <f>AV249*AW249</f>
        <v>0</v>
      </c>
      <c r="BB249" s="30"/>
      <c r="BC249" s="30"/>
      <c r="BD249" s="30"/>
      <c r="BE249" s="30"/>
      <c r="BF249" s="30"/>
      <c r="BG249" s="30"/>
      <c r="BH249" s="30"/>
      <c r="BI249" s="30"/>
      <c r="BJ249" s="36"/>
      <c r="BK249" s="34"/>
      <c r="BL249" s="36"/>
      <c r="BM249" s="34"/>
      <c r="BN249" s="34"/>
      <c r="BO249" s="32">
        <f t="shared" si="19"/>
        <v>0</v>
      </c>
      <c r="BP249" s="30"/>
      <c r="BQ249" s="30"/>
      <c r="BR249" s="30"/>
      <c r="BS249" s="30"/>
      <c r="BT249" s="30"/>
      <c r="BU249" s="30"/>
      <c r="BV249" s="30"/>
      <c r="BW249" s="30"/>
      <c r="BX249" s="36"/>
      <c r="BY249" s="34"/>
      <c r="BZ249" s="36"/>
      <c r="CA249" s="34"/>
      <c r="CB249" s="34"/>
      <c r="CC249" s="32">
        <f t="shared" si="20"/>
        <v>0</v>
      </c>
      <c r="CD249" s="30"/>
      <c r="CE249" s="30"/>
      <c r="CF249" s="30"/>
      <c r="CG249" s="30"/>
      <c r="CH249" s="30"/>
      <c r="CI249" s="64"/>
      <c r="CJ249" s="64"/>
      <c r="CK249" s="64"/>
      <c r="CL249" s="64"/>
    </row>
    <row r="250" spans="2:90" ht="60" x14ac:dyDescent="0.25">
      <c r="B250" s="58"/>
      <c r="C250" s="58"/>
      <c r="D250" s="69"/>
      <c r="E250" s="58"/>
      <c r="F250" s="58"/>
      <c r="G250" s="30"/>
      <c r="H250" s="30" t="s">
        <v>2272</v>
      </c>
      <c r="I250" s="35">
        <v>28773</v>
      </c>
      <c r="J250" s="30" t="s">
        <v>70</v>
      </c>
      <c r="K250" s="35"/>
      <c r="L250" s="35"/>
      <c r="M250" s="30"/>
      <c r="N250" s="30"/>
      <c r="O250" s="30"/>
      <c r="P250" s="30"/>
      <c r="Q250" s="58"/>
      <c r="R250" s="58"/>
      <c r="S250" s="58"/>
      <c r="T250" s="58"/>
      <c r="U250" s="58"/>
      <c r="V250" s="58"/>
      <c r="W250" s="58"/>
      <c r="X250" s="58"/>
      <c r="Y250" s="58"/>
      <c r="Z250" s="69"/>
      <c r="AA250" s="69"/>
      <c r="AB250" s="58"/>
      <c r="AC250" s="30"/>
      <c r="AD250" s="30"/>
      <c r="AE250" s="30"/>
      <c r="AF250" s="30"/>
      <c r="AG250" s="30"/>
      <c r="AH250" s="30"/>
      <c r="AI250" s="30"/>
      <c r="AJ250" s="31">
        <f t="shared" si="21"/>
        <v>28773</v>
      </c>
      <c r="AK250" s="34">
        <f>18990180000/AJ250</f>
        <v>660000</v>
      </c>
      <c r="AL250" s="31">
        <f t="shared" si="22"/>
        <v>0</v>
      </c>
      <c r="AM250" s="34"/>
      <c r="AN250" s="34"/>
      <c r="AO250" s="53"/>
      <c r="AP250" s="30"/>
      <c r="AQ250" s="30"/>
      <c r="AR250" s="30"/>
      <c r="AS250" s="30"/>
      <c r="AT250" s="30"/>
      <c r="AU250" s="30"/>
      <c r="AV250" s="35"/>
      <c r="AW250" s="34"/>
      <c r="AX250" s="35"/>
      <c r="AY250" s="34"/>
      <c r="AZ250" s="34"/>
      <c r="BA250" s="32">
        <f>AV250*AW250</f>
        <v>0</v>
      </c>
      <c r="BB250" s="30"/>
      <c r="BC250" s="30"/>
      <c r="BD250" s="30"/>
      <c r="BE250" s="30"/>
      <c r="BF250" s="30"/>
      <c r="BG250" s="30"/>
      <c r="BH250" s="30"/>
      <c r="BI250" s="30"/>
      <c r="BJ250" s="36"/>
      <c r="BK250" s="34"/>
      <c r="BL250" s="36"/>
      <c r="BM250" s="34"/>
      <c r="BN250" s="34"/>
      <c r="BO250" s="32">
        <f t="shared" si="19"/>
        <v>0</v>
      </c>
      <c r="BP250" s="30"/>
      <c r="BQ250" s="30"/>
      <c r="BR250" s="30"/>
      <c r="BS250" s="30"/>
      <c r="BT250" s="30"/>
      <c r="BU250" s="30"/>
      <c r="BV250" s="30"/>
      <c r="BW250" s="30"/>
      <c r="BX250" s="36"/>
      <c r="BY250" s="34"/>
      <c r="BZ250" s="36"/>
      <c r="CA250" s="34"/>
      <c r="CB250" s="34"/>
      <c r="CC250" s="32">
        <f t="shared" si="20"/>
        <v>0</v>
      </c>
      <c r="CD250" s="30"/>
      <c r="CE250" s="30"/>
      <c r="CF250" s="30"/>
      <c r="CG250" s="30"/>
      <c r="CH250" s="30"/>
      <c r="CI250" s="64"/>
      <c r="CJ250" s="64"/>
      <c r="CK250" s="64"/>
      <c r="CL250" s="64"/>
    </row>
    <row r="251" spans="2:90" ht="195" x14ac:dyDescent="0.25">
      <c r="B251" s="54" t="s">
        <v>2273</v>
      </c>
      <c r="C251" s="54" t="s">
        <v>2274</v>
      </c>
      <c r="D251" s="67">
        <v>45552</v>
      </c>
      <c r="E251" s="54" t="s">
        <v>2275</v>
      </c>
      <c r="F251" s="54" t="s">
        <v>204</v>
      </c>
      <c r="G251" s="30">
        <v>1</v>
      </c>
      <c r="H251" s="30" t="s">
        <v>2276</v>
      </c>
      <c r="I251" s="35">
        <v>8044</v>
      </c>
      <c r="J251" s="54" t="s">
        <v>70</v>
      </c>
      <c r="K251" s="35">
        <v>3417</v>
      </c>
      <c r="L251" s="35"/>
      <c r="M251" s="30" t="s">
        <v>397</v>
      </c>
      <c r="N251" s="30"/>
      <c r="O251" s="30"/>
      <c r="P251" s="30"/>
      <c r="Q251" s="30" t="s">
        <v>2277</v>
      </c>
      <c r="R251" s="30" t="s">
        <v>2278</v>
      </c>
      <c r="S251" s="30" t="s">
        <v>235</v>
      </c>
      <c r="T251" s="30" t="s">
        <v>236</v>
      </c>
      <c r="U251" s="30" t="s">
        <v>107</v>
      </c>
      <c r="V251" s="30" t="s">
        <v>92</v>
      </c>
      <c r="W251" s="54" t="s">
        <v>72</v>
      </c>
      <c r="X251" s="54" t="s">
        <v>85</v>
      </c>
      <c r="Y251" s="54" t="s">
        <v>73</v>
      </c>
      <c r="Z251" s="67" t="s">
        <v>2279</v>
      </c>
      <c r="AA251" s="67">
        <v>45506</v>
      </c>
      <c r="AB251" s="54" t="s">
        <v>90</v>
      </c>
      <c r="AC251" s="30"/>
      <c r="AD251" s="30"/>
      <c r="AE251" s="30"/>
      <c r="AF251" s="30"/>
      <c r="AG251" s="30"/>
      <c r="AH251" s="30"/>
      <c r="AI251" s="30"/>
      <c r="AJ251" s="31">
        <f t="shared" si="21"/>
        <v>8044</v>
      </c>
      <c r="AK251" s="34">
        <f>24936400000/AJ251</f>
        <v>3100000</v>
      </c>
      <c r="AL251" s="31">
        <f t="shared" si="22"/>
        <v>3417</v>
      </c>
      <c r="AM251" s="34">
        <f>9887600000/AL251</f>
        <v>2893649.4000585307</v>
      </c>
      <c r="AN251" s="34">
        <v>539850000</v>
      </c>
      <c r="AO251" s="34">
        <f t="shared" si="23"/>
        <v>35363850000</v>
      </c>
      <c r="AP251" s="30" t="s">
        <v>2280</v>
      </c>
      <c r="AQ251" s="30" t="s">
        <v>151</v>
      </c>
      <c r="AR251" s="30"/>
      <c r="AS251" s="30"/>
      <c r="AT251" s="30"/>
      <c r="AU251" s="30"/>
      <c r="AV251" s="35">
        <v>4775</v>
      </c>
      <c r="AW251" s="34">
        <v>3417966</v>
      </c>
      <c r="AX251" s="35">
        <v>3330</v>
      </c>
      <c r="AY251" s="34"/>
      <c r="AZ251" s="34">
        <v>32000000000</v>
      </c>
      <c r="BA251" s="32">
        <f>AV251*AW251+(2456220*AX251)</f>
        <v>24500000250</v>
      </c>
      <c r="BB251" s="30" t="s">
        <v>238</v>
      </c>
      <c r="BC251" s="30" t="s">
        <v>81</v>
      </c>
      <c r="BD251" s="30" t="s">
        <v>2281</v>
      </c>
      <c r="BE251" s="30" t="s">
        <v>245</v>
      </c>
      <c r="BF251" s="30"/>
      <c r="BG251" s="30"/>
      <c r="BH251" s="30"/>
      <c r="BI251" s="30"/>
      <c r="BJ251" s="36">
        <v>7559</v>
      </c>
      <c r="BK251" s="34">
        <v>3100665</v>
      </c>
      <c r="BL251" s="36">
        <v>4267</v>
      </c>
      <c r="BM251" s="34"/>
      <c r="BN251" s="34">
        <v>38000000000</v>
      </c>
      <c r="BO251" s="32">
        <f>BJ251*BK251+(1889400*BL251)</f>
        <v>31499996535</v>
      </c>
      <c r="BP251" s="30" t="s">
        <v>2282</v>
      </c>
      <c r="BQ251" s="30" t="s">
        <v>81</v>
      </c>
      <c r="BR251" s="30" t="s">
        <v>2283</v>
      </c>
      <c r="BS251" s="30" t="s">
        <v>245</v>
      </c>
      <c r="BT251" s="30"/>
      <c r="BU251" s="30"/>
      <c r="BV251" s="30"/>
      <c r="BW251" s="30"/>
      <c r="BX251" s="36">
        <v>20000</v>
      </c>
      <c r="BY251" s="34">
        <v>2900000</v>
      </c>
      <c r="BZ251" s="36"/>
      <c r="CA251" s="34"/>
      <c r="CB251" s="34">
        <v>70000000000</v>
      </c>
      <c r="CC251" s="32">
        <f t="shared" si="20"/>
        <v>58000000000</v>
      </c>
      <c r="CD251" s="30" t="s">
        <v>634</v>
      </c>
      <c r="CE251" s="30" t="s">
        <v>81</v>
      </c>
      <c r="CF251" s="30" t="s">
        <v>347</v>
      </c>
      <c r="CG251" s="30"/>
      <c r="CH251" s="30"/>
      <c r="CI251" s="64"/>
      <c r="CJ251" s="64"/>
      <c r="CK251" s="64"/>
      <c r="CL251" s="64"/>
    </row>
    <row r="252" spans="2:90" ht="135" x14ac:dyDescent="0.25">
      <c r="B252" s="57"/>
      <c r="C252" s="57"/>
      <c r="D252" s="68"/>
      <c r="E252" s="57"/>
      <c r="F252" s="57"/>
      <c r="G252" s="30">
        <v>2</v>
      </c>
      <c r="H252" s="30" t="s">
        <v>2276</v>
      </c>
      <c r="I252" s="35">
        <v>2555</v>
      </c>
      <c r="J252" s="57"/>
      <c r="K252" s="35">
        <v>1894</v>
      </c>
      <c r="L252" s="35"/>
      <c r="M252" s="30" t="s">
        <v>397</v>
      </c>
      <c r="N252" s="30"/>
      <c r="O252" s="30"/>
      <c r="P252" s="30"/>
      <c r="Q252" s="30" t="s">
        <v>2284</v>
      </c>
      <c r="R252" s="30"/>
      <c r="S252" s="30" t="s">
        <v>239</v>
      </c>
      <c r="T252" s="30" t="s">
        <v>240</v>
      </c>
      <c r="U252" s="30" t="s">
        <v>122</v>
      </c>
      <c r="V252" s="30" t="s">
        <v>71</v>
      </c>
      <c r="W252" s="57"/>
      <c r="X252" s="57"/>
      <c r="Y252" s="57"/>
      <c r="Z252" s="68"/>
      <c r="AA252" s="68"/>
      <c r="AB252" s="57"/>
      <c r="AC252" s="30"/>
      <c r="AD252" s="30"/>
      <c r="AE252" s="30"/>
      <c r="AF252" s="30"/>
      <c r="AG252" s="30"/>
      <c r="AH252" s="30"/>
      <c r="AI252" s="30"/>
      <c r="AJ252" s="31">
        <f t="shared" si="21"/>
        <v>2555</v>
      </c>
      <c r="AK252" s="34">
        <f>9964500000/AJ252</f>
        <v>3900000</v>
      </c>
      <c r="AL252" s="31">
        <f t="shared" si="22"/>
        <v>1894</v>
      </c>
      <c r="AM252" s="34">
        <f>5262200000/AL252</f>
        <v>2778352.6927138329</v>
      </c>
      <c r="AN252" s="34">
        <v>494841000</v>
      </c>
      <c r="AO252" s="34">
        <f t="shared" si="23"/>
        <v>15721541000</v>
      </c>
      <c r="AP252" s="30" t="s">
        <v>2285</v>
      </c>
      <c r="AQ252" s="30" t="s">
        <v>77</v>
      </c>
      <c r="AR252" s="30"/>
      <c r="AS252" s="30"/>
      <c r="AT252" s="30"/>
      <c r="AU252" s="30"/>
      <c r="AV252" s="35">
        <v>1489</v>
      </c>
      <c r="AW252" s="34">
        <v>4000000</v>
      </c>
      <c r="AX252" s="35"/>
      <c r="AY252" s="34"/>
      <c r="AZ252" s="34">
        <v>6700500000</v>
      </c>
      <c r="BA252" s="32">
        <f>AV252*AW252</f>
        <v>5956000000</v>
      </c>
      <c r="BB252" s="30" t="s">
        <v>2286</v>
      </c>
      <c r="BC252" s="30" t="s">
        <v>81</v>
      </c>
      <c r="BD252" s="30" t="s">
        <v>2287</v>
      </c>
      <c r="BE252" s="30" t="s">
        <v>148</v>
      </c>
      <c r="BF252" s="30"/>
      <c r="BG252" s="30"/>
      <c r="BH252" s="30"/>
      <c r="BI252" s="30"/>
      <c r="BJ252" s="36">
        <v>2946</v>
      </c>
      <c r="BK252" s="34">
        <v>3836422</v>
      </c>
      <c r="BL252" s="36">
        <v>5000</v>
      </c>
      <c r="BM252" s="34"/>
      <c r="BN252" s="34">
        <v>28000000000</v>
      </c>
      <c r="BO252" s="32">
        <f>BJ252*BK252+(2639580*BL252)</f>
        <v>24499999212</v>
      </c>
      <c r="BP252" s="30" t="s">
        <v>2288</v>
      </c>
      <c r="BQ252" s="30" t="s">
        <v>81</v>
      </c>
      <c r="BR252" s="30" t="s">
        <v>2289</v>
      </c>
      <c r="BS252" s="30" t="s">
        <v>148</v>
      </c>
      <c r="BT252" s="30"/>
      <c r="BU252" s="30"/>
      <c r="BV252" s="30"/>
      <c r="BW252" s="30"/>
      <c r="BX252" s="36">
        <v>2680</v>
      </c>
      <c r="BY252" s="34">
        <v>4051940</v>
      </c>
      <c r="BZ252" s="36">
        <v>2000</v>
      </c>
      <c r="CA252" s="34"/>
      <c r="CB252" s="34">
        <v>17000000000</v>
      </c>
      <c r="CC252" s="32">
        <f>BX252*BY252+(1820400*BZ252)</f>
        <v>14499999200</v>
      </c>
      <c r="CD252" s="30" t="s">
        <v>2290</v>
      </c>
      <c r="CE252" s="30" t="s">
        <v>81</v>
      </c>
      <c r="CF252" s="30" t="s">
        <v>196</v>
      </c>
      <c r="CG252" s="30"/>
      <c r="CH252" s="30"/>
      <c r="CI252" s="64"/>
      <c r="CJ252" s="64"/>
      <c r="CK252" s="64"/>
      <c r="CL252" s="64"/>
    </row>
    <row r="253" spans="2:90" ht="120" x14ac:dyDescent="0.25">
      <c r="B253" s="57"/>
      <c r="C253" s="57"/>
      <c r="D253" s="68"/>
      <c r="E253" s="57"/>
      <c r="F253" s="57"/>
      <c r="G253" s="30">
        <v>3</v>
      </c>
      <c r="H253" s="30" t="s">
        <v>2291</v>
      </c>
      <c r="I253" s="35">
        <v>246539</v>
      </c>
      <c r="J253" s="57"/>
      <c r="K253" s="35">
        <v>1635</v>
      </c>
      <c r="L253" s="35"/>
      <c r="M253" s="30" t="s">
        <v>397</v>
      </c>
      <c r="N253" s="30"/>
      <c r="O253" s="30"/>
      <c r="P253" s="30"/>
      <c r="Q253" s="30"/>
      <c r="R253" s="30" t="s">
        <v>2292</v>
      </c>
      <c r="S253" s="30" t="s">
        <v>2293</v>
      </c>
      <c r="T253" s="30" t="s">
        <v>241</v>
      </c>
      <c r="U253" s="30" t="s">
        <v>260</v>
      </c>
      <c r="V253" s="30" t="s">
        <v>92</v>
      </c>
      <c r="W253" s="57"/>
      <c r="X253" s="57"/>
      <c r="Y253" s="57"/>
      <c r="Z253" s="68"/>
      <c r="AA253" s="68"/>
      <c r="AB253" s="57"/>
      <c r="AC253" s="30"/>
      <c r="AD253" s="30"/>
      <c r="AE253" s="30"/>
      <c r="AF253" s="30"/>
      <c r="AG253" s="30"/>
      <c r="AH253" s="30"/>
      <c r="AI253" s="30"/>
      <c r="AJ253" s="31">
        <f t="shared" si="21"/>
        <v>246539</v>
      </c>
      <c r="AK253" s="34">
        <f>113407940000/AJ253</f>
        <v>460000</v>
      </c>
      <c r="AL253" s="31">
        <f t="shared" si="22"/>
        <v>1635</v>
      </c>
      <c r="AM253" s="34">
        <f>689760000/AL253</f>
        <v>421871.55963302753</v>
      </c>
      <c r="AN253" s="34">
        <v>3321000</v>
      </c>
      <c r="AO253" s="34">
        <f t="shared" si="23"/>
        <v>114101021000</v>
      </c>
      <c r="AP253" s="30" t="s">
        <v>242</v>
      </c>
      <c r="AQ253" s="30" t="s">
        <v>77</v>
      </c>
      <c r="AR253" s="30"/>
      <c r="AS253" s="30"/>
      <c r="AT253" s="30"/>
      <c r="AU253" s="30"/>
      <c r="AV253" s="35">
        <v>50000</v>
      </c>
      <c r="AW253" s="34">
        <v>730000</v>
      </c>
      <c r="AX253" s="35"/>
      <c r="AY253" s="34"/>
      <c r="AZ253" s="34">
        <v>45000000000</v>
      </c>
      <c r="BA253" s="32">
        <f>AV253*AW253</f>
        <v>36500000000</v>
      </c>
      <c r="BB253" s="30" t="s">
        <v>2294</v>
      </c>
      <c r="BC253" s="30" t="s">
        <v>81</v>
      </c>
      <c r="BD253" s="30" t="s">
        <v>242</v>
      </c>
      <c r="BE253" s="30" t="s">
        <v>77</v>
      </c>
      <c r="BF253" s="30"/>
      <c r="BG253" s="30"/>
      <c r="BH253" s="30"/>
      <c r="BI253" s="30"/>
      <c r="BJ253" s="36">
        <v>140000</v>
      </c>
      <c r="BK253" s="34">
        <v>714286</v>
      </c>
      <c r="BL253" s="36"/>
      <c r="BM253" s="34"/>
      <c r="BN253" s="34">
        <v>140000000000</v>
      </c>
      <c r="BO253" s="32">
        <f t="shared" si="19"/>
        <v>100000040000</v>
      </c>
      <c r="BP253" s="30" t="s">
        <v>261</v>
      </c>
      <c r="BQ253" s="30" t="s">
        <v>81</v>
      </c>
      <c r="BR253" s="30" t="s">
        <v>243</v>
      </c>
      <c r="BS253" s="30" t="s">
        <v>77</v>
      </c>
      <c r="BT253" s="30"/>
      <c r="BU253" s="30"/>
      <c r="BV253" s="30"/>
      <c r="BW253" s="30"/>
      <c r="BX253" s="36">
        <v>11467</v>
      </c>
      <c r="BY253" s="34">
        <v>745000</v>
      </c>
      <c r="BZ253" s="36"/>
      <c r="CA253" s="34"/>
      <c r="CB253" s="34">
        <v>9746950000</v>
      </c>
      <c r="CC253" s="32">
        <f t="shared" si="20"/>
        <v>8542915000</v>
      </c>
      <c r="CD253" s="30" t="s">
        <v>244</v>
      </c>
      <c r="CE253" s="30" t="s">
        <v>81</v>
      </c>
      <c r="CF253" s="30" t="s">
        <v>347</v>
      </c>
      <c r="CG253" s="30"/>
      <c r="CH253" s="30"/>
      <c r="CI253" s="64"/>
      <c r="CJ253" s="64"/>
      <c r="CK253" s="64"/>
      <c r="CL253" s="64"/>
    </row>
    <row r="254" spans="2:90" ht="120" x14ac:dyDescent="0.25">
      <c r="B254" s="57"/>
      <c r="C254" s="57"/>
      <c r="D254" s="68"/>
      <c r="E254" s="57"/>
      <c r="F254" s="57"/>
      <c r="G254" s="30">
        <v>4</v>
      </c>
      <c r="H254" s="30" t="s">
        <v>2295</v>
      </c>
      <c r="I254" s="35">
        <v>145874</v>
      </c>
      <c r="J254" s="57"/>
      <c r="K254" s="35">
        <v>29444</v>
      </c>
      <c r="L254" s="35"/>
      <c r="M254" s="30" t="s">
        <v>397</v>
      </c>
      <c r="N254" s="30"/>
      <c r="O254" s="30"/>
      <c r="P254" s="30"/>
      <c r="Q254" s="30"/>
      <c r="R254" s="30" t="s">
        <v>246</v>
      </c>
      <c r="S254" s="30" t="s">
        <v>247</v>
      </c>
      <c r="T254" s="30" t="s">
        <v>248</v>
      </c>
      <c r="U254" s="30" t="s">
        <v>260</v>
      </c>
      <c r="V254" s="30" t="s">
        <v>92</v>
      </c>
      <c r="W254" s="57"/>
      <c r="X254" s="57"/>
      <c r="Y254" s="57"/>
      <c r="Z254" s="68"/>
      <c r="AA254" s="68"/>
      <c r="AB254" s="57"/>
      <c r="AC254" s="30"/>
      <c r="AD254" s="30"/>
      <c r="AE254" s="30"/>
      <c r="AF254" s="30"/>
      <c r="AG254" s="30"/>
      <c r="AH254" s="30"/>
      <c r="AI254" s="30"/>
      <c r="AJ254" s="31">
        <f t="shared" si="21"/>
        <v>145874</v>
      </c>
      <c r="AK254" s="34">
        <f>71478260000/AJ254</f>
        <v>490000</v>
      </c>
      <c r="AL254" s="31">
        <f t="shared" si="22"/>
        <v>29444</v>
      </c>
      <c r="AM254" s="34">
        <f>17290000000/AL254</f>
        <v>587216.41081374814</v>
      </c>
      <c r="AN254" s="34">
        <v>1179900000</v>
      </c>
      <c r="AO254" s="34">
        <f t="shared" si="23"/>
        <v>89948160000</v>
      </c>
      <c r="AP254" s="30" t="s">
        <v>2296</v>
      </c>
      <c r="AQ254" s="30" t="s">
        <v>148</v>
      </c>
      <c r="AR254" s="30"/>
      <c r="AS254" s="30"/>
      <c r="AT254" s="30"/>
      <c r="AU254" s="30"/>
      <c r="AV254" s="35">
        <v>58000</v>
      </c>
      <c r="AW254" s="34">
        <v>701090</v>
      </c>
      <c r="AX254" s="35">
        <v>2000</v>
      </c>
      <c r="AY254" s="34"/>
      <c r="AZ254" s="34">
        <v>58000000000</v>
      </c>
      <c r="BA254" s="32">
        <f>AV254*AW254+(2418400*AX254)</f>
        <v>45500020000</v>
      </c>
      <c r="BB254" s="30" t="s">
        <v>261</v>
      </c>
      <c r="BC254" s="30" t="s">
        <v>81</v>
      </c>
      <c r="BD254" s="30" t="s">
        <v>2297</v>
      </c>
      <c r="BE254" s="30" t="s">
        <v>77</v>
      </c>
      <c r="BF254" s="30"/>
      <c r="BG254" s="30"/>
      <c r="BH254" s="30"/>
      <c r="BI254" s="30"/>
      <c r="BJ254" s="36">
        <v>102000</v>
      </c>
      <c r="BK254" s="34">
        <v>725490</v>
      </c>
      <c r="BL254" s="36"/>
      <c r="BM254" s="34"/>
      <c r="BN254" s="34">
        <v>102000000000</v>
      </c>
      <c r="BO254" s="32">
        <f t="shared" si="19"/>
        <v>73999980000</v>
      </c>
      <c r="BP254" s="30" t="s">
        <v>261</v>
      </c>
      <c r="BQ254" s="30" t="s">
        <v>81</v>
      </c>
      <c r="BR254" s="30" t="s">
        <v>2298</v>
      </c>
      <c r="BS254" s="30" t="s">
        <v>77</v>
      </c>
      <c r="BT254" s="30"/>
      <c r="BU254" s="30"/>
      <c r="BV254" s="30"/>
      <c r="BW254" s="30"/>
      <c r="BX254" s="36">
        <v>22600</v>
      </c>
      <c r="BY254" s="34">
        <v>730088</v>
      </c>
      <c r="BZ254" s="36"/>
      <c r="CA254" s="34"/>
      <c r="CB254" s="34">
        <v>21989800000</v>
      </c>
      <c r="CC254" s="32">
        <f t="shared" si="20"/>
        <v>16499988800</v>
      </c>
      <c r="CD254" s="30" t="s">
        <v>2299</v>
      </c>
      <c r="CE254" s="30" t="s">
        <v>81</v>
      </c>
      <c r="CF254" s="30" t="s">
        <v>347</v>
      </c>
      <c r="CG254" s="30"/>
      <c r="CH254" s="30"/>
      <c r="CI254" s="64"/>
      <c r="CJ254" s="64"/>
      <c r="CK254" s="64"/>
      <c r="CL254" s="64"/>
    </row>
    <row r="255" spans="2:90" ht="120" x14ac:dyDescent="0.25">
      <c r="B255" s="57"/>
      <c r="C255" s="57"/>
      <c r="D255" s="68"/>
      <c r="E255" s="57"/>
      <c r="F255" s="57"/>
      <c r="G255" s="30">
        <v>5</v>
      </c>
      <c r="H255" s="30" t="s">
        <v>77</v>
      </c>
      <c r="I255" s="35">
        <v>33218</v>
      </c>
      <c r="J255" s="57"/>
      <c r="K255" s="35"/>
      <c r="L255" s="35"/>
      <c r="M255" s="30"/>
      <c r="N255" s="30"/>
      <c r="O255" s="30"/>
      <c r="P255" s="30"/>
      <c r="Q255" s="30"/>
      <c r="R255" s="30" t="s">
        <v>2300</v>
      </c>
      <c r="S255" s="30" t="s">
        <v>2301</v>
      </c>
      <c r="T255" s="30" t="s">
        <v>251</v>
      </c>
      <c r="U255" s="30" t="s">
        <v>260</v>
      </c>
      <c r="V255" s="30" t="s">
        <v>92</v>
      </c>
      <c r="W255" s="57"/>
      <c r="X255" s="57"/>
      <c r="Y255" s="57"/>
      <c r="Z255" s="68"/>
      <c r="AA255" s="68"/>
      <c r="AB255" s="57"/>
      <c r="AC255" s="30"/>
      <c r="AD255" s="30"/>
      <c r="AE255" s="30"/>
      <c r="AF255" s="30"/>
      <c r="AG255" s="30"/>
      <c r="AH255" s="30"/>
      <c r="AI255" s="30"/>
      <c r="AJ255" s="31">
        <f t="shared" si="21"/>
        <v>33218</v>
      </c>
      <c r="AK255" s="34">
        <f>1160</f>
        <v>1160</v>
      </c>
      <c r="AL255" s="31">
        <f t="shared" si="22"/>
        <v>0</v>
      </c>
      <c r="AM255" s="34"/>
      <c r="AN255" s="34"/>
      <c r="AO255" s="34">
        <v>36000000</v>
      </c>
      <c r="AP255" s="30" t="s">
        <v>252</v>
      </c>
      <c r="AQ255" s="30" t="s">
        <v>253</v>
      </c>
      <c r="AR255" s="30"/>
      <c r="AS255" s="30"/>
      <c r="AT255" s="30"/>
      <c r="AU255" s="30"/>
      <c r="AV255" s="35">
        <v>30000</v>
      </c>
      <c r="AW255" s="34">
        <v>1050</v>
      </c>
      <c r="AX255" s="35"/>
      <c r="AY255" s="34"/>
      <c r="AZ255" s="34">
        <v>36000000</v>
      </c>
      <c r="BA255" s="32">
        <f>AV255*AW255</f>
        <v>31500000</v>
      </c>
      <c r="BB255" s="30" t="s">
        <v>254</v>
      </c>
      <c r="BC255" s="30" t="s">
        <v>81</v>
      </c>
      <c r="BD255" s="30" t="s">
        <v>255</v>
      </c>
      <c r="BE255" s="30" t="s">
        <v>253</v>
      </c>
      <c r="BF255" s="30"/>
      <c r="BG255" s="30"/>
      <c r="BH255" s="30"/>
      <c r="BI255" s="30"/>
      <c r="BJ255" s="36">
        <v>80000</v>
      </c>
      <c r="BK255" s="34">
        <v>1050</v>
      </c>
      <c r="BL255" s="36"/>
      <c r="BM255" s="34"/>
      <c r="BN255" s="34">
        <v>96000000</v>
      </c>
      <c r="BO255" s="32">
        <f t="shared" si="19"/>
        <v>84000000</v>
      </c>
      <c r="BP255" s="30" t="s">
        <v>2302</v>
      </c>
      <c r="BQ255" s="30" t="s">
        <v>81</v>
      </c>
      <c r="BR255" s="30" t="s">
        <v>256</v>
      </c>
      <c r="BS255" s="30" t="s">
        <v>253</v>
      </c>
      <c r="BT255" s="30"/>
      <c r="BU255" s="30"/>
      <c r="BV255" s="30"/>
      <c r="BW255" s="30"/>
      <c r="BX255" s="36">
        <v>25000</v>
      </c>
      <c r="BY255" s="34">
        <v>1050</v>
      </c>
      <c r="BZ255" s="36"/>
      <c r="CA255" s="34"/>
      <c r="CB255" s="34">
        <v>30000000</v>
      </c>
      <c r="CC255" s="32">
        <f t="shared" si="20"/>
        <v>26250000</v>
      </c>
      <c r="CD255" s="30" t="s">
        <v>257</v>
      </c>
      <c r="CE255" s="30" t="s">
        <v>81</v>
      </c>
      <c r="CF255" s="30" t="s">
        <v>347</v>
      </c>
      <c r="CG255" s="30"/>
      <c r="CH255" s="30"/>
      <c r="CI255" s="64"/>
      <c r="CJ255" s="64"/>
      <c r="CK255" s="64"/>
      <c r="CL255" s="64"/>
    </row>
    <row r="256" spans="2:90" ht="135" x14ac:dyDescent="0.25">
      <c r="B256" s="57"/>
      <c r="C256" s="57"/>
      <c r="D256" s="68"/>
      <c r="E256" s="57"/>
      <c r="F256" s="57"/>
      <c r="G256" s="30">
        <v>6</v>
      </c>
      <c r="H256" s="30" t="s">
        <v>83</v>
      </c>
      <c r="I256" s="35">
        <v>75</v>
      </c>
      <c r="J256" s="57"/>
      <c r="K256" s="35">
        <v>28</v>
      </c>
      <c r="L256" s="35"/>
      <c r="M256" s="30"/>
      <c r="N256" s="30"/>
      <c r="O256" s="30"/>
      <c r="P256" s="30"/>
      <c r="Q256" s="30"/>
      <c r="R256" s="30" t="s">
        <v>2303</v>
      </c>
      <c r="S256" s="30" t="s">
        <v>258</v>
      </c>
      <c r="T256" s="30" t="s">
        <v>259</v>
      </c>
      <c r="U256" s="30" t="s">
        <v>260</v>
      </c>
      <c r="V256" s="30" t="s">
        <v>2304</v>
      </c>
      <c r="W256" s="57"/>
      <c r="X256" s="57"/>
      <c r="Y256" s="57"/>
      <c r="Z256" s="68"/>
      <c r="AA256" s="68"/>
      <c r="AB256" s="57"/>
      <c r="AC256" s="30"/>
      <c r="AD256" s="30"/>
      <c r="AE256" s="30"/>
      <c r="AF256" s="30"/>
      <c r="AG256" s="30"/>
      <c r="AH256" s="30"/>
      <c r="AI256" s="30"/>
      <c r="AJ256" s="31">
        <f t="shared" si="21"/>
        <v>75</v>
      </c>
      <c r="AK256" s="34">
        <f>42000000/AJ256</f>
        <v>560000</v>
      </c>
      <c r="AL256" s="31">
        <f t="shared" si="22"/>
        <v>28</v>
      </c>
      <c r="AM256" s="34">
        <f>57600000/AL256</f>
        <v>2057142.857142857</v>
      </c>
      <c r="AN256" s="34"/>
      <c r="AO256" s="34">
        <f t="shared" si="23"/>
        <v>99600000</v>
      </c>
      <c r="AP256" s="30" t="s">
        <v>2305</v>
      </c>
      <c r="AQ256" s="30" t="s">
        <v>83</v>
      </c>
      <c r="AR256" s="30"/>
      <c r="AS256" s="30"/>
      <c r="AT256" s="30"/>
      <c r="AU256" s="30"/>
      <c r="AV256" s="35">
        <v>373</v>
      </c>
      <c r="AW256" s="34">
        <v>542587</v>
      </c>
      <c r="AX256" s="35">
        <v>210</v>
      </c>
      <c r="AY256" s="34"/>
      <c r="AZ256" s="34">
        <v>800000000</v>
      </c>
      <c r="BA256" s="32">
        <f>AV256*AW256+(2131500*AX256)</f>
        <v>649999951</v>
      </c>
      <c r="BB256" s="30" t="s">
        <v>2306</v>
      </c>
      <c r="BC256" s="30" t="s">
        <v>81</v>
      </c>
      <c r="BD256" s="30" t="s">
        <v>2307</v>
      </c>
      <c r="BE256" s="30" t="s">
        <v>83</v>
      </c>
      <c r="BF256" s="30"/>
      <c r="BG256" s="30"/>
      <c r="BH256" s="30"/>
      <c r="BI256" s="30"/>
      <c r="BJ256" s="36">
        <v>210</v>
      </c>
      <c r="BK256" s="34">
        <v>552381</v>
      </c>
      <c r="BL256" s="36">
        <v>410</v>
      </c>
      <c r="BM256" s="34"/>
      <c r="BN256" s="34">
        <v>2100000000</v>
      </c>
      <c r="BO256" s="32">
        <f>BJ256*BK256+(3900000*BL256)</f>
        <v>1715000010</v>
      </c>
      <c r="BP256" s="30" t="s">
        <v>2308</v>
      </c>
      <c r="BQ256" s="30" t="s">
        <v>81</v>
      </c>
      <c r="BR256" s="30" t="s">
        <v>2309</v>
      </c>
      <c r="BS256" s="30" t="s">
        <v>77</v>
      </c>
      <c r="BT256" s="30"/>
      <c r="BU256" s="30"/>
      <c r="BV256" s="30"/>
      <c r="BW256" s="30"/>
      <c r="BX256" s="36">
        <v>231</v>
      </c>
      <c r="BY256" s="34">
        <v>558442</v>
      </c>
      <c r="BZ256" s="36"/>
      <c r="CA256" s="34"/>
      <c r="CB256" s="34">
        <v>170000000</v>
      </c>
      <c r="CC256" s="32">
        <f t="shared" si="20"/>
        <v>129000102</v>
      </c>
      <c r="CD256" s="30" t="s">
        <v>2310</v>
      </c>
      <c r="CE256" s="30" t="s">
        <v>81</v>
      </c>
      <c r="CF256" s="30" t="s">
        <v>347</v>
      </c>
      <c r="CG256" s="30"/>
      <c r="CH256" s="30"/>
      <c r="CI256" s="64"/>
      <c r="CJ256" s="64"/>
      <c r="CK256" s="64"/>
      <c r="CL256" s="64"/>
    </row>
    <row r="257" spans="2:90" ht="135" x14ac:dyDescent="0.25">
      <c r="B257" s="57"/>
      <c r="C257" s="57"/>
      <c r="D257" s="68"/>
      <c r="E257" s="57"/>
      <c r="F257" s="57"/>
      <c r="G257" s="30">
        <v>7</v>
      </c>
      <c r="H257" s="30" t="s">
        <v>105</v>
      </c>
      <c r="I257" s="35">
        <v>100</v>
      </c>
      <c r="J257" s="57"/>
      <c r="K257" s="35">
        <v>29</v>
      </c>
      <c r="L257" s="35"/>
      <c r="M257" s="30"/>
      <c r="N257" s="30"/>
      <c r="O257" s="30"/>
      <c r="P257" s="30"/>
      <c r="Q257" s="30"/>
      <c r="R257" s="30" t="s">
        <v>2303</v>
      </c>
      <c r="S257" s="30" t="s">
        <v>258</v>
      </c>
      <c r="T257" s="30" t="s">
        <v>259</v>
      </c>
      <c r="U257" s="30" t="s">
        <v>260</v>
      </c>
      <c r="V257" s="30" t="s">
        <v>92</v>
      </c>
      <c r="W257" s="57"/>
      <c r="X257" s="57"/>
      <c r="Y257" s="57"/>
      <c r="Z257" s="68"/>
      <c r="AA257" s="68"/>
      <c r="AB257" s="57"/>
      <c r="AC257" s="30"/>
      <c r="AD257" s="30"/>
      <c r="AE257" s="30"/>
      <c r="AF257" s="30"/>
      <c r="AG257" s="30"/>
      <c r="AH257" s="30"/>
      <c r="AI257" s="30"/>
      <c r="AJ257" s="31">
        <f t="shared" si="21"/>
        <v>100</v>
      </c>
      <c r="AK257" s="34">
        <f>57000000/AJ257</f>
        <v>570000</v>
      </c>
      <c r="AL257" s="31">
        <f t="shared" si="22"/>
        <v>29</v>
      </c>
      <c r="AM257" s="34">
        <f>41700000/AL257</f>
        <v>1437931.0344827587</v>
      </c>
      <c r="AN257" s="34"/>
      <c r="AO257" s="34">
        <f t="shared" si="23"/>
        <v>98700000</v>
      </c>
      <c r="AP257" s="30" t="s">
        <v>2305</v>
      </c>
      <c r="AQ257" s="30" t="s">
        <v>83</v>
      </c>
      <c r="AR257" s="30"/>
      <c r="AS257" s="30"/>
      <c r="AT257" s="30"/>
      <c r="AU257" s="30"/>
      <c r="AV257" s="35">
        <v>373</v>
      </c>
      <c r="AW257" s="34">
        <v>542587</v>
      </c>
      <c r="AX257" s="35">
        <v>210</v>
      </c>
      <c r="AY257" s="34"/>
      <c r="AZ257" s="34">
        <v>800000000</v>
      </c>
      <c r="BA257" s="32">
        <f>AV257*AW257+(2131500*AX257)</f>
        <v>649999951</v>
      </c>
      <c r="BB257" s="30" t="s">
        <v>2306</v>
      </c>
      <c r="BC257" s="30" t="s">
        <v>81</v>
      </c>
      <c r="BD257" s="30" t="s">
        <v>2307</v>
      </c>
      <c r="BE257" s="30" t="s">
        <v>83</v>
      </c>
      <c r="BF257" s="30"/>
      <c r="BG257" s="30"/>
      <c r="BH257" s="30"/>
      <c r="BI257" s="30"/>
      <c r="BJ257" s="36">
        <v>210</v>
      </c>
      <c r="BK257" s="34">
        <v>552381</v>
      </c>
      <c r="BL257" s="36">
        <v>410</v>
      </c>
      <c r="BM257" s="34"/>
      <c r="BN257" s="34">
        <v>2100000000</v>
      </c>
      <c r="BO257" s="32">
        <f>BJ257*BK257+(3900000*BL257)</f>
        <v>1715000010</v>
      </c>
      <c r="BP257" s="30" t="s">
        <v>2308</v>
      </c>
      <c r="BQ257" s="30" t="s">
        <v>81</v>
      </c>
      <c r="BR257" s="30" t="s">
        <v>2309</v>
      </c>
      <c r="BS257" s="30" t="s">
        <v>77</v>
      </c>
      <c r="BT257" s="30"/>
      <c r="BU257" s="30"/>
      <c r="BV257" s="30"/>
      <c r="BW257" s="30"/>
      <c r="BX257" s="36">
        <v>231</v>
      </c>
      <c r="BY257" s="34">
        <v>558442</v>
      </c>
      <c r="BZ257" s="36"/>
      <c r="CA257" s="34"/>
      <c r="CB257" s="34">
        <v>170000000</v>
      </c>
      <c r="CC257" s="32">
        <f t="shared" si="20"/>
        <v>129000102</v>
      </c>
      <c r="CD257" s="30" t="s">
        <v>2310</v>
      </c>
      <c r="CE257" s="30" t="s">
        <v>81</v>
      </c>
      <c r="CF257" s="30" t="s">
        <v>347</v>
      </c>
      <c r="CG257" s="30"/>
      <c r="CH257" s="30"/>
      <c r="CI257" s="64"/>
      <c r="CJ257" s="64"/>
      <c r="CK257" s="64"/>
      <c r="CL257" s="64"/>
    </row>
    <row r="258" spans="2:90" ht="135" x14ac:dyDescent="0.25">
      <c r="B258" s="57"/>
      <c r="C258" s="57"/>
      <c r="D258" s="68"/>
      <c r="E258" s="57"/>
      <c r="F258" s="57"/>
      <c r="G258" s="30">
        <v>8</v>
      </c>
      <c r="H258" s="30" t="s">
        <v>2311</v>
      </c>
      <c r="I258" s="35">
        <v>55720</v>
      </c>
      <c r="J258" s="57"/>
      <c r="K258" s="35">
        <v>12410</v>
      </c>
      <c r="L258" s="35"/>
      <c r="M258" s="30"/>
      <c r="N258" s="30"/>
      <c r="O258" s="30"/>
      <c r="P258" s="30"/>
      <c r="Q258" s="30"/>
      <c r="R258" s="30" t="s">
        <v>2312</v>
      </c>
      <c r="S258" s="30" t="s">
        <v>262</v>
      </c>
      <c r="T258" s="30" t="s">
        <v>259</v>
      </c>
      <c r="U258" s="30" t="s">
        <v>260</v>
      </c>
      <c r="V258" s="30" t="s">
        <v>92</v>
      </c>
      <c r="W258" s="57"/>
      <c r="X258" s="57"/>
      <c r="Y258" s="57"/>
      <c r="Z258" s="68"/>
      <c r="AA258" s="68"/>
      <c r="AB258" s="57"/>
      <c r="AC258" s="30"/>
      <c r="AD258" s="30"/>
      <c r="AE258" s="30"/>
      <c r="AF258" s="30"/>
      <c r="AG258" s="30"/>
      <c r="AH258" s="30"/>
      <c r="AI258" s="30"/>
      <c r="AJ258" s="31">
        <f t="shared" si="21"/>
        <v>55720</v>
      </c>
      <c r="AK258" s="34">
        <f>17830400000/AJ258</f>
        <v>320000</v>
      </c>
      <c r="AL258" s="31">
        <f t="shared" si="22"/>
        <v>12410</v>
      </c>
      <c r="AM258" s="34">
        <f>5924320000/AL258</f>
        <v>477382.75584206288</v>
      </c>
      <c r="AN258" s="34">
        <v>114425000</v>
      </c>
      <c r="AO258" s="34">
        <f t="shared" si="23"/>
        <v>23869145000</v>
      </c>
      <c r="AP258" s="30" t="s">
        <v>2313</v>
      </c>
      <c r="AQ258" s="30" t="s">
        <v>77</v>
      </c>
      <c r="AR258" s="30"/>
      <c r="AS258" s="30"/>
      <c r="AT258" s="30"/>
      <c r="AU258" s="30"/>
      <c r="AV258" s="35">
        <v>54000</v>
      </c>
      <c r="AW258" s="34">
        <v>305556</v>
      </c>
      <c r="AX258" s="35"/>
      <c r="AY258" s="34"/>
      <c r="AZ258" s="34">
        <v>20520000000</v>
      </c>
      <c r="BA258" s="32">
        <f>AV258*AW258</f>
        <v>16500024000</v>
      </c>
      <c r="BB258" s="30" t="s">
        <v>263</v>
      </c>
      <c r="BC258" s="30" t="s">
        <v>81</v>
      </c>
      <c r="BD258" s="30" t="s">
        <v>2314</v>
      </c>
      <c r="BE258" s="30" t="s">
        <v>77</v>
      </c>
      <c r="BF258" s="30"/>
      <c r="BG258" s="30"/>
      <c r="BH258" s="30"/>
      <c r="BI258" s="30"/>
      <c r="BJ258" s="36">
        <v>40000</v>
      </c>
      <c r="BK258" s="34">
        <v>312500</v>
      </c>
      <c r="BL258" s="36"/>
      <c r="BM258" s="34"/>
      <c r="BN258" s="34">
        <v>15200000000</v>
      </c>
      <c r="BO258" s="32">
        <f t="shared" ref="BO258:BO312" si="25">BJ258*BK258</f>
        <v>12500000000</v>
      </c>
      <c r="BP258" s="30" t="s">
        <v>263</v>
      </c>
      <c r="BQ258" s="30" t="s">
        <v>81</v>
      </c>
      <c r="BR258" s="30" t="s">
        <v>2315</v>
      </c>
      <c r="BS258" s="30" t="s">
        <v>99</v>
      </c>
      <c r="BT258" s="30"/>
      <c r="BU258" s="30"/>
      <c r="BV258" s="30"/>
      <c r="BW258" s="30"/>
      <c r="BX258" s="36">
        <v>11985</v>
      </c>
      <c r="BY258" s="34">
        <v>354439</v>
      </c>
      <c r="BZ258" s="36">
        <v>5720</v>
      </c>
      <c r="CA258" s="34"/>
      <c r="CB258" s="34">
        <v>12000000000</v>
      </c>
      <c r="CC258" s="32">
        <f>BX258*BY258+(1058050*BZ258)</f>
        <v>10299997415</v>
      </c>
      <c r="CD258" s="30" t="s">
        <v>2299</v>
      </c>
      <c r="CE258" s="30" t="s">
        <v>81</v>
      </c>
      <c r="CF258" s="30" t="s">
        <v>347</v>
      </c>
      <c r="CG258" s="30"/>
      <c r="CH258" s="30"/>
      <c r="CI258" s="64"/>
      <c r="CJ258" s="64"/>
      <c r="CK258" s="64"/>
      <c r="CL258" s="64"/>
    </row>
    <row r="259" spans="2:90" ht="135" x14ac:dyDescent="0.25">
      <c r="B259" s="57"/>
      <c r="C259" s="57"/>
      <c r="D259" s="68"/>
      <c r="E259" s="57"/>
      <c r="F259" s="57"/>
      <c r="G259" s="30">
        <v>9</v>
      </c>
      <c r="H259" s="30" t="s">
        <v>2316</v>
      </c>
      <c r="I259" s="35">
        <v>14930</v>
      </c>
      <c r="J259" s="57"/>
      <c r="K259" s="35">
        <v>1811</v>
      </c>
      <c r="L259" s="35"/>
      <c r="M259" s="30" t="s">
        <v>397</v>
      </c>
      <c r="N259" s="30"/>
      <c r="O259" s="30"/>
      <c r="P259" s="30"/>
      <c r="Q259" s="30"/>
      <c r="R259" s="30" t="s">
        <v>2312</v>
      </c>
      <c r="S259" s="30" t="s">
        <v>262</v>
      </c>
      <c r="T259" s="30" t="s">
        <v>259</v>
      </c>
      <c r="U259" s="30" t="s">
        <v>260</v>
      </c>
      <c r="V259" s="30" t="s">
        <v>92</v>
      </c>
      <c r="W259" s="57"/>
      <c r="X259" s="57"/>
      <c r="Y259" s="57"/>
      <c r="Z259" s="68"/>
      <c r="AA259" s="68"/>
      <c r="AB259" s="57"/>
      <c r="AC259" s="30"/>
      <c r="AD259" s="30"/>
      <c r="AE259" s="30"/>
      <c r="AF259" s="30"/>
      <c r="AG259" s="30"/>
      <c r="AH259" s="30"/>
      <c r="AI259" s="30"/>
      <c r="AJ259" s="31">
        <f t="shared" si="21"/>
        <v>14930</v>
      </c>
      <c r="AK259" s="34">
        <f>5225500000/AJ259</f>
        <v>350000</v>
      </c>
      <c r="AL259" s="31">
        <f t="shared" si="22"/>
        <v>1811</v>
      </c>
      <c r="AM259" s="34">
        <f>1110600000/AL259</f>
        <v>613252.34676974046</v>
      </c>
      <c r="AN259" s="34">
        <v>41268000</v>
      </c>
      <c r="AO259" s="34">
        <f t="shared" si="23"/>
        <v>6377368000</v>
      </c>
      <c r="AP259" s="30" t="s">
        <v>2313</v>
      </c>
      <c r="AQ259" s="30" t="s">
        <v>77</v>
      </c>
      <c r="AR259" s="30"/>
      <c r="AS259" s="30"/>
      <c r="AT259" s="30"/>
      <c r="AU259" s="30"/>
      <c r="AV259" s="35">
        <v>54000</v>
      </c>
      <c r="AW259" s="34">
        <v>305556</v>
      </c>
      <c r="AX259" s="35"/>
      <c r="AY259" s="34"/>
      <c r="AZ259" s="34">
        <v>20520000000</v>
      </c>
      <c r="BA259" s="32">
        <f>AV259*AW259</f>
        <v>16500024000</v>
      </c>
      <c r="BB259" s="30" t="s">
        <v>263</v>
      </c>
      <c r="BC259" s="30" t="s">
        <v>81</v>
      </c>
      <c r="BD259" s="30" t="s">
        <v>2314</v>
      </c>
      <c r="BE259" s="30" t="s">
        <v>77</v>
      </c>
      <c r="BF259" s="30"/>
      <c r="BG259" s="30"/>
      <c r="BH259" s="30"/>
      <c r="BI259" s="30"/>
      <c r="BJ259" s="36">
        <v>40000</v>
      </c>
      <c r="BK259" s="34">
        <v>312500</v>
      </c>
      <c r="BL259" s="36"/>
      <c r="BM259" s="34"/>
      <c r="BN259" s="34">
        <v>15200000000</v>
      </c>
      <c r="BO259" s="32">
        <f t="shared" si="25"/>
        <v>12500000000</v>
      </c>
      <c r="BP259" s="30" t="s">
        <v>263</v>
      </c>
      <c r="BQ259" s="30" t="s">
        <v>81</v>
      </c>
      <c r="BR259" s="30" t="s">
        <v>2315</v>
      </c>
      <c r="BS259" s="30" t="s">
        <v>99</v>
      </c>
      <c r="BT259" s="30"/>
      <c r="BU259" s="30"/>
      <c r="BV259" s="30"/>
      <c r="BW259" s="30"/>
      <c r="BX259" s="36">
        <v>11985</v>
      </c>
      <c r="BY259" s="34">
        <v>354439</v>
      </c>
      <c r="BZ259" s="36">
        <v>5720</v>
      </c>
      <c r="CA259" s="34"/>
      <c r="CB259" s="34">
        <v>12000000000</v>
      </c>
      <c r="CC259" s="32">
        <f>BX259*BY259+(1058050*BZ259)</f>
        <v>10299997415</v>
      </c>
      <c r="CD259" s="30" t="s">
        <v>2299</v>
      </c>
      <c r="CE259" s="30" t="s">
        <v>81</v>
      </c>
      <c r="CF259" s="30" t="s">
        <v>347</v>
      </c>
      <c r="CG259" s="30"/>
      <c r="CH259" s="30"/>
      <c r="CI259" s="64"/>
      <c r="CJ259" s="64"/>
      <c r="CK259" s="64"/>
      <c r="CL259" s="64"/>
    </row>
    <row r="260" spans="2:90" ht="135" x14ac:dyDescent="0.25">
      <c r="B260" s="58"/>
      <c r="C260" s="58"/>
      <c r="D260" s="69"/>
      <c r="E260" s="58"/>
      <c r="F260" s="58"/>
      <c r="G260" s="30">
        <v>10</v>
      </c>
      <c r="H260" s="30" t="s">
        <v>2317</v>
      </c>
      <c r="I260" s="35">
        <v>18330</v>
      </c>
      <c r="J260" s="58"/>
      <c r="K260" s="35">
        <v>2060</v>
      </c>
      <c r="L260" s="35"/>
      <c r="M260" s="30" t="s">
        <v>397</v>
      </c>
      <c r="N260" s="30"/>
      <c r="O260" s="30"/>
      <c r="P260" s="30"/>
      <c r="Q260" s="30"/>
      <c r="R260" s="30" t="s">
        <v>2312</v>
      </c>
      <c r="S260" s="30" t="s">
        <v>262</v>
      </c>
      <c r="T260" s="30" t="s">
        <v>259</v>
      </c>
      <c r="U260" s="30" t="s">
        <v>848</v>
      </c>
      <c r="V260" s="30" t="s">
        <v>92</v>
      </c>
      <c r="W260" s="58"/>
      <c r="X260" s="58"/>
      <c r="Y260" s="58"/>
      <c r="Z260" s="69"/>
      <c r="AA260" s="69"/>
      <c r="AB260" s="58"/>
      <c r="AC260" s="30"/>
      <c r="AD260" s="30"/>
      <c r="AE260" s="30"/>
      <c r="AF260" s="30"/>
      <c r="AG260" s="30"/>
      <c r="AH260" s="30"/>
      <c r="AI260" s="30"/>
      <c r="AJ260" s="31">
        <f t="shared" si="21"/>
        <v>18330</v>
      </c>
      <c r="AK260" s="34">
        <f>6232200000/AJ260</f>
        <v>340000</v>
      </c>
      <c r="AL260" s="31">
        <f t="shared" si="22"/>
        <v>2060</v>
      </c>
      <c r="AM260" s="34">
        <f>1675980000/AL260</f>
        <v>813582.52427184465</v>
      </c>
      <c r="AN260" s="34">
        <v>24400000</v>
      </c>
      <c r="AO260" s="34">
        <f t="shared" si="23"/>
        <v>7932580000</v>
      </c>
      <c r="AP260" s="30" t="s">
        <v>2313</v>
      </c>
      <c r="AQ260" s="30" t="s">
        <v>77</v>
      </c>
      <c r="AR260" s="30"/>
      <c r="AS260" s="30"/>
      <c r="AT260" s="30"/>
      <c r="AU260" s="30"/>
      <c r="AV260" s="35">
        <v>54000</v>
      </c>
      <c r="AW260" s="34">
        <v>305556</v>
      </c>
      <c r="AX260" s="35"/>
      <c r="AY260" s="34"/>
      <c r="AZ260" s="34">
        <v>20520000000</v>
      </c>
      <c r="BA260" s="32">
        <f>AV260*AW260</f>
        <v>16500024000</v>
      </c>
      <c r="BB260" s="30" t="s">
        <v>263</v>
      </c>
      <c r="BC260" s="30" t="s">
        <v>81</v>
      </c>
      <c r="BD260" s="30" t="s">
        <v>2314</v>
      </c>
      <c r="BE260" s="30" t="s">
        <v>77</v>
      </c>
      <c r="BF260" s="30"/>
      <c r="BG260" s="30"/>
      <c r="BH260" s="30"/>
      <c r="BI260" s="30"/>
      <c r="BJ260" s="36">
        <v>40000</v>
      </c>
      <c r="BK260" s="34">
        <v>312500</v>
      </c>
      <c r="BL260" s="36"/>
      <c r="BM260" s="34"/>
      <c r="BN260" s="34">
        <v>15200000000</v>
      </c>
      <c r="BO260" s="32">
        <f t="shared" si="25"/>
        <v>12500000000</v>
      </c>
      <c r="BP260" s="30" t="s">
        <v>263</v>
      </c>
      <c r="BQ260" s="30" t="s">
        <v>81</v>
      </c>
      <c r="BR260" s="30" t="s">
        <v>2315</v>
      </c>
      <c r="BS260" s="30" t="s">
        <v>99</v>
      </c>
      <c r="BT260" s="30"/>
      <c r="BU260" s="30"/>
      <c r="BV260" s="30"/>
      <c r="BW260" s="30"/>
      <c r="BX260" s="36">
        <v>11985</v>
      </c>
      <c r="BY260" s="34">
        <v>354439</v>
      </c>
      <c r="BZ260" s="36">
        <v>5720</v>
      </c>
      <c r="CA260" s="34"/>
      <c r="CB260" s="34">
        <v>12000000000</v>
      </c>
      <c r="CC260" s="32">
        <f>BX260*BY260+(1058050*BZ260)</f>
        <v>10299997415</v>
      </c>
      <c r="CD260" s="30" t="s">
        <v>2299</v>
      </c>
      <c r="CE260" s="30" t="s">
        <v>81</v>
      </c>
      <c r="CF260" s="30" t="s">
        <v>347</v>
      </c>
      <c r="CG260" s="30"/>
      <c r="CH260" s="30"/>
      <c r="CI260" s="64"/>
      <c r="CJ260" s="64"/>
      <c r="CK260" s="64"/>
      <c r="CL260" s="64"/>
    </row>
    <row r="261" spans="2:90" ht="135" x14ac:dyDescent="0.25">
      <c r="B261" s="30" t="s">
        <v>2318</v>
      </c>
      <c r="C261" s="30" t="s">
        <v>2319</v>
      </c>
      <c r="D261" s="33">
        <v>45554</v>
      </c>
      <c r="E261" s="30" t="s">
        <v>2320</v>
      </c>
      <c r="F261" s="30" t="s">
        <v>2320</v>
      </c>
      <c r="G261" s="30"/>
      <c r="H261" s="30" t="s">
        <v>77</v>
      </c>
      <c r="I261" s="35">
        <v>9800</v>
      </c>
      <c r="J261" s="30" t="s">
        <v>70</v>
      </c>
      <c r="K261" s="35"/>
      <c r="L261" s="35"/>
      <c r="M261" s="30"/>
      <c r="N261" s="30"/>
      <c r="O261" s="30"/>
      <c r="P261" s="30"/>
      <c r="Q261" s="30"/>
      <c r="R261" s="30" t="s">
        <v>2321</v>
      </c>
      <c r="S261" s="30" t="s">
        <v>2322</v>
      </c>
      <c r="T261" s="30" t="s">
        <v>2323</v>
      </c>
      <c r="U261" s="30" t="s">
        <v>509</v>
      </c>
      <c r="V261" s="30" t="s">
        <v>92</v>
      </c>
      <c r="W261" s="30" t="s">
        <v>72</v>
      </c>
      <c r="X261" s="30" t="s">
        <v>131</v>
      </c>
      <c r="Y261" s="30" t="s">
        <v>73</v>
      </c>
      <c r="Z261" s="33">
        <v>45547</v>
      </c>
      <c r="AA261" s="33">
        <v>45547</v>
      </c>
      <c r="AB261" s="30" t="s">
        <v>90</v>
      </c>
      <c r="AC261" s="30"/>
      <c r="AD261" s="30"/>
      <c r="AE261" s="30"/>
      <c r="AF261" s="30"/>
      <c r="AG261" s="30"/>
      <c r="AH261" s="30"/>
      <c r="AI261" s="30"/>
      <c r="AJ261" s="31">
        <f t="shared" ref="AJ261:AJ324" si="26">I261</f>
        <v>9800</v>
      </c>
      <c r="AK261" s="34">
        <f>17836000000/AJ261</f>
        <v>1820000</v>
      </c>
      <c r="AL261" s="31">
        <f t="shared" ref="AL261:AL324" si="27">K261</f>
        <v>0</v>
      </c>
      <c r="AM261" s="34"/>
      <c r="AN261" s="34"/>
      <c r="AO261" s="34">
        <f t="shared" si="23"/>
        <v>17836000000</v>
      </c>
      <c r="AP261" s="30" t="s">
        <v>2324</v>
      </c>
      <c r="AQ261" s="30" t="s">
        <v>77</v>
      </c>
      <c r="AR261" s="30"/>
      <c r="AS261" s="30"/>
      <c r="AT261" s="30"/>
      <c r="AU261" s="30"/>
      <c r="AV261" s="35">
        <v>13000</v>
      </c>
      <c r="AW261" s="34">
        <v>1430000</v>
      </c>
      <c r="AX261" s="35"/>
      <c r="AY261" s="34"/>
      <c r="AZ261" s="34">
        <v>20800000000</v>
      </c>
      <c r="BA261" s="32">
        <f>AV261*AW261</f>
        <v>18590000000</v>
      </c>
      <c r="BB261" s="30" t="s">
        <v>2325</v>
      </c>
      <c r="BC261" s="30" t="s">
        <v>81</v>
      </c>
      <c r="BD261" s="30" t="s">
        <v>2326</v>
      </c>
      <c r="BE261" s="30" t="s">
        <v>77</v>
      </c>
      <c r="BF261" s="30"/>
      <c r="BG261" s="30"/>
      <c r="BH261" s="30"/>
      <c r="BI261" s="30"/>
      <c r="BJ261" s="36">
        <v>2800</v>
      </c>
      <c r="BK261" s="34">
        <v>2150000</v>
      </c>
      <c r="BL261" s="36"/>
      <c r="BM261" s="34"/>
      <c r="BN261" s="34">
        <v>7000000000</v>
      </c>
      <c r="BO261" s="32">
        <f t="shared" si="25"/>
        <v>6020000000</v>
      </c>
      <c r="BP261" s="30" t="s">
        <v>2327</v>
      </c>
      <c r="BQ261" s="30" t="s">
        <v>81</v>
      </c>
      <c r="BR261" s="30" t="s">
        <v>2326</v>
      </c>
      <c r="BS261" s="30" t="s">
        <v>77</v>
      </c>
      <c r="BT261" s="30"/>
      <c r="BU261" s="30"/>
      <c r="BV261" s="30"/>
      <c r="BW261" s="30"/>
      <c r="BX261" s="36">
        <v>3970</v>
      </c>
      <c r="BY261" s="34">
        <v>2000000</v>
      </c>
      <c r="BZ261" s="36"/>
      <c r="CA261" s="34"/>
      <c r="CB261" s="34">
        <v>8932500000</v>
      </c>
      <c r="CC261" s="32">
        <f t="shared" ref="CC261:CC321" si="28">BX261*BY261</f>
        <v>7940000000</v>
      </c>
      <c r="CD261" s="30" t="s">
        <v>2328</v>
      </c>
      <c r="CE261" s="30" t="s">
        <v>81</v>
      </c>
      <c r="CF261" s="30" t="s">
        <v>196</v>
      </c>
      <c r="CG261" s="30"/>
      <c r="CH261" s="30"/>
      <c r="CI261" s="64"/>
      <c r="CJ261" s="64"/>
      <c r="CK261" s="64"/>
      <c r="CL261" s="64"/>
    </row>
    <row r="262" spans="2:90" ht="120" x14ac:dyDescent="0.25">
      <c r="B262" s="30" t="s">
        <v>2329</v>
      </c>
      <c r="C262" s="30" t="s">
        <v>2330</v>
      </c>
      <c r="D262" s="33">
        <v>45555</v>
      </c>
      <c r="E262" s="30" t="s">
        <v>2331</v>
      </c>
      <c r="F262" s="30" t="s">
        <v>93</v>
      </c>
      <c r="G262" s="30"/>
      <c r="H262" s="30" t="s">
        <v>2332</v>
      </c>
      <c r="I262" s="35">
        <v>2418</v>
      </c>
      <c r="J262" s="30" t="s">
        <v>70</v>
      </c>
      <c r="K262" s="35">
        <v>28318</v>
      </c>
      <c r="L262" s="35"/>
      <c r="M262" s="30" t="s">
        <v>1140</v>
      </c>
      <c r="N262" s="30"/>
      <c r="O262" s="30"/>
      <c r="P262" s="30"/>
      <c r="Q262" s="30"/>
      <c r="R262" s="30" t="s">
        <v>2333</v>
      </c>
      <c r="S262" s="30" t="s">
        <v>2334</v>
      </c>
      <c r="T262" s="30" t="s">
        <v>117</v>
      </c>
      <c r="U262" s="30" t="s">
        <v>116</v>
      </c>
      <c r="V262" s="30" t="s">
        <v>84</v>
      </c>
      <c r="W262" s="30" t="s">
        <v>72</v>
      </c>
      <c r="X262" s="30" t="s">
        <v>85</v>
      </c>
      <c r="Y262" s="30" t="s">
        <v>73</v>
      </c>
      <c r="Z262" s="33">
        <v>45532</v>
      </c>
      <c r="AA262" s="33">
        <v>45532</v>
      </c>
      <c r="AB262" s="30" t="s">
        <v>90</v>
      </c>
      <c r="AC262" s="30"/>
      <c r="AD262" s="30"/>
      <c r="AE262" s="30"/>
      <c r="AF262" s="30"/>
      <c r="AG262" s="30"/>
      <c r="AH262" s="30"/>
      <c r="AI262" s="30"/>
      <c r="AJ262" s="31">
        <f t="shared" si="26"/>
        <v>2418</v>
      </c>
      <c r="AK262" s="34">
        <f>236964000000/AJ262</f>
        <v>98000000</v>
      </c>
      <c r="AL262" s="31">
        <f t="shared" si="27"/>
        <v>28318</v>
      </c>
      <c r="AM262" s="34">
        <f>375841700000/AL262</f>
        <v>13272183.770040257</v>
      </c>
      <c r="AN262" s="34">
        <f>1098746000+24115839000</f>
        <v>25214585000</v>
      </c>
      <c r="AO262" s="34">
        <f t="shared" si="23"/>
        <v>638020285000</v>
      </c>
      <c r="AP262" s="30" t="s">
        <v>2335</v>
      </c>
      <c r="AQ262" s="30" t="s">
        <v>76</v>
      </c>
      <c r="AR262" s="30"/>
      <c r="AS262" s="30"/>
      <c r="AT262" s="30"/>
      <c r="AU262" s="30"/>
      <c r="AV262" s="35">
        <v>1012</v>
      </c>
      <c r="AW262" s="34">
        <v>106719368</v>
      </c>
      <c r="AX262" s="35"/>
      <c r="AY262" s="34"/>
      <c r="AZ262" s="34">
        <v>125000000000</v>
      </c>
      <c r="BA262" s="32">
        <f>AV262*AW262</f>
        <v>108000000416</v>
      </c>
      <c r="BB262" s="30" t="s">
        <v>2336</v>
      </c>
      <c r="BC262" s="30" t="s">
        <v>81</v>
      </c>
      <c r="BD262" s="30" t="s">
        <v>2337</v>
      </c>
      <c r="BE262" s="30" t="s">
        <v>77</v>
      </c>
      <c r="BF262" s="30"/>
      <c r="BG262" s="30"/>
      <c r="BH262" s="30"/>
      <c r="BI262" s="30"/>
      <c r="BJ262" s="36">
        <v>602</v>
      </c>
      <c r="BK262" s="34">
        <v>108803987</v>
      </c>
      <c r="BL262" s="36"/>
      <c r="BM262" s="34"/>
      <c r="BN262" s="34">
        <v>80000000000</v>
      </c>
      <c r="BO262" s="32">
        <f t="shared" si="25"/>
        <v>65500000174</v>
      </c>
      <c r="BP262" s="30" t="s">
        <v>2338</v>
      </c>
      <c r="BQ262" s="30" t="s">
        <v>81</v>
      </c>
      <c r="BR262" s="30" t="s">
        <v>2339</v>
      </c>
      <c r="BS262" s="30" t="s">
        <v>97</v>
      </c>
      <c r="BT262" s="30"/>
      <c r="BU262" s="30"/>
      <c r="BV262" s="30"/>
      <c r="BW262" s="30"/>
      <c r="BX262" s="36">
        <v>1067</v>
      </c>
      <c r="BY262" s="34">
        <v>99351003</v>
      </c>
      <c r="BZ262" s="36">
        <v>2176</v>
      </c>
      <c r="CA262" s="34"/>
      <c r="CB262" s="34">
        <v>130000000000</v>
      </c>
      <c r="CC262" s="32">
        <f>BX262*BY262+(3167500*BZ262)</f>
        <v>112900000201</v>
      </c>
      <c r="CD262" s="30" t="s">
        <v>2340</v>
      </c>
      <c r="CE262" s="30" t="s">
        <v>81</v>
      </c>
      <c r="CF262" s="30" t="s">
        <v>1594</v>
      </c>
      <c r="CG262" s="30"/>
      <c r="CH262" s="30"/>
      <c r="CI262" s="64"/>
      <c r="CJ262" s="64"/>
      <c r="CK262" s="64"/>
      <c r="CL262" s="64"/>
    </row>
    <row r="263" spans="2:90" ht="165" x14ac:dyDescent="0.25">
      <c r="B263" s="54" t="s">
        <v>2341</v>
      </c>
      <c r="C263" s="54" t="s">
        <v>2342</v>
      </c>
      <c r="D263" s="67">
        <v>45558</v>
      </c>
      <c r="E263" s="54" t="s">
        <v>2343</v>
      </c>
      <c r="F263" s="54" t="s">
        <v>93</v>
      </c>
      <c r="G263" s="30"/>
      <c r="H263" s="30" t="s">
        <v>83</v>
      </c>
      <c r="I263" s="35">
        <v>276</v>
      </c>
      <c r="J263" s="30" t="s">
        <v>70</v>
      </c>
      <c r="K263" s="35">
        <v>120</v>
      </c>
      <c r="L263" s="35"/>
      <c r="M263" s="30"/>
      <c r="N263" s="30"/>
      <c r="O263" s="30"/>
      <c r="P263" s="30"/>
      <c r="Q263" s="30" t="s">
        <v>2344</v>
      </c>
      <c r="R263" s="30" t="s">
        <v>2345</v>
      </c>
      <c r="S263" s="30" t="s">
        <v>2346</v>
      </c>
      <c r="T263" s="30" t="s">
        <v>2347</v>
      </c>
      <c r="U263" s="30" t="s">
        <v>2348</v>
      </c>
      <c r="V263" s="30" t="s">
        <v>2349</v>
      </c>
      <c r="W263" s="54" t="s">
        <v>72</v>
      </c>
      <c r="X263" s="54" t="s">
        <v>85</v>
      </c>
      <c r="Y263" s="54" t="s">
        <v>73</v>
      </c>
      <c r="Z263" s="33" t="s">
        <v>2350</v>
      </c>
      <c r="AA263" s="67">
        <v>45545</v>
      </c>
      <c r="AB263" s="54" t="s">
        <v>90</v>
      </c>
      <c r="AC263" s="30"/>
      <c r="AD263" s="30"/>
      <c r="AE263" s="30"/>
      <c r="AF263" s="30"/>
      <c r="AG263" s="30"/>
      <c r="AH263" s="30"/>
      <c r="AI263" s="30"/>
      <c r="AJ263" s="31">
        <f t="shared" si="26"/>
        <v>276</v>
      </c>
      <c r="AK263" s="34">
        <f>1766400000/AJ263</f>
        <v>6400000</v>
      </c>
      <c r="AL263" s="31">
        <f t="shared" si="27"/>
        <v>120</v>
      </c>
      <c r="AM263" s="34">
        <f>436900000/AL263</f>
        <v>3640833.3333333335</v>
      </c>
      <c r="AN263" s="34"/>
      <c r="AO263" s="34">
        <f t="shared" si="23"/>
        <v>2203300000</v>
      </c>
      <c r="AP263" s="30" t="s">
        <v>2351</v>
      </c>
      <c r="AQ263" s="30" t="s">
        <v>83</v>
      </c>
      <c r="AR263" s="30"/>
      <c r="AS263" s="30"/>
      <c r="AT263" s="30"/>
      <c r="AU263" s="30"/>
      <c r="AV263" s="35">
        <v>144</v>
      </c>
      <c r="AW263" s="34">
        <v>6386677</v>
      </c>
      <c r="AX263" s="35">
        <v>77</v>
      </c>
      <c r="AY263" s="34"/>
      <c r="AZ263" s="34">
        <v>1400000000</v>
      </c>
      <c r="BA263" s="32">
        <f>AV263*AW263+(3640500*AX263)</f>
        <v>1199999988</v>
      </c>
      <c r="BB263" s="30" t="s">
        <v>2352</v>
      </c>
      <c r="BC263" s="30" t="s">
        <v>81</v>
      </c>
      <c r="BD263" s="30" t="s">
        <v>2353</v>
      </c>
      <c r="BE263" s="30" t="s">
        <v>83</v>
      </c>
      <c r="BF263" s="30"/>
      <c r="BG263" s="30"/>
      <c r="BH263" s="30"/>
      <c r="BI263" s="30"/>
      <c r="BJ263" s="36">
        <v>162</v>
      </c>
      <c r="BK263" s="34">
        <v>6455358</v>
      </c>
      <c r="BL263" s="36">
        <v>144</v>
      </c>
      <c r="BM263" s="34"/>
      <c r="BN263" s="34">
        <v>1800000000</v>
      </c>
      <c r="BO263" s="32">
        <f>BJ263*BK263+(3640500*BL263)</f>
        <v>1569999996</v>
      </c>
      <c r="BP263" s="30" t="s">
        <v>2354</v>
      </c>
      <c r="BQ263" s="30" t="s">
        <v>81</v>
      </c>
      <c r="BR263" s="30" t="s">
        <v>2355</v>
      </c>
      <c r="BS263" s="30" t="s">
        <v>83</v>
      </c>
      <c r="BT263" s="30"/>
      <c r="BU263" s="30"/>
      <c r="BV263" s="30"/>
      <c r="BW263" s="30"/>
      <c r="BX263" s="36">
        <v>250</v>
      </c>
      <c r="BY263" s="34">
        <v>6452560</v>
      </c>
      <c r="BZ263" s="36">
        <v>120</v>
      </c>
      <c r="CA263" s="34"/>
      <c r="CB263" s="34">
        <v>2300000000</v>
      </c>
      <c r="CC263" s="32">
        <f>BX263*BY263+(3640500*BZ263)</f>
        <v>2050000000</v>
      </c>
      <c r="CD263" s="30" t="s">
        <v>2356</v>
      </c>
      <c r="CE263" s="30" t="s">
        <v>81</v>
      </c>
      <c r="CF263" s="30" t="s">
        <v>196</v>
      </c>
      <c r="CG263" s="30"/>
      <c r="CH263" s="30"/>
      <c r="CI263" s="64"/>
      <c r="CJ263" s="64"/>
      <c r="CK263" s="64"/>
      <c r="CL263" s="64"/>
    </row>
    <row r="264" spans="2:90" ht="120" x14ac:dyDescent="0.25">
      <c r="B264" s="58"/>
      <c r="C264" s="58"/>
      <c r="D264" s="69"/>
      <c r="E264" s="58"/>
      <c r="F264" s="58"/>
      <c r="G264" s="30"/>
      <c r="H264" s="30" t="s">
        <v>97</v>
      </c>
      <c r="I264" s="35">
        <v>30778</v>
      </c>
      <c r="J264" s="30" t="s">
        <v>70</v>
      </c>
      <c r="K264" s="35">
        <v>10</v>
      </c>
      <c r="L264" s="35"/>
      <c r="M264" s="30"/>
      <c r="N264" s="30"/>
      <c r="O264" s="30"/>
      <c r="P264" s="30"/>
      <c r="Q264" s="30"/>
      <c r="R264" s="30" t="s">
        <v>2357</v>
      </c>
      <c r="S264" s="30" t="s">
        <v>2358</v>
      </c>
      <c r="T264" s="30" t="s">
        <v>2359</v>
      </c>
      <c r="U264" s="30" t="s">
        <v>2360</v>
      </c>
      <c r="V264" s="30" t="s">
        <v>121</v>
      </c>
      <c r="W264" s="58"/>
      <c r="X264" s="58"/>
      <c r="Y264" s="58"/>
      <c r="Z264" s="33" t="s">
        <v>2361</v>
      </c>
      <c r="AA264" s="69"/>
      <c r="AB264" s="58"/>
      <c r="AC264" s="30"/>
      <c r="AD264" s="30"/>
      <c r="AE264" s="30"/>
      <c r="AF264" s="30"/>
      <c r="AG264" s="30"/>
      <c r="AH264" s="30"/>
      <c r="AI264" s="30"/>
      <c r="AJ264" s="31">
        <f t="shared" si="26"/>
        <v>30778</v>
      </c>
      <c r="AK264" s="34">
        <f>5847820000/AJ264</f>
        <v>190000</v>
      </c>
      <c r="AL264" s="31">
        <f t="shared" si="27"/>
        <v>10</v>
      </c>
      <c r="AM264" s="34">
        <f>33000000/AL264</f>
        <v>3300000</v>
      </c>
      <c r="AN264" s="34"/>
      <c r="AO264" s="34">
        <f t="shared" si="23"/>
        <v>5880820000</v>
      </c>
      <c r="AP264" s="30" t="s">
        <v>2362</v>
      </c>
      <c r="AQ264" s="30" t="s">
        <v>77</v>
      </c>
      <c r="AR264" s="30"/>
      <c r="AS264" s="30"/>
      <c r="AT264" s="30"/>
      <c r="AU264" s="30"/>
      <c r="AV264" s="35">
        <v>20000</v>
      </c>
      <c r="AW264" s="34">
        <v>225000</v>
      </c>
      <c r="AX264" s="35"/>
      <c r="AY264" s="34"/>
      <c r="AZ264" s="34">
        <v>5600000000</v>
      </c>
      <c r="BA264" s="32">
        <f>AV264*AW264</f>
        <v>4500000000</v>
      </c>
      <c r="BB264" s="30" t="s">
        <v>2363</v>
      </c>
      <c r="BC264" s="30" t="s">
        <v>81</v>
      </c>
      <c r="BD264" s="30" t="s">
        <v>2362</v>
      </c>
      <c r="BE264" s="30" t="s">
        <v>77</v>
      </c>
      <c r="BF264" s="30"/>
      <c r="BG264" s="30"/>
      <c r="BH264" s="30"/>
      <c r="BI264" s="30"/>
      <c r="BJ264" s="36">
        <v>15000</v>
      </c>
      <c r="BK264" s="34">
        <v>160000</v>
      </c>
      <c r="BL264" s="36"/>
      <c r="BM264" s="34"/>
      <c r="BN264" s="34">
        <v>2775000000</v>
      </c>
      <c r="BO264" s="32">
        <f t="shared" si="25"/>
        <v>2400000000</v>
      </c>
      <c r="BP264" s="30" t="s">
        <v>2364</v>
      </c>
      <c r="BQ264" s="30" t="s">
        <v>81</v>
      </c>
      <c r="BR264" s="30" t="s">
        <v>2362</v>
      </c>
      <c r="BS264" s="30" t="s">
        <v>77</v>
      </c>
      <c r="BT264" s="30"/>
      <c r="BU264" s="30"/>
      <c r="BV264" s="30"/>
      <c r="BW264" s="30"/>
      <c r="BX264" s="36">
        <v>14000</v>
      </c>
      <c r="BY264" s="34">
        <v>240000</v>
      </c>
      <c r="BZ264" s="36"/>
      <c r="CA264" s="34"/>
      <c r="CB264" s="34">
        <v>4200000000</v>
      </c>
      <c r="CC264" s="32">
        <f t="shared" si="28"/>
        <v>3360000000</v>
      </c>
      <c r="CD264" s="30" t="s">
        <v>2365</v>
      </c>
      <c r="CE264" s="30" t="s">
        <v>81</v>
      </c>
      <c r="CF264" s="30" t="s">
        <v>597</v>
      </c>
      <c r="CG264" s="30"/>
      <c r="CH264" s="30"/>
      <c r="CI264" s="64"/>
      <c r="CJ264" s="64"/>
      <c r="CK264" s="64"/>
      <c r="CL264" s="64"/>
    </row>
    <row r="265" spans="2:90" ht="120" x14ac:dyDescent="0.25">
      <c r="B265" s="30" t="s">
        <v>2366</v>
      </c>
      <c r="C265" s="30" t="s">
        <v>2367</v>
      </c>
      <c r="D265" s="33">
        <v>45559</v>
      </c>
      <c r="E265" s="30" t="s">
        <v>2368</v>
      </c>
      <c r="F265" s="30" t="s">
        <v>93</v>
      </c>
      <c r="G265" s="30"/>
      <c r="H265" s="30" t="s">
        <v>2369</v>
      </c>
      <c r="I265" s="35">
        <v>5677</v>
      </c>
      <c r="J265" s="30" t="s">
        <v>70</v>
      </c>
      <c r="K265" s="35">
        <v>8269</v>
      </c>
      <c r="L265" s="35"/>
      <c r="M265" s="30" t="s">
        <v>2370</v>
      </c>
      <c r="N265" s="30"/>
      <c r="O265" s="30"/>
      <c r="P265" s="30"/>
      <c r="Q265" s="30"/>
      <c r="R265" s="30" t="s">
        <v>2371</v>
      </c>
      <c r="S265" s="30" t="s">
        <v>2372</v>
      </c>
      <c r="T265" s="30" t="s">
        <v>2373</v>
      </c>
      <c r="U265" s="30" t="s">
        <v>2374</v>
      </c>
      <c r="V265" s="30" t="s">
        <v>2375</v>
      </c>
      <c r="W265" s="30" t="s">
        <v>72</v>
      </c>
      <c r="X265" s="30" t="s">
        <v>85</v>
      </c>
      <c r="Y265" s="30" t="s">
        <v>73</v>
      </c>
      <c r="Z265" s="33">
        <v>45532</v>
      </c>
      <c r="AA265" s="33">
        <v>45532</v>
      </c>
      <c r="AB265" s="30" t="s">
        <v>90</v>
      </c>
      <c r="AC265" s="30"/>
      <c r="AD265" s="30"/>
      <c r="AE265" s="30"/>
      <c r="AF265" s="30"/>
      <c r="AG265" s="30"/>
      <c r="AH265" s="30"/>
      <c r="AI265" s="30"/>
      <c r="AJ265" s="31">
        <f t="shared" si="26"/>
        <v>5677</v>
      </c>
      <c r="AK265" s="34">
        <f>43145200000/AJ265</f>
        <v>7600000</v>
      </c>
      <c r="AL265" s="31">
        <f t="shared" si="27"/>
        <v>8269</v>
      </c>
      <c r="AM265" s="34">
        <f>49145000000/AL265</f>
        <v>5943282.1381061794</v>
      </c>
      <c r="AN265" s="34">
        <v>2284113000</v>
      </c>
      <c r="AO265" s="34">
        <f t="shared" si="23"/>
        <v>94574313000</v>
      </c>
      <c r="AP265" s="30" t="s">
        <v>2376</v>
      </c>
      <c r="AQ265" s="30" t="s">
        <v>76</v>
      </c>
      <c r="AR265" s="30"/>
      <c r="AS265" s="30"/>
      <c r="AT265" s="30"/>
      <c r="AU265" s="30"/>
      <c r="AV265" s="35">
        <v>5251</v>
      </c>
      <c r="AW265" s="34">
        <v>8000000</v>
      </c>
      <c r="AX265" s="35"/>
      <c r="AY265" s="34"/>
      <c r="AZ265" s="34">
        <v>52510000000</v>
      </c>
      <c r="BA265" s="32">
        <f>AV265*AW265</f>
        <v>42008000000</v>
      </c>
      <c r="BB265" s="30" t="s">
        <v>2363</v>
      </c>
      <c r="BC265" s="30" t="s">
        <v>81</v>
      </c>
      <c r="BD265" s="30" t="s">
        <v>2376</v>
      </c>
      <c r="BE265" s="30" t="s">
        <v>77</v>
      </c>
      <c r="BF265" s="30"/>
      <c r="BG265" s="30"/>
      <c r="BH265" s="30"/>
      <c r="BI265" s="30"/>
      <c r="BJ265" s="36">
        <v>2508</v>
      </c>
      <c r="BK265" s="34">
        <v>7974482</v>
      </c>
      <c r="BL265" s="36"/>
      <c r="BM265" s="34"/>
      <c r="BN265" s="34">
        <v>22572000000</v>
      </c>
      <c r="BO265" s="32">
        <f t="shared" si="25"/>
        <v>20000000856</v>
      </c>
      <c r="BP265" s="30" t="s">
        <v>2377</v>
      </c>
      <c r="BQ265" s="30" t="s">
        <v>81</v>
      </c>
      <c r="BR265" s="30" t="s">
        <v>2376</v>
      </c>
      <c r="BS265" s="30" t="s">
        <v>77</v>
      </c>
      <c r="BT265" s="30"/>
      <c r="BU265" s="30"/>
      <c r="BV265" s="30"/>
      <c r="BW265" s="30"/>
      <c r="BX265" s="36">
        <v>1098</v>
      </c>
      <c r="BY265" s="34">
        <v>8500000</v>
      </c>
      <c r="BZ265" s="36"/>
      <c r="CA265" s="34"/>
      <c r="CB265" s="34">
        <v>10980000000</v>
      </c>
      <c r="CC265" s="32">
        <f t="shared" si="28"/>
        <v>9333000000</v>
      </c>
      <c r="CD265" s="30" t="s">
        <v>2378</v>
      </c>
      <c r="CE265" s="30" t="s">
        <v>81</v>
      </c>
      <c r="CF265" s="30" t="s">
        <v>597</v>
      </c>
      <c r="CG265" s="30"/>
      <c r="CH265" s="30"/>
      <c r="CI265" s="64"/>
      <c r="CJ265" s="64"/>
      <c r="CK265" s="64"/>
      <c r="CL265" s="64"/>
    </row>
    <row r="266" spans="2:90" ht="90" x14ac:dyDescent="0.25">
      <c r="B266" s="30" t="s">
        <v>2379</v>
      </c>
      <c r="C266" s="30" t="s">
        <v>2380</v>
      </c>
      <c r="D266" s="33">
        <v>45560</v>
      </c>
      <c r="E266" s="30" t="s">
        <v>2381</v>
      </c>
      <c r="F266" s="30" t="s">
        <v>2382</v>
      </c>
      <c r="G266" s="30"/>
      <c r="H266" s="30" t="s">
        <v>285</v>
      </c>
      <c r="I266" s="35"/>
      <c r="J266" s="30"/>
      <c r="K266" s="35"/>
      <c r="L266" s="35" t="s">
        <v>2383</v>
      </c>
      <c r="M266" s="30" t="s">
        <v>2384</v>
      </c>
      <c r="N266" s="30" t="s">
        <v>2385</v>
      </c>
      <c r="O266" s="30"/>
      <c r="P266" s="30"/>
      <c r="Q266" s="30"/>
      <c r="R266" s="30"/>
      <c r="S266" s="30" t="s">
        <v>2386</v>
      </c>
      <c r="T266" s="30" t="s">
        <v>2387</v>
      </c>
      <c r="U266" s="30" t="s">
        <v>1093</v>
      </c>
      <c r="V266" s="30" t="s">
        <v>1094</v>
      </c>
      <c r="W266" s="30" t="s">
        <v>72</v>
      </c>
      <c r="X266" s="30" t="s">
        <v>85</v>
      </c>
      <c r="Y266" s="30" t="s">
        <v>73</v>
      </c>
      <c r="Z266" s="33" t="s">
        <v>2388</v>
      </c>
      <c r="AA266" s="33">
        <v>45514</v>
      </c>
      <c r="AB266" s="30" t="s">
        <v>90</v>
      </c>
      <c r="AC266" s="30"/>
      <c r="AD266" s="30"/>
      <c r="AE266" s="30"/>
      <c r="AF266" s="30"/>
      <c r="AG266" s="30"/>
      <c r="AH266" s="30"/>
      <c r="AI266" s="30"/>
      <c r="AJ266" s="31">
        <f t="shared" si="26"/>
        <v>0</v>
      </c>
      <c r="AK266" s="34"/>
      <c r="AL266" s="31">
        <f t="shared" si="27"/>
        <v>0</v>
      </c>
      <c r="AM266" s="34"/>
      <c r="AN266" s="34">
        <f>8632000000+13909680207+10432239961+1156714312+1827900000</f>
        <v>35958534480</v>
      </c>
      <c r="AO266" s="34">
        <f t="shared" si="23"/>
        <v>35958534480</v>
      </c>
      <c r="AP266" s="30"/>
      <c r="AQ266" s="30"/>
      <c r="AR266" s="30"/>
      <c r="AS266" s="30"/>
      <c r="AT266" s="30"/>
      <c r="AU266" s="30"/>
      <c r="AV266" s="35"/>
      <c r="AW266" s="34"/>
      <c r="AX266" s="35"/>
      <c r="AY266" s="34"/>
      <c r="AZ266" s="34"/>
      <c r="BA266" s="32">
        <f>AV266*AW266</f>
        <v>0</v>
      </c>
      <c r="BB266" s="30"/>
      <c r="BC266" s="30"/>
      <c r="BD266" s="30"/>
      <c r="BE266" s="30"/>
      <c r="BF266" s="30"/>
      <c r="BG266" s="30"/>
      <c r="BH266" s="30"/>
      <c r="BI266" s="30"/>
      <c r="BJ266" s="36"/>
      <c r="BK266" s="34"/>
      <c r="BL266" s="36"/>
      <c r="BM266" s="34"/>
      <c r="BN266" s="34"/>
      <c r="BO266" s="32">
        <f t="shared" si="25"/>
        <v>0</v>
      </c>
      <c r="BP266" s="30"/>
      <c r="BQ266" s="30"/>
      <c r="BR266" s="30"/>
      <c r="BS266" s="30"/>
      <c r="BT266" s="30"/>
      <c r="BU266" s="30"/>
      <c r="BV266" s="30"/>
      <c r="BW266" s="30"/>
      <c r="BX266" s="36"/>
      <c r="BY266" s="34"/>
      <c r="BZ266" s="36"/>
      <c r="CA266" s="34"/>
      <c r="CB266" s="34"/>
      <c r="CC266" s="32">
        <f t="shared" si="28"/>
        <v>0</v>
      </c>
      <c r="CD266" s="30"/>
      <c r="CE266" s="30"/>
      <c r="CF266" s="30"/>
      <c r="CG266" s="30"/>
      <c r="CH266" s="30"/>
      <c r="CI266" s="64"/>
      <c r="CJ266" s="64"/>
      <c r="CK266" s="64"/>
      <c r="CL266" s="64"/>
    </row>
    <row r="267" spans="2:90" ht="45" x14ac:dyDescent="0.25">
      <c r="B267" s="37" t="s">
        <v>2273</v>
      </c>
      <c r="C267" s="37" t="s">
        <v>2389</v>
      </c>
      <c r="D267" s="38"/>
      <c r="E267" s="37"/>
      <c r="F267" s="37"/>
      <c r="G267" s="37"/>
      <c r="H267" s="37"/>
      <c r="I267" s="39"/>
      <c r="J267" s="37"/>
      <c r="K267" s="39"/>
      <c r="L267" s="39"/>
      <c r="M267" s="37"/>
      <c r="N267" s="37"/>
      <c r="O267" s="37"/>
      <c r="P267" s="37"/>
      <c r="Q267" s="37"/>
      <c r="R267" s="37"/>
      <c r="S267" s="37"/>
      <c r="T267" s="37"/>
      <c r="U267" s="37"/>
      <c r="V267" s="37"/>
      <c r="W267" s="37"/>
      <c r="X267" s="37"/>
      <c r="Y267" s="37"/>
      <c r="Z267" s="38"/>
      <c r="AA267" s="38"/>
      <c r="AB267" s="37"/>
      <c r="AC267" s="37"/>
      <c r="AD267" s="37"/>
      <c r="AE267" s="37"/>
      <c r="AF267" s="37"/>
      <c r="AG267" s="37"/>
      <c r="AH267" s="37"/>
      <c r="AI267" s="37"/>
      <c r="AJ267" s="31">
        <f t="shared" si="26"/>
        <v>0</v>
      </c>
      <c r="AK267" s="40"/>
      <c r="AL267" s="31">
        <f t="shared" si="27"/>
        <v>0</v>
      </c>
      <c r="AM267" s="40"/>
      <c r="AN267" s="40"/>
      <c r="AO267" s="40">
        <f t="shared" si="23"/>
        <v>0</v>
      </c>
      <c r="AP267" s="37"/>
      <c r="AQ267" s="37"/>
      <c r="AR267" s="37"/>
      <c r="AS267" s="37"/>
      <c r="AT267" s="37"/>
      <c r="AU267" s="37"/>
      <c r="AV267" s="39"/>
      <c r="AW267" s="40"/>
      <c r="AX267" s="39"/>
      <c r="AY267" s="40"/>
      <c r="AZ267" s="40"/>
      <c r="BA267" s="84">
        <f>AV267*AW267</f>
        <v>0</v>
      </c>
      <c r="BB267" s="37"/>
      <c r="BC267" s="37"/>
      <c r="BD267" s="37"/>
      <c r="BE267" s="37"/>
      <c r="BF267" s="37"/>
      <c r="BG267" s="37"/>
      <c r="BH267" s="37"/>
      <c r="BI267" s="37"/>
      <c r="BJ267" s="41"/>
      <c r="BK267" s="40"/>
      <c r="BL267" s="41"/>
      <c r="BM267" s="40"/>
      <c r="BN267" s="40"/>
      <c r="BO267" s="84">
        <f t="shared" si="25"/>
        <v>0</v>
      </c>
      <c r="BP267" s="37"/>
      <c r="BQ267" s="37"/>
      <c r="BR267" s="37"/>
      <c r="BS267" s="37"/>
      <c r="BT267" s="37"/>
      <c r="BU267" s="37"/>
      <c r="BV267" s="37"/>
      <c r="BW267" s="37"/>
      <c r="BX267" s="41"/>
      <c r="BY267" s="40"/>
      <c r="BZ267" s="41"/>
      <c r="CA267" s="40"/>
      <c r="CB267" s="40"/>
      <c r="CC267" s="84">
        <f t="shared" si="28"/>
        <v>0</v>
      </c>
      <c r="CD267" s="37"/>
      <c r="CE267" s="37"/>
      <c r="CF267" s="37"/>
      <c r="CG267" s="37"/>
      <c r="CH267" s="37"/>
      <c r="CI267" s="49" t="s">
        <v>2390</v>
      </c>
      <c r="CJ267" s="49"/>
      <c r="CK267" s="49"/>
      <c r="CL267" s="49"/>
    </row>
    <row r="268" spans="2:90" ht="135" x14ac:dyDescent="0.25">
      <c r="B268" s="30" t="s">
        <v>2391</v>
      </c>
      <c r="C268" s="30" t="s">
        <v>2392</v>
      </c>
      <c r="D268" s="33">
        <v>45568</v>
      </c>
      <c r="E268" s="30" t="s">
        <v>2393</v>
      </c>
      <c r="F268" s="30" t="s">
        <v>2393</v>
      </c>
      <c r="G268" s="30"/>
      <c r="H268" s="30" t="s">
        <v>83</v>
      </c>
      <c r="I268" s="35">
        <v>512</v>
      </c>
      <c r="J268" s="30" t="s">
        <v>70</v>
      </c>
      <c r="K268" s="35">
        <v>242</v>
      </c>
      <c r="L268" s="35"/>
      <c r="M268" s="30"/>
      <c r="N268" s="30"/>
      <c r="O268" s="30"/>
      <c r="P268" s="30"/>
      <c r="Q268" s="30"/>
      <c r="R268" s="30" t="s">
        <v>2394</v>
      </c>
      <c r="S268" s="30" t="s">
        <v>2395</v>
      </c>
      <c r="T268" s="30" t="s">
        <v>2396</v>
      </c>
      <c r="U268" s="30" t="s">
        <v>2397</v>
      </c>
      <c r="V268" s="30" t="s">
        <v>2398</v>
      </c>
      <c r="W268" s="30" t="s">
        <v>72</v>
      </c>
      <c r="X268" s="30" t="s">
        <v>142</v>
      </c>
      <c r="Y268" s="30" t="s">
        <v>89</v>
      </c>
      <c r="Z268" s="33" t="s">
        <v>2399</v>
      </c>
      <c r="AA268" s="33">
        <v>45527</v>
      </c>
      <c r="AB268" s="30" t="s">
        <v>90</v>
      </c>
      <c r="AC268" s="30"/>
      <c r="AD268" s="30"/>
      <c r="AE268" s="30"/>
      <c r="AF268" s="30"/>
      <c r="AG268" s="30"/>
      <c r="AH268" s="30"/>
      <c r="AI268" s="30"/>
      <c r="AJ268" s="31">
        <f t="shared" si="26"/>
        <v>512</v>
      </c>
      <c r="AK268" s="34">
        <f>5683200000/AJ268</f>
        <v>11100000</v>
      </c>
      <c r="AL268" s="31">
        <f t="shared" si="27"/>
        <v>242</v>
      </c>
      <c r="AM268" s="34"/>
      <c r="AN268" s="34"/>
      <c r="AO268" s="34">
        <f t="shared" si="23"/>
        <v>5683200000</v>
      </c>
      <c r="AP268" s="30" t="s">
        <v>2400</v>
      </c>
      <c r="AQ268" s="30" t="s">
        <v>83</v>
      </c>
      <c r="AR268" s="30"/>
      <c r="AS268" s="30"/>
      <c r="AT268" s="30"/>
      <c r="AU268" s="30"/>
      <c r="AV268" s="35">
        <v>150</v>
      </c>
      <c r="AW268" s="34">
        <v>11512406</v>
      </c>
      <c r="AX268" s="35">
        <v>190</v>
      </c>
      <c r="AY268" s="34"/>
      <c r="AZ268" s="34">
        <v>3000000000</v>
      </c>
      <c r="BA268" s="32">
        <f>AV268*AW268+(3542837*AX268)</f>
        <v>2399999930</v>
      </c>
      <c r="BB268" s="30" t="s">
        <v>2401</v>
      </c>
      <c r="BC268" s="30" t="s">
        <v>81</v>
      </c>
      <c r="BD268" s="30" t="s">
        <v>2400</v>
      </c>
      <c r="BE268" s="30" t="s">
        <v>97</v>
      </c>
      <c r="BF268" s="30"/>
      <c r="BG268" s="30"/>
      <c r="BH268" s="30"/>
      <c r="BI268" s="30"/>
      <c r="BJ268" s="36">
        <v>662</v>
      </c>
      <c r="BK268" s="34">
        <v>10703128</v>
      </c>
      <c r="BL268" s="36">
        <v>519</v>
      </c>
      <c r="BM268" s="34"/>
      <c r="BN268" s="34">
        <v>9600000000</v>
      </c>
      <c r="BO268" s="32">
        <f>BJ268*BK268+(2051116*BL268)</f>
        <v>8149999940</v>
      </c>
      <c r="BP268" s="30" t="s">
        <v>2402</v>
      </c>
      <c r="BQ268" s="30" t="s">
        <v>81</v>
      </c>
      <c r="BR268" s="30" t="s">
        <v>2403</v>
      </c>
      <c r="BS268" s="30" t="s">
        <v>83</v>
      </c>
      <c r="BT268" s="30"/>
      <c r="BU268" s="30"/>
      <c r="BV268" s="30"/>
      <c r="BW268" s="30"/>
      <c r="BX268" s="36">
        <v>547</v>
      </c>
      <c r="BY268" s="34">
        <v>11111883</v>
      </c>
      <c r="BZ268" s="36">
        <v>250</v>
      </c>
      <c r="CA268" s="34"/>
      <c r="CB268" s="34">
        <v>8300000000</v>
      </c>
      <c r="CC268" s="32">
        <f>BX268*BY268+(2887200*BZ268)</f>
        <v>6800000001</v>
      </c>
      <c r="CD268" s="30" t="s">
        <v>2404</v>
      </c>
      <c r="CE268" s="30" t="s">
        <v>81</v>
      </c>
      <c r="CF268" s="30" t="s">
        <v>666</v>
      </c>
      <c r="CG268" s="30"/>
      <c r="CH268" s="30"/>
      <c r="CI268" s="64"/>
      <c r="CJ268" s="64"/>
      <c r="CK268" s="64"/>
      <c r="CL268" s="64"/>
    </row>
    <row r="269" spans="2:90" ht="30" x14ac:dyDescent="0.25">
      <c r="B269" s="54" t="s">
        <v>2391</v>
      </c>
      <c r="C269" s="54" t="s">
        <v>2405</v>
      </c>
      <c r="D269" s="67">
        <v>45568</v>
      </c>
      <c r="E269" s="54" t="s">
        <v>2393</v>
      </c>
      <c r="F269" s="54" t="s">
        <v>2393</v>
      </c>
      <c r="G269" s="30"/>
      <c r="H269" s="30" t="s">
        <v>97</v>
      </c>
      <c r="I269" s="35">
        <v>2413</v>
      </c>
      <c r="J269" s="30" t="s">
        <v>70</v>
      </c>
      <c r="K269" s="35">
        <v>397</v>
      </c>
      <c r="L269" s="35"/>
      <c r="M269" s="30"/>
      <c r="N269" s="30"/>
      <c r="O269" s="30"/>
      <c r="P269" s="30"/>
      <c r="Q269" s="30"/>
      <c r="R269" s="54" t="s">
        <v>2406</v>
      </c>
      <c r="S269" s="54" t="s">
        <v>2407</v>
      </c>
      <c r="T269" s="54" t="s">
        <v>2408</v>
      </c>
      <c r="U269" s="54" t="s">
        <v>2409</v>
      </c>
      <c r="V269" s="54" t="s">
        <v>2398</v>
      </c>
      <c r="W269" s="54" t="s">
        <v>72</v>
      </c>
      <c r="X269" s="54" t="s">
        <v>142</v>
      </c>
      <c r="Y269" s="54" t="s">
        <v>89</v>
      </c>
      <c r="Z269" s="67" t="s">
        <v>2399</v>
      </c>
      <c r="AA269" s="67">
        <v>45527</v>
      </c>
      <c r="AB269" s="54" t="s">
        <v>90</v>
      </c>
      <c r="AC269" s="30"/>
      <c r="AD269" s="30"/>
      <c r="AE269" s="30"/>
      <c r="AF269" s="30"/>
      <c r="AG269" s="30"/>
      <c r="AH269" s="30"/>
      <c r="AI269" s="30"/>
      <c r="AJ269" s="31">
        <f t="shared" si="26"/>
        <v>2413</v>
      </c>
      <c r="AK269" s="34">
        <f>17807940000/AJ269</f>
        <v>7380000</v>
      </c>
      <c r="AL269" s="31">
        <f t="shared" si="27"/>
        <v>397</v>
      </c>
      <c r="AM269" s="34">
        <f>334100000/AL269</f>
        <v>841561.7128463476</v>
      </c>
      <c r="AN269" s="34">
        <v>44803000</v>
      </c>
      <c r="AO269" s="34">
        <f t="shared" si="23"/>
        <v>18186843000</v>
      </c>
      <c r="AP269" s="54" t="s">
        <v>2410</v>
      </c>
      <c r="AQ269" s="54" t="s">
        <v>97</v>
      </c>
      <c r="AR269" s="30"/>
      <c r="AS269" s="30"/>
      <c r="AT269" s="30"/>
      <c r="AU269" s="30"/>
      <c r="AV269" s="86">
        <v>3224</v>
      </c>
      <c r="AW269" s="51">
        <v>7386709</v>
      </c>
      <c r="AX269" s="86">
        <v>2500</v>
      </c>
      <c r="AY269" s="60"/>
      <c r="AZ269" s="51">
        <v>35000000000</v>
      </c>
      <c r="BA269" s="87">
        <f>AV269*AW269+(2474100*AX269)</f>
        <v>29999999816</v>
      </c>
      <c r="BB269" s="54" t="s">
        <v>2411</v>
      </c>
      <c r="BC269" s="54" t="s">
        <v>81</v>
      </c>
      <c r="BD269" s="54" t="s">
        <v>2412</v>
      </c>
      <c r="BE269" s="54" t="s">
        <v>77</v>
      </c>
      <c r="BF269" s="30"/>
      <c r="BG269" s="30"/>
      <c r="BH269" s="30"/>
      <c r="BI269" s="30"/>
      <c r="BJ269" s="88">
        <v>1066</v>
      </c>
      <c r="BK269" s="51">
        <v>7504690</v>
      </c>
      <c r="BL269" s="36"/>
      <c r="BM269" s="60"/>
      <c r="BN269" s="51">
        <v>9061000000</v>
      </c>
      <c r="BO269" s="87">
        <f t="shared" si="25"/>
        <v>7999999540</v>
      </c>
      <c r="BP269" s="54" t="s">
        <v>2413</v>
      </c>
      <c r="BQ269" s="54" t="s">
        <v>81</v>
      </c>
      <c r="BR269" s="54" t="s">
        <v>2414</v>
      </c>
      <c r="BS269" s="54" t="s">
        <v>97</v>
      </c>
      <c r="BT269" s="30"/>
      <c r="BU269" s="30"/>
      <c r="BV269" s="30"/>
      <c r="BW269" s="30"/>
      <c r="BX269" s="88">
        <v>1397</v>
      </c>
      <c r="BY269" s="51">
        <v>7669333</v>
      </c>
      <c r="BZ269" s="88">
        <v>898</v>
      </c>
      <c r="CA269" s="60"/>
      <c r="CB269" s="51">
        <v>14500000000</v>
      </c>
      <c r="CC269" s="87">
        <f>BX269*BY269+(1988800*BZ269)</f>
        <v>12500000601</v>
      </c>
      <c r="CD269" s="54" t="s">
        <v>2415</v>
      </c>
      <c r="CE269" s="54" t="s">
        <v>81</v>
      </c>
      <c r="CF269" s="54" t="s">
        <v>666</v>
      </c>
      <c r="CG269" s="30"/>
      <c r="CH269" s="30"/>
      <c r="CI269" s="64"/>
      <c r="CJ269" s="64"/>
      <c r="CK269" s="64"/>
      <c r="CL269" s="64"/>
    </row>
    <row r="270" spans="2:90" x14ac:dyDescent="0.25">
      <c r="B270" s="58"/>
      <c r="C270" s="58"/>
      <c r="D270" s="69"/>
      <c r="E270" s="58"/>
      <c r="F270" s="58"/>
      <c r="G270" s="30"/>
      <c r="H270" s="30" t="s">
        <v>77</v>
      </c>
      <c r="I270" s="35">
        <v>1480</v>
      </c>
      <c r="J270" s="30" t="s">
        <v>70</v>
      </c>
      <c r="K270" s="35"/>
      <c r="L270" s="35"/>
      <c r="M270" s="30"/>
      <c r="N270" s="30"/>
      <c r="O270" s="30"/>
      <c r="P270" s="30"/>
      <c r="Q270" s="30"/>
      <c r="R270" s="58"/>
      <c r="S270" s="58"/>
      <c r="T270" s="58"/>
      <c r="U270" s="58"/>
      <c r="V270" s="58"/>
      <c r="W270" s="58"/>
      <c r="X270" s="58"/>
      <c r="Y270" s="58"/>
      <c r="Z270" s="69"/>
      <c r="AA270" s="69"/>
      <c r="AB270" s="58"/>
      <c r="AC270" s="30"/>
      <c r="AD270" s="30"/>
      <c r="AE270" s="30"/>
      <c r="AF270" s="30"/>
      <c r="AG270" s="30"/>
      <c r="AH270" s="30"/>
      <c r="AI270" s="30"/>
      <c r="AJ270" s="31">
        <f t="shared" si="26"/>
        <v>1480</v>
      </c>
      <c r="AK270" s="34">
        <f>11040800000/AJ270</f>
        <v>7460000</v>
      </c>
      <c r="AL270" s="31">
        <f t="shared" si="27"/>
        <v>0</v>
      </c>
      <c r="AM270" s="34"/>
      <c r="AN270" s="34"/>
      <c r="AO270" s="34">
        <f t="shared" si="23"/>
        <v>11040800000</v>
      </c>
      <c r="AP270" s="58"/>
      <c r="AQ270" s="58"/>
      <c r="AR270" s="30"/>
      <c r="AS270" s="30"/>
      <c r="AT270" s="30"/>
      <c r="AU270" s="30"/>
      <c r="AV270" s="89"/>
      <c r="AW270" s="53"/>
      <c r="AX270" s="89"/>
      <c r="AY270" s="62"/>
      <c r="AZ270" s="53"/>
      <c r="BA270" s="90"/>
      <c r="BB270" s="58"/>
      <c r="BC270" s="58"/>
      <c r="BD270" s="58"/>
      <c r="BE270" s="58"/>
      <c r="BF270" s="30"/>
      <c r="BG270" s="30"/>
      <c r="BH270" s="30"/>
      <c r="BI270" s="30"/>
      <c r="BJ270" s="91"/>
      <c r="BK270" s="53"/>
      <c r="BL270" s="36"/>
      <c r="BM270" s="62"/>
      <c r="BN270" s="53"/>
      <c r="BO270" s="90"/>
      <c r="BP270" s="58"/>
      <c r="BQ270" s="58"/>
      <c r="BR270" s="58"/>
      <c r="BS270" s="58"/>
      <c r="BT270" s="30"/>
      <c r="BU270" s="30"/>
      <c r="BV270" s="30"/>
      <c r="BW270" s="30"/>
      <c r="BX270" s="91"/>
      <c r="BY270" s="53"/>
      <c r="BZ270" s="91"/>
      <c r="CA270" s="62"/>
      <c r="CB270" s="53"/>
      <c r="CC270" s="90"/>
      <c r="CD270" s="58"/>
      <c r="CE270" s="58"/>
      <c r="CF270" s="58"/>
      <c r="CG270" s="30"/>
      <c r="CH270" s="30"/>
      <c r="CI270" s="64"/>
      <c r="CJ270" s="64"/>
      <c r="CK270" s="64"/>
      <c r="CL270" s="64"/>
    </row>
    <row r="271" spans="2:90" ht="150" x14ac:dyDescent="0.25">
      <c r="B271" s="30" t="s">
        <v>2416</v>
      </c>
      <c r="C271" s="30" t="s">
        <v>2417</v>
      </c>
      <c r="D271" s="33">
        <v>45568</v>
      </c>
      <c r="E271" s="30" t="s">
        <v>2234</v>
      </c>
      <c r="F271" s="30" t="s">
        <v>93</v>
      </c>
      <c r="G271" s="30"/>
      <c r="H271" s="30" t="s">
        <v>245</v>
      </c>
      <c r="I271" s="35">
        <v>5787</v>
      </c>
      <c r="J271" s="30" t="s">
        <v>70</v>
      </c>
      <c r="K271" s="35">
        <v>5034</v>
      </c>
      <c r="L271" s="35"/>
      <c r="M271" s="30" t="s">
        <v>397</v>
      </c>
      <c r="N271" s="30"/>
      <c r="O271" s="30"/>
      <c r="P271" s="30"/>
      <c r="Q271" s="30" t="s">
        <v>2418</v>
      </c>
      <c r="R271" s="30" t="s">
        <v>2419</v>
      </c>
      <c r="S271" s="30" t="s">
        <v>2420</v>
      </c>
      <c r="T271" s="30" t="s">
        <v>269</v>
      </c>
      <c r="U271" s="30" t="s">
        <v>164</v>
      </c>
      <c r="V271" s="30" t="s">
        <v>84</v>
      </c>
      <c r="W271" s="30" t="s">
        <v>72</v>
      </c>
      <c r="X271" s="30" t="s">
        <v>85</v>
      </c>
      <c r="Y271" s="30" t="s">
        <v>73</v>
      </c>
      <c r="Z271" s="33">
        <v>45542</v>
      </c>
      <c r="AA271" s="33">
        <v>45542</v>
      </c>
      <c r="AB271" s="30" t="s">
        <v>90</v>
      </c>
      <c r="AC271" s="30"/>
      <c r="AD271" s="30"/>
      <c r="AE271" s="30"/>
      <c r="AF271" s="30"/>
      <c r="AG271" s="30"/>
      <c r="AH271" s="30"/>
      <c r="AI271" s="30"/>
      <c r="AJ271" s="31">
        <f t="shared" si="26"/>
        <v>5787</v>
      </c>
      <c r="AK271" s="34">
        <f>49189500000/AJ271</f>
        <v>8500000</v>
      </c>
      <c r="AL271" s="31">
        <f t="shared" si="27"/>
        <v>5034</v>
      </c>
      <c r="AM271" s="34">
        <f>8263800000/AL271</f>
        <v>1641597.1394517282</v>
      </c>
      <c r="AN271" s="34">
        <v>1256262000</v>
      </c>
      <c r="AO271" s="34">
        <f t="shared" si="23"/>
        <v>58709562000</v>
      </c>
      <c r="AP271" s="30" t="s">
        <v>2421</v>
      </c>
      <c r="AQ271" s="30" t="s">
        <v>245</v>
      </c>
      <c r="AR271" s="30"/>
      <c r="AS271" s="30"/>
      <c r="AT271" s="30"/>
      <c r="AU271" s="30"/>
      <c r="AV271" s="35">
        <v>9000</v>
      </c>
      <c r="AW271" s="34">
        <v>7661333</v>
      </c>
      <c r="AX271" s="35">
        <v>4000</v>
      </c>
      <c r="AY271" s="34"/>
      <c r="AZ271" s="34">
        <v>90000000000</v>
      </c>
      <c r="BA271" s="32">
        <f>AV271*AW271+(1762000*AX271)</f>
        <v>75999997000</v>
      </c>
      <c r="BB271" s="30" t="s">
        <v>2422</v>
      </c>
      <c r="BC271" s="30" t="s">
        <v>81</v>
      </c>
      <c r="BD271" s="30" t="s">
        <v>2421</v>
      </c>
      <c r="BE271" s="30" t="s">
        <v>245</v>
      </c>
      <c r="BF271" s="30"/>
      <c r="BG271" s="30"/>
      <c r="BH271" s="30"/>
      <c r="BI271" s="30"/>
      <c r="BJ271" s="36">
        <v>3600</v>
      </c>
      <c r="BK271" s="34">
        <v>8261833</v>
      </c>
      <c r="BL271" s="36">
        <v>2700</v>
      </c>
      <c r="BM271" s="34"/>
      <c r="BN271" s="34">
        <v>40000000000</v>
      </c>
      <c r="BO271" s="32">
        <f>BJ271*BK271+(1762000*BL271)</f>
        <v>34499998800</v>
      </c>
      <c r="BP271" s="30" t="s">
        <v>2423</v>
      </c>
      <c r="BQ271" s="30" t="s">
        <v>81</v>
      </c>
      <c r="BR271" s="30" t="s">
        <v>2424</v>
      </c>
      <c r="BS271" s="30" t="s">
        <v>245</v>
      </c>
      <c r="BT271" s="30"/>
      <c r="BU271" s="30"/>
      <c r="BV271" s="30"/>
      <c r="BW271" s="30"/>
      <c r="BX271" s="36">
        <v>5558</v>
      </c>
      <c r="BY271" s="34">
        <v>8807485</v>
      </c>
      <c r="BZ271" s="36">
        <v>4000</v>
      </c>
      <c r="CA271" s="34"/>
      <c r="CB271" s="34">
        <v>69000000000</v>
      </c>
      <c r="CC271" s="32">
        <f>BX271*BY271+(1762000*BZ271)</f>
        <v>56000001630</v>
      </c>
      <c r="CD271" s="30" t="s">
        <v>2425</v>
      </c>
      <c r="CE271" s="30" t="s">
        <v>81</v>
      </c>
      <c r="CF271" s="30" t="s">
        <v>2426</v>
      </c>
      <c r="CG271" s="30"/>
      <c r="CH271" s="30"/>
      <c r="CI271" s="64"/>
      <c r="CJ271" s="64"/>
      <c r="CK271" s="64"/>
      <c r="CL271" s="64"/>
    </row>
    <row r="272" spans="2:90" ht="150" x14ac:dyDescent="0.25">
      <c r="B272" s="30" t="s">
        <v>2427</v>
      </c>
      <c r="C272" s="30" t="s">
        <v>2428</v>
      </c>
      <c r="D272" s="33">
        <v>45568</v>
      </c>
      <c r="E272" s="30" t="s">
        <v>2240</v>
      </c>
      <c r="F272" s="30" t="s">
        <v>93</v>
      </c>
      <c r="G272" s="30"/>
      <c r="H272" s="30" t="s">
        <v>245</v>
      </c>
      <c r="I272" s="35">
        <v>24000</v>
      </c>
      <c r="J272" s="30" t="s">
        <v>70</v>
      </c>
      <c r="K272" s="35">
        <v>14525</v>
      </c>
      <c r="L272" s="35"/>
      <c r="M272" s="30" t="s">
        <v>397</v>
      </c>
      <c r="N272" s="30"/>
      <c r="O272" s="30"/>
      <c r="P272" s="30"/>
      <c r="Q272" s="30" t="s">
        <v>2429</v>
      </c>
      <c r="R272" s="30" t="s">
        <v>2430</v>
      </c>
      <c r="S272" s="30" t="s">
        <v>2243</v>
      </c>
      <c r="T272" s="30" t="s">
        <v>2244</v>
      </c>
      <c r="U272" s="30" t="s">
        <v>229</v>
      </c>
      <c r="V272" s="30" t="s">
        <v>92</v>
      </c>
      <c r="W272" s="30" t="s">
        <v>72</v>
      </c>
      <c r="X272" s="30" t="s">
        <v>85</v>
      </c>
      <c r="Y272" s="30" t="s">
        <v>73</v>
      </c>
      <c r="Z272" s="33">
        <v>45544</v>
      </c>
      <c r="AA272" s="33">
        <v>45544</v>
      </c>
      <c r="AB272" s="30" t="s">
        <v>90</v>
      </c>
      <c r="AC272" s="30"/>
      <c r="AD272" s="30"/>
      <c r="AE272" s="30"/>
      <c r="AF272" s="30"/>
      <c r="AG272" s="30"/>
      <c r="AH272" s="30"/>
      <c r="AI272" s="30"/>
      <c r="AJ272" s="31">
        <f t="shared" si="26"/>
        <v>24000</v>
      </c>
      <c r="AK272" s="34">
        <f>52800000000/AJ272</f>
        <v>2200000</v>
      </c>
      <c r="AL272" s="31">
        <f t="shared" si="27"/>
        <v>14525</v>
      </c>
      <c r="AM272" s="34">
        <f>24113600000/AL272</f>
        <v>1660144.5783132531</v>
      </c>
      <c r="AN272" s="34">
        <v>2319577000</v>
      </c>
      <c r="AO272" s="34">
        <f t="shared" si="23"/>
        <v>79233177000</v>
      </c>
      <c r="AP272" s="30" t="s">
        <v>2431</v>
      </c>
      <c r="AQ272" s="30" t="s">
        <v>77</v>
      </c>
      <c r="AR272" s="30"/>
      <c r="AS272" s="30"/>
      <c r="AT272" s="30"/>
      <c r="AU272" s="30"/>
      <c r="AV272" s="35">
        <v>20000</v>
      </c>
      <c r="AW272" s="34">
        <v>2250000</v>
      </c>
      <c r="AX272" s="35"/>
      <c r="AY272" s="34"/>
      <c r="AZ272" s="34">
        <v>50000000000</v>
      </c>
      <c r="BA272" s="32">
        <f>AV272*AW272</f>
        <v>45000000000</v>
      </c>
      <c r="BB272" s="30" t="s">
        <v>2432</v>
      </c>
      <c r="BC272" s="30" t="s">
        <v>81</v>
      </c>
      <c r="BD272" s="30" t="s">
        <v>2433</v>
      </c>
      <c r="BE272" s="30" t="s">
        <v>77</v>
      </c>
      <c r="BF272" s="30"/>
      <c r="BG272" s="30"/>
      <c r="BH272" s="30"/>
      <c r="BI272" s="30"/>
      <c r="BJ272" s="36">
        <v>10898</v>
      </c>
      <c r="BK272" s="34">
        <v>2340000</v>
      </c>
      <c r="BL272" s="36"/>
      <c r="BM272" s="34"/>
      <c r="BN272" s="34">
        <v>28334800000</v>
      </c>
      <c r="BO272" s="32">
        <f t="shared" si="25"/>
        <v>25501320000</v>
      </c>
      <c r="BP272" s="30" t="s">
        <v>2434</v>
      </c>
      <c r="BQ272" s="30" t="s">
        <v>81</v>
      </c>
      <c r="BR272" s="30" t="s">
        <v>2435</v>
      </c>
      <c r="BS272" s="30" t="s">
        <v>77</v>
      </c>
      <c r="BT272" s="30"/>
      <c r="BU272" s="30"/>
      <c r="BV272" s="30"/>
      <c r="BW272" s="30"/>
      <c r="BX272" s="36">
        <v>35000</v>
      </c>
      <c r="BY272" s="34">
        <v>1700000</v>
      </c>
      <c r="BZ272" s="36"/>
      <c r="CA272" s="34"/>
      <c r="CB272" s="34">
        <v>66500000000</v>
      </c>
      <c r="CC272" s="32">
        <f t="shared" si="28"/>
        <v>59500000000</v>
      </c>
      <c r="CD272" s="30" t="s">
        <v>2436</v>
      </c>
      <c r="CE272" s="30" t="s">
        <v>81</v>
      </c>
      <c r="CF272" s="30" t="s">
        <v>218</v>
      </c>
      <c r="CG272" s="30"/>
      <c r="CH272" s="30"/>
      <c r="CI272" s="64"/>
      <c r="CJ272" s="64"/>
      <c r="CK272" s="64"/>
      <c r="CL272" s="64"/>
    </row>
    <row r="273" spans="2:90" ht="165" x14ac:dyDescent="0.25">
      <c r="B273" s="30" t="s">
        <v>2437</v>
      </c>
      <c r="C273" s="30" t="s">
        <v>2438</v>
      </c>
      <c r="D273" s="33">
        <v>45568</v>
      </c>
      <c r="E273" s="30" t="s">
        <v>2439</v>
      </c>
      <c r="F273" s="30" t="s">
        <v>93</v>
      </c>
      <c r="G273" s="30"/>
      <c r="H273" s="30" t="s">
        <v>245</v>
      </c>
      <c r="I273" s="35">
        <v>10150</v>
      </c>
      <c r="J273" s="30" t="s">
        <v>70</v>
      </c>
      <c r="K273" s="35">
        <v>5891</v>
      </c>
      <c r="L273" s="35"/>
      <c r="M273" s="30" t="s">
        <v>397</v>
      </c>
      <c r="N273" s="30"/>
      <c r="O273" s="30"/>
      <c r="P273" s="30"/>
      <c r="Q273" s="30" t="s">
        <v>2440</v>
      </c>
      <c r="R273" s="30" t="s">
        <v>2441</v>
      </c>
      <c r="S273" s="30" t="s">
        <v>2442</v>
      </c>
      <c r="T273" s="30" t="s">
        <v>2443</v>
      </c>
      <c r="U273" s="30" t="s">
        <v>150</v>
      </c>
      <c r="V273" s="30" t="s">
        <v>126</v>
      </c>
      <c r="W273" s="30" t="s">
        <v>72</v>
      </c>
      <c r="X273" s="30" t="s">
        <v>85</v>
      </c>
      <c r="Y273" s="30" t="s">
        <v>73</v>
      </c>
      <c r="Z273" s="33">
        <v>45545</v>
      </c>
      <c r="AA273" s="33">
        <v>45545</v>
      </c>
      <c r="AB273" s="30" t="s">
        <v>90</v>
      </c>
      <c r="AC273" s="30"/>
      <c r="AD273" s="30"/>
      <c r="AE273" s="30"/>
      <c r="AF273" s="30"/>
      <c r="AG273" s="30"/>
      <c r="AH273" s="30"/>
      <c r="AI273" s="30"/>
      <c r="AJ273" s="31">
        <f t="shared" si="26"/>
        <v>10150</v>
      </c>
      <c r="AK273" s="34">
        <f>76125000000/AJ273</f>
        <v>7500000</v>
      </c>
      <c r="AL273" s="31">
        <f t="shared" si="27"/>
        <v>5891</v>
      </c>
      <c r="AM273" s="34">
        <f>7821400000/AL273</f>
        <v>1327686.3011373281</v>
      </c>
      <c r="AN273" s="34">
        <v>890400000</v>
      </c>
      <c r="AO273" s="34">
        <f t="shared" si="23"/>
        <v>84836800000</v>
      </c>
      <c r="AP273" s="30" t="s">
        <v>2444</v>
      </c>
      <c r="AQ273" s="30" t="s">
        <v>148</v>
      </c>
      <c r="AR273" s="30"/>
      <c r="AS273" s="30"/>
      <c r="AT273" s="30"/>
      <c r="AU273" s="30"/>
      <c r="AV273" s="35">
        <v>8250</v>
      </c>
      <c r="AW273" s="34">
        <v>7719430</v>
      </c>
      <c r="AX273" s="35">
        <v>6000</v>
      </c>
      <c r="AY273" s="34"/>
      <c r="AZ273" s="34">
        <v>82500000000</v>
      </c>
      <c r="BA273" s="32">
        <f>AV273*AW273+(1052450*AX273)</f>
        <v>69999997500</v>
      </c>
      <c r="BB273" s="30" t="s">
        <v>2445</v>
      </c>
      <c r="BC273" s="30" t="s">
        <v>81</v>
      </c>
      <c r="BD273" s="30" t="s">
        <v>2444</v>
      </c>
      <c r="BE273" s="30" t="s">
        <v>148</v>
      </c>
      <c r="BF273" s="30"/>
      <c r="BG273" s="30"/>
      <c r="BH273" s="30"/>
      <c r="BI273" s="30"/>
      <c r="BJ273" s="36">
        <v>2464</v>
      </c>
      <c r="BK273" s="34">
        <v>8000748</v>
      </c>
      <c r="BL273" s="36">
        <v>1080</v>
      </c>
      <c r="BM273" s="34"/>
      <c r="BN273" s="34">
        <v>25000000000</v>
      </c>
      <c r="BO273" s="32">
        <f>BJ273*BK273+(1653850*BL273)</f>
        <v>21500001072</v>
      </c>
      <c r="BP273" s="30" t="s">
        <v>2446</v>
      </c>
      <c r="BQ273" s="30" t="s">
        <v>81</v>
      </c>
      <c r="BR273" s="30" t="s">
        <v>2447</v>
      </c>
      <c r="BS273" s="30" t="s">
        <v>77</v>
      </c>
      <c r="BT273" s="30"/>
      <c r="BU273" s="30"/>
      <c r="BV273" s="30"/>
      <c r="BW273" s="30"/>
      <c r="BX273" s="36">
        <v>7196</v>
      </c>
      <c r="BY273" s="34">
        <v>7300000</v>
      </c>
      <c r="BZ273" s="36"/>
      <c r="CA273" s="34"/>
      <c r="CB273" s="34">
        <v>59007200000</v>
      </c>
      <c r="CC273" s="32">
        <f t="shared" si="28"/>
        <v>52530800000</v>
      </c>
      <c r="CD273" s="30" t="s">
        <v>2448</v>
      </c>
      <c r="CE273" s="30" t="s">
        <v>81</v>
      </c>
      <c r="CF273" s="30" t="s">
        <v>196</v>
      </c>
      <c r="CG273" s="30"/>
      <c r="CH273" s="30"/>
      <c r="CI273" s="64"/>
      <c r="CJ273" s="64"/>
      <c r="CK273" s="64"/>
      <c r="CL273" s="64"/>
    </row>
    <row r="274" spans="2:90" ht="165" x14ac:dyDescent="0.25">
      <c r="B274" s="30" t="s">
        <v>2449</v>
      </c>
      <c r="C274" s="30" t="s">
        <v>2450</v>
      </c>
      <c r="D274" s="33">
        <v>45568</v>
      </c>
      <c r="E274" s="30" t="s">
        <v>2227</v>
      </c>
      <c r="F274" s="30" t="s">
        <v>93</v>
      </c>
      <c r="G274" s="30"/>
      <c r="H274" s="30" t="s">
        <v>245</v>
      </c>
      <c r="I274" s="35">
        <v>10050</v>
      </c>
      <c r="J274" s="30" t="s">
        <v>70</v>
      </c>
      <c r="K274" s="35">
        <v>9612</v>
      </c>
      <c r="L274" s="35"/>
      <c r="M274" s="30" t="s">
        <v>397</v>
      </c>
      <c r="N274" s="30"/>
      <c r="O274" s="30"/>
      <c r="P274" s="30"/>
      <c r="Q274" s="30" t="s">
        <v>152</v>
      </c>
      <c r="R274" s="30" t="s">
        <v>2451</v>
      </c>
      <c r="S274" s="30" t="s">
        <v>2452</v>
      </c>
      <c r="T274" s="30" t="s">
        <v>1574</v>
      </c>
      <c r="U274" s="30" t="s">
        <v>107</v>
      </c>
      <c r="V274" s="30" t="s">
        <v>92</v>
      </c>
      <c r="W274" s="30" t="s">
        <v>72</v>
      </c>
      <c r="X274" s="30" t="s">
        <v>85</v>
      </c>
      <c r="Y274" s="30" t="s">
        <v>73</v>
      </c>
      <c r="Z274" s="33">
        <v>45542</v>
      </c>
      <c r="AA274" s="33">
        <v>45542</v>
      </c>
      <c r="AB274" s="30" t="s">
        <v>90</v>
      </c>
      <c r="AC274" s="30"/>
      <c r="AD274" s="30"/>
      <c r="AE274" s="30"/>
      <c r="AF274" s="30"/>
      <c r="AG274" s="30"/>
      <c r="AH274" s="30"/>
      <c r="AI274" s="30"/>
      <c r="AJ274" s="31">
        <f t="shared" si="26"/>
        <v>10050</v>
      </c>
      <c r="AK274" s="34">
        <f>33165000000/AJ274</f>
        <v>3300000</v>
      </c>
      <c r="AL274" s="31">
        <f t="shared" si="27"/>
        <v>9612</v>
      </c>
      <c r="AM274" s="34">
        <f>12574200000/AL274</f>
        <v>1308177.2784019974</v>
      </c>
      <c r="AN274" s="34">
        <v>1188556000</v>
      </c>
      <c r="AO274" s="34">
        <f t="shared" si="23"/>
        <v>46927756000</v>
      </c>
      <c r="AP274" s="30" t="s">
        <v>2453</v>
      </c>
      <c r="AQ274" s="30" t="s">
        <v>245</v>
      </c>
      <c r="AR274" s="30"/>
      <c r="AS274" s="30"/>
      <c r="AT274" s="30"/>
      <c r="AU274" s="30"/>
      <c r="AV274" s="35">
        <v>20000</v>
      </c>
      <c r="AW274" s="34">
        <v>3056161</v>
      </c>
      <c r="AX274" s="35">
        <v>7392</v>
      </c>
      <c r="AY274" s="34"/>
      <c r="AZ274" s="34">
        <v>79450000000</v>
      </c>
      <c r="BA274" s="32">
        <f>AV274*AW274+(930300*AX274)</f>
        <v>67999997600</v>
      </c>
      <c r="BB274" s="30" t="s">
        <v>2454</v>
      </c>
      <c r="BC274" s="30" t="s">
        <v>81</v>
      </c>
      <c r="BD274" s="30" t="s">
        <v>2455</v>
      </c>
      <c r="BE274" s="30" t="s">
        <v>245</v>
      </c>
      <c r="BF274" s="30"/>
      <c r="BG274" s="30"/>
      <c r="BH274" s="30"/>
      <c r="BI274" s="30"/>
      <c r="BJ274" s="36">
        <v>11000</v>
      </c>
      <c r="BK274" s="34">
        <v>3320250</v>
      </c>
      <c r="BL274" s="36">
        <v>7500</v>
      </c>
      <c r="BM274" s="34"/>
      <c r="BN274" s="34">
        <v>50000000000</v>
      </c>
      <c r="BO274" s="32">
        <f>BJ274*BK274+(930300*BL274)</f>
        <v>43500000000</v>
      </c>
      <c r="BP274" s="30" t="s">
        <v>2456</v>
      </c>
      <c r="BQ274" s="30" t="s">
        <v>81</v>
      </c>
      <c r="BR274" s="30" t="s">
        <v>2457</v>
      </c>
      <c r="BS274" s="30" t="s">
        <v>245</v>
      </c>
      <c r="BT274" s="30"/>
      <c r="BU274" s="30"/>
      <c r="BV274" s="30"/>
      <c r="BW274" s="30"/>
      <c r="BX274" s="36">
        <v>22955</v>
      </c>
      <c r="BY274" s="34">
        <v>3019629</v>
      </c>
      <c r="BZ274" s="36">
        <v>10410</v>
      </c>
      <c r="CA274" s="34"/>
      <c r="CB274" s="34">
        <v>88000000000</v>
      </c>
      <c r="CC274" s="32">
        <f>BX274*BY274+(930300*BZ274)</f>
        <v>79000006695</v>
      </c>
      <c r="CD274" s="30" t="s">
        <v>2454</v>
      </c>
      <c r="CE274" s="30" t="s">
        <v>81</v>
      </c>
      <c r="CF274" s="30" t="s">
        <v>2426</v>
      </c>
      <c r="CG274" s="30"/>
      <c r="CH274" s="30"/>
      <c r="CI274" s="64"/>
      <c r="CJ274" s="64"/>
      <c r="CK274" s="64"/>
      <c r="CL274" s="64"/>
    </row>
    <row r="275" spans="2:90" ht="165" x14ac:dyDescent="0.25">
      <c r="B275" s="30" t="s">
        <v>2458</v>
      </c>
      <c r="C275" s="30" t="s">
        <v>2459</v>
      </c>
      <c r="D275" s="33">
        <v>45568</v>
      </c>
      <c r="E275" s="30" t="s">
        <v>93</v>
      </c>
      <c r="F275" s="30" t="s">
        <v>93</v>
      </c>
      <c r="G275" s="30"/>
      <c r="H275" s="30" t="s">
        <v>97</v>
      </c>
      <c r="I275" s="35">
        <v>176</v>
      </c>
      <c r="J275" s="30" t="s">
        <v>70</v>
      </c>
      <c r="K275" s="35">
        <v>166</v>
      </c>
      <c r="L275" s="35"/>
      <c r="M275" s="30"/>
      <c r="N275" s="30"/>
      <c r="O275" s="30"/>
      <c r="P275" s="30"/>
      <c r="Q275" s="30" t="s">
        <v>2460</v>
      </c>
      <c r="R275" s="30" t="s">
        <v>2461</v>
      </c>
      <c r="S275" s="30" t="s">
        <v>210</v>
      </c>
      <c r="T275" s="30" t="s">
        <v>1183</v>
      </c>
      <c r="U275" s="30" t="s">
        <v>124</v>
      </c>
      <c r="V275" s="30" t="s">
        <v>92</v>
      </c>
      <c r="W275" s="30" t="s">
        <v>72</v>
      </c>
      <c r="X275" s="30" t="s">
        <v>85</v>
      </c>
      <c r="Y275" s="30" t="s">
        <v>73</v>
      </c>
      <c r="Z275" s="33">
        <v>45562</v>
      </c>
      <c r="AA275" s="33">
        <v>45562</v>
      </c>
      <c r="AB275" s="30" t="s">
        <v>74</v>
      </c>
      <c r="AC275" s="30"/>
      <c r="AD275" s="30"/>
      <c r="AE275" s="30"/>
      <c r="AF275" s="30"/>
      <c r="AG275" s="30"/>
      <c r="AH275" s="30"/>
      <c r="AI275" s="30"/>
      <c r="AJ275" s="31">
        <f t="shared" si="26"/>
        <v>176</v>
      </c>
      <c r="AK275" s="34">
        <f>633600000/AJ275</f>
        <v>3600000</v>
      </c>
      <c r="AL275" s="31">
        <f t="shared" si="27"/>
        <v>166</v>
      </c>
      <c r="AM275" s="34">
        <f>236500000/AL275</f>
        <v>1424698.7951807228</v>
      </c>
      <c r="AN275" s="34"/>
      <c r="AO275" s="34">
        <f t="shared" si="23"/>
        <v>870100000</v>
      </c>
      <c r="AP275" s="30" t="s">
        <v>2462</v>
      </c>
      <c r="AQ275" s="30" t="s">
        <v>83</v>
      </c>
      <c r="AR275" s="30"/>
      <c r="AS275" s="30"/>
      <c r="AT275" s="30"/>
      <c r="AU275" s="30"/>
      <c r="AV275" s="35">
        <v>120</v>
      </c>
      <c r="AW275" s="34">
        <v>3570000</v>
      </c>
      <c r="AX275" s="35">
        <v>100</v>
      </c>
      <c r="AY275" s="34"/>
      <c r="AZ275" s="34">
        <v>650000000</v>
      </c>
      <c r="BA275" s="32">
        <f>AV275*AW275+(1466000*AX275)</f>
        <v>575000000</v>
      </c>
      <c r="BB275" s="30" t="s">
        <v>2463</v>
      </c>
      <c r="BC275" s="30" t="s">
        <v>81</v>
      </c>
      <c r="BD275" s="30" t="s">
        <v>2464</v>
      </c>
      <c r="BE275" s="30" t="s">
        <v>83</v>
      </c>
      <c r="BF275" s="30"/>
      <c r="BG275" s="30"/>
      <c r="BH275" s="30"/>
      <c r="BI275" s="30"/>
      <c r="BJ275" s="36">
        <v>84</v>
      </c>
      <c r="BK275" s="34">
        <v>3478857</v>
      </c>
      <c r="BL275" s="36">
        <v>60</v>
      </c>
      <c r="BM275" s="34"/>
      <c r="BN275" s="34">
        <v>375000000</v>
      </c>
      <c r="BO275" s="32">
        <f>BJ275*BK275+(879600*BL275)</f>
        <v>344999988</v>
      </c>
      <c r="BP275" s="30" t="s">
        <v>2465</v>
      </c>
      <c r="BQ275" s="30" t="s">
        <v>81</v>
      </c>
      <c r="BR275" s="30" t="s">
        <v>2466</v>
      </c>
      <c r="BS275" s="30" t="s">
        <v>83</v>
      </c>
      <c r="BT275" s="30"/>
      <c r="BU275" s="30"/>
      <c r="BV275" s="30"/>
      <c r="BW275" s="30"/>
      <c r="BX275" s="36">
        <v>98</v>
      </c>
      <c r="BY275" s="34">
        <v>3694286</v>
      </c>
      <c r="BZ275" s="36">
        <v>75</v>
      </c>
      <c r="CA275" s="34"/>
      <c r="CB275" s="34">
        <v>500000000</v>
      </c>
      <c r="CC275" s="32">
        <f>BX275*BY275+(1172800*BZ275)</f>
        <v>450000028</v>
      </c>
      <c r="CD275" s="30" t="s">
        <v>2467</v>
      </c>
      <c r="CE275" s="30" t="s">
        <v>81</v>
      </c>
      <c r="CF275" s="30" t="s">
        <v>379</v>
      </c>
      <c r="CG275" s="30"/>
      <c r="CH275" s="30"/>
      <c r="CI275" s="64"/>
      <c r="CJ275" s="64"/>
      <c r="CK275" s="64"/>
      <c r="CL275" s="64"/>
    </row>
    <row r="276" spans="2:90" ht="150" x14ac:dyDescent="0.25">
      <c r="B276" s="30" t="s">
        <v>2468</v>
      </c>
      <c r="C276" s="30" t="s">
        <v>2469</v>
      </c>
      <c r="D276" s="33">
        <v>45573</v>
      </c>
      <c r="E276" s="30" t="s">
        <v>2227</v>
      </c>
      <c r="F276" s="30" t="s">
        <v>93</v>
      </c>
      <c r="G276" s="30"/>
      <c r="H276" s="30" t="s">
        <v>245</v>
      </c>
      <c r="I276" s="35">
        <v>26125</v>
      </c>
      <c r="J276" s="30" t="s">
        <v>70</v>
      </c>
      <c r="K276" s="35">
        <v>23654</v>
      </c>
      <c r="L276" s="35"/>
      <c r="M276" s="30" t="s">
        <v>397</v>
      </c>
      <c r="N276" s="30"/>
      <c r="O276" s="30"/>
      <c r="P276" s="30"/>
      <c r="Q276" s="30" t="s">
        <v>2418</v>
      </c>
      <c r="R276" s="30" t="s">
        <v>2470</v>
      </c>
      <c r="S276" s="30" t="s">
        <v>2420</v>
      </c>
      <c r="T276" s="30" t="s">
        <v>269</v>
      </c>
      <c r="U276" s="30" t="s">
        <v>164</v>
      </c>
      <c r="V276" s="30" t="s">
        <v>84</v>
      </c>
      <c r="W276" s="30" t="s">
        <v>72</v>
      </c>
      <c r="X276" s="30" t="s">
        <v>85</v>
      </c>
      <c r="Y276" s="30" t="s">
        <v>73</v>
      </c>
      <c r="Z276" s="33">
        <v>45542</v>
      </c>
      <c r="AA276" s="33">
        <v>45542</v>
      </c>
      <c r="AB276" s="30" t="s">
        <v>90</v>
      </c>
      <c r="AC276" s="30"/>
      <c r="AD276" s="30"/>
      <c r="AE276" s="30"/>
      <c r="AF276" s="30"/>
      <c r="AG276" s="30"/>
      <c r="AH276" s="30"/>
      <c r="AI276" s="30"/>
      <c r="AJ276" s="31">
        <f t="shared" si="26"/>
        <v>26125</v>
      </c>
      <c r="AK276" s="34">
        <f>199856250000/AJ276</f>
        <v>7650000</v>
      </c>
      <c r="AL276" s="31">
        <f t="shared" si="27"/>
        <v>23654</v>
      </c>
      <c r="AM276" s="34">
        <f>28672500000/AL276</f>
        <v>1212162.8477213157</v>
      </c>
      <c r="AN276" s="34">
        <v>4366450000</v>
      </c>
      <c r="AO276" s="34">
        <f t="shared" si="23"/>
        <v>232895200000</v>
      </c>
      <c r="AP276" s="30" t="s">
        <v>2421</v>
      </c>
      <c r="AQ276" s="30" t="s">
        <v>245</v>
      </c>
      <c r="AR276" s="30"/>
      <c r="AS276" s="30"/>
      <c r="AT276" s="30"/>
      <c r="AU276" s="30"/>
      <c r="AV276" s="35">
        <v>32000</v>
      </c>
      <c r="AW276" s="34">
        <v>7421844</v>
      </c>
      <c r="AX276" s="35">
        <v>21000</v>
      </c>
      <c r="AY276" s="34"/>
      <c r="AZ276" s="34">
        <v>288000000000</v>
      </c>
      <c r="BA276" s="32">
        <f>AV276*AW276+(881000*AX276)</f>
        <v>256000008000</v>
      </c>
      <c r="BB276" s="30" t="s">
        <v>2471</v>
      </c>
      <c r="BC276" s="30" t="s">
        <v>81</v>
      </c>
      <c r="BD276" s="30" t="s">
        <v>2472</v>
      </c>
      <c r="BE276" s="30" t="s">
        <v>245</v>
      </c>
      <c r="BF276" s="30"/>
      <c r="BG276" s="30"/>
      <c r="BH276" s="30"/>
      <c r="BI276" s="30"/>
      <c r="BJ276" s="36">
        <v>3600</v>
      </c>
      <c r="BK276" s="34">
        <v>8261833</v>
      </c>
      <c r="BL276" s="36">
        <v>2700</v>
      </c>
      <c r="BM276" s="34"/>
      <c r="BN276" s="34">
        <v>40000000000</v>
      </c>
      <c r="BO276" s="32">
        <f>BJ276*BK276+(1762000*BL276)</f>
        <v>34499998800</v>
      </c>
      <c r="BP276" s="30" t="s">
        <v>2423</v>
      </c>
      <c r="BQ276" s="30" t="s">
        <v>81</v>
      </c>
      <c r="BR276" s="30" t="s">
        <v>2473</v>
      </c>
      <c r="BS276" s="30" t="s">
        <v>245</v>
      </c>
      <c r="BT276" s="30"/>
      <c r="BU276" s="30"/>
      <c r="BV276" s="30"/>
      <c r="BW276" s="30"/>
      <c r="BX276" s="36">
        <v>5558</v>
      </c>
      <c r="BY276" s="34">
        <v>8807485</v>
      </c>
      <c r="BZ276" s="36">
        <v>4000</v>
      </c>
      <c r="CA276" s="34"/>
      <c r="CB276" s="34">
        <v>69000000000</v>
      </c>
      <c r="CC276" s="32">
        <f>BX276*BY276+(1762000*BZ276)</f>
        <v>56000001630</v>
      </c>
      <c r="CD276" s="30" t="s">
        <v>2425</v>
      </c>
      <c r="CE276" s="30" t="s">
        <v>81</v>
      </c>
      <c r="CF276" s="30" t="s">
        <v>2426</v>
      </c>
      <c r="CG276" s="30"/>
      <c r="CH276" s="30"/>
      <c r="CI276" s="64"/>
      <c r="CJ276" s="64"/>
      <c r="CK276" s="64"/>
      <c r="CL276" s="64"/>
    </row>
    <row r="277" spans="2:90" ht="120" x14ac:dyDescent="0.25">
      <c r="B277" s="30" t="s">
        <v>2474</v>
      </c>
      <c r="C277" s="30" t="s">
        <v>2475</v>
      </c>
      <c r="D277" s="33">
        <v>45573</v>
      </c>
      <c r="E277" s="30" t="s">
        <v>2227</v>
      </c>
      <c r="F277" s="30" t="s">
        <v>93</v>
      </c>
      <c r="G277" s="30"/>
      <c r="H277" s="30" t="s">
        <v>77</v>
      </c>
      <c r="I277" s="35">
        <v>55266</v>
      </c>
      <c r="J277" s="30" t="s">
        <v>70</v>
      </c>
      <c r="K277" s="35"/>
      <c r="L277" s="35"/>
      <c r="M277" s="30"/>
      <c r="N277" s="30"/>
      <c r="O277" s="30"/>
      <c r="P277" s="30"/>
      <c r="Q277" s="30"/>
      <c r="R277" s="30" t="s">
        <v>2476</v>
      </c>
      <c r="S277" s="30" t="s">
        <v>2477</v>
      </c>
      <c r="T277" s="30" t="s">
        <v>2478</v>
      </c>
      <c r="U277" s="30" t="s">
        <v>107</v>
      </c>
      <c r="V277" s="30" t="s">
        <v>92</v>
      </c>
      <c r="W277" s="30" t="s">
        <v>72</v>
      </c>
      <c r="X277" s="30" t="s">
        <v>85</v>
      </c>
      <c r="Y277" s="30" t="s">
        <v>73</v>
      </c>
      <c r="Z277" s="33">
        <v>45542</v>
      </c>
      <c r="AA277" s="33">
        <v>45542</v>
      </c>
      <c r="AB277" s="30" t="s">
        <v>90</v>
      </c>
      <c r="AC277" s="30"/>
      <c r="AD277" s="30"/>
      <c r="AE277" s="30"/>
      <c r="AF277" s="30"/>
      <c r="AG277" s="30"/>
      <c r="AH277" s="30"/>
      <c r="AI277" s="30"/>
      <c r="AJ277" s="31">
        <f t="shared" si="26"/>
        <v>55266</v>
      </c>
      <c r="AK277" s="34">
        <f>121585200000/AJ277</f>
        <v>2200000</v>
      </c>
      <c r="AL277" s="31">
        <f t="shared" si="27"/>
        <v>0</v>
      </c>
      <c r="AM277" s="34"/>
      <c r="AN277" s="34"/>
      <c r="AO277" s="34">
        <f t="shared" si="23"/>
        <v>121585200000</v>
      </c>
      <c r="AP277" s="30" t="s">
        <v>2479</v>
      </c>
      <c r="AQ277" s="30" t="s">
        <v>77</v>
      </c>
      <c r="AR277" s="30"/>
      <c r="AS277" s="30"/>
      <c r="AT277" s="30"/>
      <c r="AU277" s="30"/>
      <c r="AV277" s="35">
        <v>37000</v>
      </c>
      <c r="AW277" s="34">
        <v>2450000</v>
      </c>
      <c r="AX277" s="35"/>
      <c r="AY277" s="34"/>
      <c r="AZ277" s="34">
        <v>111000000000</v>
      </c>
      <c r="BA277" s="32">
        <f>AV277*AW277</f>
        <v>90650000000</v>
      </c>
      <c r="BB277" s="30" t="s">
        <v>2480</v>
      </c>
      <c r="BC277" s="30" t="s">
        <v>81</v>
      </c>
      <c r="BD277" s="30" t="s">
        <v>2479</v>
      </c>
      <c r="BE277" s="30" t="s">
        <v>77</v>
      </c>
      <c r="BF277" s="30"/>
      <c r="BG277" s="30"/>
      <c r="BH277" s="30"/>
      <c r="BI277" s="30"/>
      <c r="BJ277" s="36">
        <v>10220</v>
      </c>
      <c r="BK277" s="34">
        <v>3750000</v>
      </c>
      <c r="BL277" s="36"/>
      <c r="BM277" s="34"/>
      <c r="BN277" s="34">
        <v>45990000000</v>
      </c>
      <c r="BO277" s="32">
        <f t="shared" si="25"/>
        <v>38325000000</v>
      </c>
      <c r="BP277" s="30" t="s">
        <v>2481</v>
      </c>
      <c r="BQ277" s="30" t="s">
        <v>81</v>
      </c>
      <c r="BR277" s="30" t="s">
        <v>2479</v>
      </c>
      <c r="BS277" s="30" t="s">
        <v>77</v>
      </c>
      <c r="BT277" s="30"/>
      <c r="BU277" s="30"/>
      <c r="BV277" s="30"/>
      <c r="BW277" s="30"/>
      <c r="BX277" s="36">
        <v>13000</v>
      </c>
      <c r="BY277" s="34">
        <v>3750000</v>
      </c>
      <c r="BZ277" s="36"/>
      <c r="CA277" s="34"/>
      <c r="CB277" s="34">
        <v>58500000000</v>
      </c>
      <c r="CC277" s="32">
        <f t="shared" si="28"/>
        <v>48750000000</v>
      </c>
      <c r="CD277" s="30" t="s">
        <v>2482</v>
      </c>
      <c r="CE277" s="30" t="s">
        <v>81</v>
      </c>
      <c r="CF277" s="30" t="s">
        <v>2426</v>
      </c>
      <c r="CG277" s="30"/>
      <c r="CH277" s="30"/>
      <c r="CI277" s="64"/>
      <c r="CJ277" s="64"/>
      <c r="CK277" s="64"/>
      <c r="CL277" s="64"/>
    </row>
    <row r="278" spans="2:90" ht="165" x14ac:dyDescent="0.25">
      <c r="B278" s="54" t="s">
        <v>2483</v>
      </c>
      <c r="C278" s="54" t="s">
        <v>2484</v>
      </c>
      <c r="D278" s="67">
        <v>45574</v>
      </c>
      <c r="E278" s="54" t="s">
        <v>82</v>
      </c>
      <c r="F278" s="54" t="s">
        <v>82</v>
      </c>
      <c r="G278" s="30"/>
      <c r="H278" s="54" t="s">
        <v>83</v>
      </c>
      <c r="I278" s="35">
        <v>9142</v>
      </c>
      <c r="J278" s="54" t="s">
        <v>70</v>
      </c>
      <c r="K278" s="35">
        <v>961</v>
      </c>
      <c r="L278" s="35"/>
      <c r="M278" s="30"/>
      <c r="N278" s="30"/>
      <c r="O278" s="30"/>
      <c r="P278" s="30"/>
      <c r="Q278" s="30" t="s">
        <v>2485</v>
      </c>
      <c r="R278" s="30" t="s">
        <v>2486</v>
      </c>
      <c r="S278" s="30" t="s">
        <v>2487</v>
      </c>
      <c r="T278" s="30" t="s">
        <v>2488</v>
      </c>
      <c r="U278" s="54" t="s">
        <v>107</v>
      </c>
      <c r="V278" s="54" t="s">
        <v>92</v>
      </c>
      <c r="W278" s="54" t="s">
        <v>72</v>
      </c>
      <c r="X278" s="54" t="s">
        <v>85</v>
      </c>
      <c r="Y278" s="54" t="s">
        <v>73</v>
      </c>
      <c r="Z278" s="67">
        <v>45553</v>
      </c>
      <c r="AA278" s="67">
        <v>45553</v>
      </c>
      <c r="AB278" s="54" t="s">
        <v>90</v>
      </c>
      <c r="AC278" s="30"/>
      <c r="AD278" s="30"/>
      <c r="AE278" s="30"/>
      <c r="AF278" s="30"/>
      <c r="AG278" s="30"/>
      <c r="AH278" s="30"/>
      <c r="AI278" s="30"/>
      <c r="AJ278" s="31">
        <f t="shared" si="26"/>
        <v>9142</v>
      </c>
      <c r="AK278" s="34">
        <f>8949000000/AJ278</f>
        <v>978888.64581054472</v>
      </c>
      <c r="AL278" s="31">
        <f t="shared" si="27"/>
        <v>961</v>
      </c>
      <c r="AM278" s="34">
        <f>4263800000/AL278</f>
        <v>4436836.6285119671</v>
      </c>
      <c r="AN278" s="34">
        <v>93239000</v>
      </c>
      <c r="AO278" s="34">
        <f t="shared" si="23"/>
        <v>13306039000</v>
      </c>
      <c r="AP278" s="30" t="s">
        <v>2489</v>
      </c>
      <c r="AQ278" s="30" t="s">
        <v>83</v>
      </c>
      <c r="AR278" s="30"/>
      <c r="AS278" s="30"/>
      <c r="AT278" s="30"/>
      <c r="AU278" s="30"/>
      <c r="AV278" s="35">
        <v>308</v>
      </c>
      <c r="AW278" s="34">
        <v>10147303</v>
      </c>
      <c r="AX278" s="35">
        <v>524</v>
      </c>
      <c r="AY278" s="34"/>
      <c r="AZ278" s="34">
        <v>6500000000</v>
      </c>
      <c r="BA278" s="32">
        <f>AV278*AW278+(4535200*AX278)</f>
        <v>5501814124</v>
      </c>
      <c r="BB278" s="30" t="s">
        <v>2490</v>
      </c>
      <c r="BC278" s="30" t="s">
        <v>81</v>
      </c>
      <c r="BD278" s="30" t="s">
        <v>2491</v>
      </c>
      <c r="BE278" s="30" t="s">
        <v>77</v>
      </c>
      <c r="BF278" s="30"/>
      <c r="BG278" s="30"/>
      <c r="BH278" s="30"/>
      <c r="BI278" s="30"/>
      <c r="BJ278" s="36">
        <v>308</v>
      </c>
      <c r="BK278" s="34">
        <v>9000000</v>
      </c>
      <c r="BL278" s="36"/>
      <c r="BM278" s="34"/>
      <c r="BN278" s="34">
        <v>3080000000</v>
      </c>
      <c r="BO278" s="32">
        <f t="shared" si="25"/>
        <v>2772000000</v>
      </c>
      <c r="BP278" s="30" t="s">
        <v>238</v>
      </c>
      <c r="BQ278" s="30" t="s">
        <v>81</v>
      </c>
      <c r="BR278" s="30" t="s">
        <v>2491</v>
      </c>
      <c r="BS278" s="30" t="s">
        <v>83</v>
      </c>
      <c r="BT278" s="30"/>
      <c r="BU278" s="30"/>
      <c r="BV278" s="30"/>
      <c r="BW278" s="30"/>
      <c r="BX278" s="36">
        <v>361</v>
      </c>
      <c r="BY278" s="34">
        <v>9946540</v>
      </c>
      <c r="BZ278" s="36">
        <v>542</v>
      </c>
      <c r="CA278" s="34"/>
      <c r="CB278" s="34">
        <v>7300000000</v>
      </c>
      <c r="CC278" s="32">
        <f>BX278*BY278+(4818650*BZ278)</f>
        <v>6202409240</v>
      </c>
      <c r="CD278" s="30" t="s">
        <v>2492</v>
      </c>
      <c r="CE278" s="30" t="s">
        <v>81</v>
      </c>
      <c r="CF278" s="54" t="s">
        <v>225</v>
      </c>
      <c r="CG278" s="30"/>
      <c r="CH278" s="30"/>
      <c r="CI278" s="64"/>
      <c r="CJ278" s="64"/>
      <c r="CK278" s="64"/>
      <c r="CL278" s="64"/>
    </row>
    <row r="279" spans="2:90" ht="165" x14ac:dyDescent="0.25">
      <c r="B279" s="57"/>
      <c r="C279" s="57"/>
      <c r="D279" s="68"/>
      <c r="E279" s="57"/>
      <c r="F279" s="57"/>
      <c r="G279" s="30"/>
      <c r="H279" s="57"/>
      <c r="I279" s="35">
        <v>202</v>
      </c>
      <c r="J279" s="57"/>
      <c r="K279" s="35">
        <v>182</v>
      </c>
      <c r="L279" s="35"/>
      <c r="M279" s="30"/>
      <c r="N279" s="30"/>
      <c r="O279" s="30"/>
      <c r="P279" s="30"/>
      <c r="Q279" s="30" t="s">
        <v>2493</v>
      </c>
      <c r="R279" s="30" t="s">
        <v>2494</v>
      </c>
      <c r="S279" s="30" t="s">
        <v>2495</v>
      </c>
      <c r="T279" s="30" t="s">
        <v>2496</v>
      </c>
      <c r="U279" s="57"/>
      <c r="V279" s="57"/>
      <c r="W279" s="57"/>
      <c r="X279" s="57"/>
      <c r="Y279" s="57"/>
      <c r="Z279" s="68"/>
      <c r="AA279" s="68"/>
      <c r="AB279" s="57"/>
      <c r="AC279" s="30"/>
      <c r="AD279" s="30"/>
      <c r="AE279" s="30"/>
      <c r="AF279" s="30"/>
      <c r="AG279" s="30"/>
      <c r="AH279" s="30"/>
      <c r="AI279" s="30"/>
      <c r="AJ279" s="31">
        <f t="shared" si="26"/>
        <v>202</v>
      </c>
      <c r="AK279" s="34">
        <f>1999800000/AJ279</f>
        <v>9900000</v>
      </c>
      <c r="AL279" s="31">
        <f t="shared" si="27"/>
        <v>182</v>
      </c>
      <c r="AM279" s="34">
        <f>533500000/AL279</f>
        <v>2931318.6813186812</v>
      </c>
      <c r="AN279" s="34"/>
      <c r="AO279" s="34">
        <f t="shared" si="23"/>
        <v>2533300000</v>
      </c>
      <c r="AP279" s="30" t="s">
        <v>2497</v>
      </c>
      <c r="AQ279" s="30" t="s">
        <v>83</v>
      </c>
      <c r="AR279" s="30"/>
      <c r="AS279" s="30"/>
      <c r="AT279" s="30"/>
      <c r="AU279" s="30"/>
      <c r="AV279" s="35">
        <v>227</v>
      </c>
      <c r="AW279" s="34">
        <v>9769513</v>
      </c>
      <c r="AX279" s="35">
        <v>153</v>
      </c>
      <c r="AY279" s="34"/>
      <c r="AZ279" s="34">
        <v>3200000000</v>
      </c>
      <c r="BA279" s="32">
        <f>AV279*AW279+(2825625*AX279)</f>
        <v>2650000076</v>
      </c>
      <c r="BB279" s="30" t="s">
        <v>2498</v>
      </c>
      <c r="BC279" s="30" t="s">
        <v>81</v>
      </c>
      <c r="BD279" s="30" t="s">
        <v>2499</v>
      </c>
      <c r="BE279" s="30" t="s">
        <v>83</v>
      </c>
      <c r="BF279" s="30"/>
      <c r="BG279" s="30"/>
      <c r="BH279" s="30"/>
      <c r="BI279" s="30"/>
      <c r="BJ279" s="36">
        <v>153</v>
      </c>
      <c r="BK279" s="34">
        <v>9928264</v>
      </c>
      <c r="BL279" s="36">
        <v>241</v>
      </c>
      <c r="BM279" s="34"/>
      <c r="BN279" s="34">
        <v>2500000000</v>
      </c>
      <c r="BO279" s="32">
        <f>BJ279*BK279+(2825625*BL279)</f>
        <v>2200000017</v>
      </c>
      <c r="BP279" s="30" t="s">
        <v>2500</v>
      </c>
      <c r="BQ279" s="30" t="s">
        <v>81</v>
      </c>
      <c r="BR279" s="30" t="s">
        <v>2501</v>
      </c>
      <c r="BS279" s="30" t="s">
        <v>83</v>
      </c>
      <c r="BT279" s="30"/>
      <c r="BU279" s="30"/>
      <c r="BV279" s="30"/>
      <c r="BW279" s="30"/>
      <c r="BX279" s="36">
        <v>153</v>
      </c>
      <c r="BY279" s="34">
        <v>9839085</v>
      </c>
      <c r="BZ279" s="36">
        <v>352</v>
      </c>
      <c r="CA279" s="34"/>
      <c r="CB279" s="34">
        <v>3000000000</v>
      </c>
      <c r="CC279" s="32">
        <f>BX279*BY279+(2825625*BZ279)</f>
        <v>2500000005</v>
      </c>
      <c r="CD279" s="30" t="s">
        <v>2502</v>
      </c>
      <c r="CE279" s="30" t="s">
        <v>81</v>
      </c>
      <c r="CF279" s="57"/>
      <c r="CG279" s="30"/>
      <c r="CH279" s="30"/>
      <c r="CI279" s="64"/>
      <c r="CJ279" s="64"/>
      <c r="CK279" s="64"/>
      <c r="CL279" s="64"/>
    </row>
    <row r="280" spans="2:90" ht="150" x14ac:dyDescent="0.25">
      <c r="B280" s="57"/>
      <c r="C280" s="57"/>
      <c r="D280" s="68"/>
      <c r="E280" s="57"/>
      <c r="F280" s="57"/>
      <c r="G280" s="30"/>
      <c r="H280" s="58"/>
      <c r="I280" s="35">
        <v>180</v>
      </c>
      <c r="J280" s="57"/>
      <c r="K280" s="35">
        <v>116</v>
      </c>
      <c r="L280" s="35"/>
      <c r="M280" s="30"/>
      <c r="N280" s="30"/>
      <c r="O280" s="30"/>
      <c r="P280" s="30"/>
      <c r="Q280" s="30" t="s">
        <v>2503</v>
      </c>
      <c r="R280" s="30" t="s">
        <v>2504</v>
      </c>
      <c r="S280" s="30" t="s">
        <v>2505</v>
      </c>
      <c r="T280" s="30" t="s">
        <v>1574</v>
      </c>
      <c r="U280" s="57"/>
      <c r="V280" s="57"/>
      <c r="W280" s="57"/>
      <c r="X280" s="57"/>
      <c r="Y280" s="57"/>
      <c r="Z280" s="68"/>
      <c r="AA280" s="68"/>
      <c r="AB280" s="57"/>
      <c r="AC280" s="30"/>
      <c r="AD280" s="30"/>
      <c r="AE280" s="30"/>
      <c r="AF280" s="30"/>
      <c r="AG280" s="30"/>
      <c r="AH280" s="30"/>
      <c r="AI280" s="30"/>
      <c r="AJ280" s="31">
        <f t="shared" si="26"/>
        <v>180</v>
      </c>
      <c r="AK280" s="34">
        <f>936000000/AJ280</f>
        <v>5200000</v>
      </c>
      <c r="AL280" s="31">
        <f t="shared" si="27"/>
        <v>116</v>
      </c>
      <c r="AM280" s="34">
        <f>187700000/AL280</f>
        <v>1618103.448275862</v>
      </c>
      <c r="AN280" s="34"/>
      <c r="AO280" s="34">
        <f t="shared" si="23"/>
        <v>1123700000</v>
      </c>
      <c r="AP280" s="30" t="s">
        <v>2506</v>
      </c>
      <c r="AQ280" s="30" t="s">
        <v>83</v>
      </c>
      <c r="AR280" s="30"/>
      <c r="AS280" s="30"/>
      <c r="AT280" s="30"/>
      <c r="AU280" s="30"/>
      <c r="AV280" s="35">
        <v>180</v>
      </c>
      <c r="AW280" s="34">
        <v>5261317</v>
      </c>
      <c r="AX280" s="35">
        <v>135</v>
      </c>
      <c r="AY280" s="34"/>
      <c r="AZ280" s="34">
        <v>1500000000</v>
      </c>
      <c r="BA280" s="32">
        <f>AV280*AW280+(1873800*AX280)</f>
        <v>1200000060</v>
      </c>
      <c r="BB280" s="30" t="s">
        <v>2507</v>
      </c>
      <c r="BC280" s="30" t="s">
        <v>81</v>
      </c>
      <c r="BD280" s="30" t="s">
        <v>2508</v>
      </c>
      <c r="BE280" s="30" t="s">
        <v>83</v>
      </c>
      <c r="BF280" s="30"/>
      <c r="BG280" s="30"/>
      <c r="BH280" s="30"/>
      <c r="BI280" s="30"/>
      <c r="BJ280" s="36">
        <v>300</v>
      </c>
      <c r="BK280" s="34">
        <v>5084427</v>
      </c>
      <c r="BL280" s="36">
        <v>220</v>
      </c>
      <c r="BM280" s="34"/>
      <c r="BN280" s="34">
        <v>2500000000</v>
      </c>
      <c r="BO280" s="32">
        <f>BJ280*BK280+(2157600*BL280)</f>
        <v>2000000100</v>
      </c>
      <c r="BP280" s="30" t="s">
        <v>2509</v>
      </c>
      <c r="BQ280" s="30" t="s">
        <v>81</v>
      </c>
      <c r="BR280" s="30" t="s">
        <v>2510</v>
      </c>
      <c r="BS280" s="30" t="s">
        <v>83</v>
      </c>
      <c r="BT280" s="30"/>
      <c r="BU280" s="30"/>
      <c r="BV280" s="30"/>
      <c r="BW280" s="30"/>
      <c r="BX280" s="36">
        <v>180</v>
      </c>
      <c r="BY280" s="34">
        <v>5213071</v>
      </c>
      <c r="BZ280" s="36">
        <v>65</v>
      </c>
      <c r="CA280" s="34"/>
      <c r="CB280" s="34">
        <v>1200000000</v>
      </c>
      <c r="CC280" s="32">
        <f>BX280*BY280+(1717650*BZ280)</f>
        <v>1050000030</v>
      </c>
      <c r="CD280" s="30" t="s">
        <v>2511</v>
      </c>
      <c r="CE280" s="30" t="s">
        <v>81</v>
      </c>
      <c r="CF280" s="57"/>
      <c r="CG280" s="30"/>
      <c r="CH280" s="30"/>
      <c r="CI280" s="64"/>
      <c r="CJ280" s="64"/>
      <c r="CK280" s="64"/>
      <c r="CL280" s="64"/>
    </row>
    <row r="281" spans="2:90" ht="30" x14ac:dyDescent="0.25">
      <c r="B281" s="57"/>
      <c r="C281" s="57"/>
      <c r="D281" s="68"/>
      <c r="E281" s="57"/>
      <c r="F281" s="57"/>
      <c r="G281" s="30"/>
      <c r="H281" s="54" t="s">
        <v>101</v>
      </c>
      <c r="I281" s="35">
        <v>60</v>
      </c>
      <c r="J281" s="57"/>
      <c r="K281" s="35">
        <v>110</v>
      </c>
      <c r="L281" s="35"/>
      <c r="M281" s="30"/>
      <c r="N281" s="30"/>
      <c r="O281" s="30"/>
      <c r="P281" s="30"/>
      <c r="Q281" s="30" t="s">
        <v>2512</v>
      </c>
      <c r="R281" s="30" t="s">
        <v>2513</v>
      </c>
      <c r="S281" s="54" t="s">
        <v>2514</v>
      </c>
      <c r="T281" s="54" t="s">
        <v>2488</v>
      </c>
      <c r="U281" s="57"/>
      <c r="V281" s="57"/>
      <c r="W281" s="57"/>
      <c r="X281" s="57"/>
      <c r="Y281" s="57"/>
      <c r="Z281" s="68"/>
      <c r="AA281" s="68"/>
      <c r="AB281" s="57"/>
      <c r="AC281" s="30"/>
      <c r="AD281" s="30"/>
      <c r="AE281" s="30"/>
      <c r="AF281" s="30"/>
      <c r="AG281" s="30"/>
      <c r="AH281" s="30"/>
      <c r="AI281" s="30"/>
      <c r="AJ281" s="31">
        <f t="shared" si="26"/>
        <v>60</v>
      </c>
      <c r="AK281" s="34">
        <v>17056000</v>
      </c>
      <c r="AL281" s="31">
        <f t="shared" si="27"/>
        <v>110</v>
      </c>
      <c r="AM281" s="34">
        <f>1289743590/AL281</f>
        <v>11724941.727272727</v>
      </c>
      <c r="AN281" s="34"/>
      <c r="AO281" s="51">
        <f>(AL281*AM281)+AN281</f>
        <v>1289743590</v>
      </c>
      <c r="AP281" s="54" t="s">
        <v>2515</v>
      </c>
      <c r="AQ281" s="54" t="s">
        <v>101</v>
      </c>
      <c r="AR281" s="30"/>
      <c r="AS281" s="30"/>
      <c r="AT281" s="30"/>
      <c r="AU281" s="30"/>
      <c r="AV281" s="86">
        <v>60</v>
      </c>
      <c r="AW281" s="51">
        <v>17222667</v>
      </c>
      <c r="AX281" s="86">
        <v>110</v>
      </c>
      <c r="AY281" s="60"/>
      <c r="AZ281" s="51">
        <v>1700000000</v>
      </c>
      <c r="BA281" s="87">
        <f>AV281*AW281+(2424000*AX281)</f>
        <v>1300000020</v>
      </c>
      <c r="BB281" s="54" t="s">
        <v>2516</v>
      </c>
      <c r="BC281" s="54" t="s">
        <v>81</v>
      </c>
      <c r="BD281" s="54" t="s">
        <v>2517</v>
      </c>
      <c r="BE281" s="54" t="s">
        <v>101</v>
      </c>
      <c r="BF281" s="30"/>
      <c r="BG281" s="30"/>
      <c r="BH281" s="30"/>
      <c r="BI281" s="30"/>
      <c r="BJ281" s="88">
        <v>60</v>
      </c>
      <c r="BK281" s="51">
        <v>19748000</v>
      </c>
      <c r="BL281" s="88">
        <v>130</v>
      </c>
      <c r="BM281" s="60"/>
      <c r="BN281" s="51">
        <v>1800000000</v>
      </c>
      <c r="BO281" s="87">
        <f>BJ281*BK281+(2424000*BL281)</f>
        <v>1500000000</v>
      </c>
      <c r="BP281" s="54" t="s">
        <v>2518</v>
      </c>
      <c r="BQ281" s="54" t="s">
        <v>81</v>
      </c>
      <c r="BR281" s="54" t="s">
        <v>2517</v>
      </c>
      <c r="BS281" s="54" t="s">
        <v>101</v>
      </c>
      <c r="BT281" s="30"/>
      <c r="BU281" s="30"/>
      <c r="BV281" s="30"/>
      <c r="BW281" s="30"/>
      <c r="BX281" s="88">
        <v>60</v>
      </c>
      <c r="BY281" s="51">
        <v>17222667</v>
      </c>
      <c r="BZ281" s="88">
        <v>110</v>
      </c>
      <c r="CA281" s="60"/>
      <c r="CB281" s="51">
        <v>1700000000</v>
      </c>
      <c r="CC281" s="87">
        <f>BX281*BY281+(2424000*BZ281)</f>
        <v>1300000020</v>
      </c>
      <c r="CD281" s="54" t="s">
        <v>2519</v>
      </c>
      <c r="CE281" s="54" t="s">
        <v>81</v>
      </c>
      <c r="CF281" s="57"/>
      <c r="CG281" s="30"/>
      <c r="CH281" s="30"/>
      <c r="CI281" s="64"/>
      <c r="CJ281" s="64"/>
      <c r="CK281" s="64"/>
      <c r="CL281" s="64"/>
    </row>
    <row r="282" spans="2:90" ht="30" x14ac:dyDescent="0.25">
      <c r="B282" s="57"/>
      <c r="C282" s="57"/>
      <c r="D282" s="68"/>
      <c r="E282" s="57"/>
      <c r="F282" s="57"/>
      <c r="G282" s="30"/>
      <c r="H282" s="58"/>
      <c r="I282" s="35">
        <v>60</v>
      </c>
      <c r="J282" s="57"/>
      <c r="K282" s="35">
        <v>110</v>
      </c>
      <c r="L282" s="35"/>
      <c r="M282" s="30"/>
      <c r="N282" s="30"/>
      <c r="O282" s="30"/>
      <c r="P282" s="30"/>
      <c r="Q282" s="30" t="s">
        <v>2512</v>
      </c>
      <c r="R282" s="30" t="s">
        <v>2520</v>
      </c>
      <c r="S282" s="57"/>
      <c r="T282" s="57"/>
      <c r="U282" s="57"/>
      <c r="V282" s="57"/>
      <c r="W282" s="57"/>
      <c r="X282" s="57"/>
      <c r="Y282" s="57"/>
      <c r="Z282" s="68"/>
      <c r="AA282" s="68"/>
      <c r="AB282" s="57"/>
      <c r="AC282" s="30"/>
      <c r="AD282" s="30"/>
      <c r="AE282" s="30"/>
      <c r="AF282" s="30"/>
      <c r="AG282" s="30"/>
      <c r="AH282" s="30"/>
      <c r="AI282" s="30"/>
      <c r="AJ282" s="31">
        <f t="shared" si="26"/>
        <v>60</v>
      </c>
      <c r="AK282" s="34">
        <v>17056000</v>
      </c>
      <c r="AL282" s="31">
        <f t="shared" si="27"/>
        <v>110</v>
      </c>
      <c r="AM282" s="34">
        <f>1289743590/AL282</f>
        <v>11724941.727272727</v>
      </c>
      <c r="AN282" s="34"/>
      <c r="AO282" s="53"/>
      <c r="AP282" s="58"/>
      <c r="AQ282" s="58"/>
      <c r="AR282" s="30"/>
      <c r="AS282" s="30"/>
      <c r="AT282" s="30"/>
      <c r="AU282" s="30"/>
      <c r="AV282" s="89"/>
      <c r="AW282" s="53"/>
      <c r="AX282" s="89"/>
      <c r="AY282" s="62"/>
      <c r="AZ282" s="53"/>
      <c r="BA282" s="90"/>
      <c r="BB282" s="58"/>
      <c r="BC282" s="58"/>
      <c r="BD282" s="58"/>
      <c r="BE282" s="58"/>
      <c r="BF282" s="30"/>
      <c r="BG282" s="30"/>
      <c r="BH282" s="30"/>
      <c r="BI282" s="30"/>
      <c r="BJ282" s="91"/>
      <c r="BK282" s="53"/>
      <c r="BL282" s="91"/>
      <c r="BM282" s="62"/>
      <c r="BN282" s="53"/>
      <c r="BO282" s="90"/>
      <c r="BP282" s="58"/>
      <c r="BQ282" s="58"/>
      <c r="BR282" s="58"/>
      <c r="BS282" s="58"/>
      <c r="BT282" s="30"/>
      <c r="BU282" s="30"/>
      <c r="BV282" s="30"/>
      <c r="BW282" s="30"/>
      <c r="BX282" s="91"/>
      <c r="BY282" s="53"/>
      <c r="BZ282" s="91"/>
      <c r="CA282" s="62"/>
      <c r="CB282" s="53"/>
      <c r="CC282" s="90"/>
      <c r="CD282" s="58"/>
      <c r="CE282" s="58"/>
      <c r="CF282" s="57"/>
      <c r="CG282" s="30"/>
      <c r="CH282" s="30"/>
      <c r="CI282" s="64"/>
      <c r="CJ282" s="64"/>
      <c r="CK282" s="64"/>
      <c r="CL282" s="64"/>
    </row>
    <row r="283" spans="2:90" ht="180" x14ac:dyDescent="0.25">
      <c r="B283" s="57"/>
      <c r="C283" s="57"/>
      <c r="D283" s="68"/>
      <c r="E283" s="57"/>
      <c r="F283" s="57"/>
      <c r="G283" s="30"/>
      <c r="H283" s="30" t="s">
        <v>1274</v>
      </c>
      <c r="I283" s="35" t="s">
        <v>2521</v>
      </c>
      <c r="J283" s="57"/>
      <c r="K283" s="35"/>
      <c r="L283" s="35"/>
      <c r="M283" s="30"/>
      <c r="N283" s="30"/>
      <c r="O283" s="30"/>
      <c r="P283" s="30"/>
      <c r="Q283" s="30" t="s">
        <v>2522</v>
      </c>
      <c r="R283" s="30" t="s">
        <v>2523</v>
      </c>
      <c r="S283" s="57"/>
      <c r="T283" s="57"/>
      <c r="U283" s="57"/>
      <c r="V283" s="57"/>
      <c r="W283" s="57"/>
      <c r="X283" s="57"/>
      <c r="Y283" s="57"/>
      <c r="Z283" s="68"/>
      <c r="AA283" s="68"/>
      <c r="AB283" s="57"/>
      <c r="AC283" s="30"/>
      <c r="AD283" s="30"/>
      <c r="AE283" s="30"/>
      <c r="AF283" s="30"/>
      <c r="AG283" s="30"/>
      <c r="AH283" s="30"/>
      <c r="AI283" s="30"/>
      <c r="AJ283" s="31" t="str">
        <f t="shared" si="26"/>
        <v>48,78</v>
      </c>
      <c r="AK283" s="34" t="e">
        <f>404123197/AJ283</f>
        <v>#VALUE!</v>
      </c>
      <c r="AL283" s="31">
        <f t="shared" si="27"/>
        <v>0</v>
      </c>
      <c r="AM283" s="34"/>
      <c r="AN283" s="34"/>
      <c r="AO283" s="34" t="e">
        <f t="shared" si="23"/>
        <v>#VALUE!</v>
      </c>
      <c r="AP283" s="30" t="s">
        <v>2524</v>
      </c>
      <c r="AQ283" s="30" t="s">
        <v>2525</v>
      </c>
      <c r="AR283" s="30"/>
      <c r="AS283" s="30"/>
      <c r="AT283" s="30"/>
      <c r="AU283" s="30"/>
      <c r="AV283" s="35">
        <v>54</v>
      </c>
      <c r="AW283" s="34">
        <v>7777778</v>
      </c>
      <c r="AX283" s="35"/>
      <c r="AY283" s="34"/>
      <c r="AZ283" s="34">
        <v>500000000</v>
      </c>
      <c r="BA283" s="32">
        <f>AV283*AW283</f>
        <v>420000012</v>
      </c>
      <c r="BB283" s="30" t="s">
        <v>2526</v>
      </c>
      <c r="BC283" s="30" t="s">
        <v>81</v>
      </c>
      <c r="BD283" s="30" t="s">
        <v>2527</v>
      </c>
      <c r="BE283" s="30" t="s">
        <v>2525</v>
      </c>
      <c r="BF283" s="30"/>
      <c r="BG283" s="30"/>
      <c r="BH283" s="30"/>
      <c r="BI283" s="30"/>
      <c r="BJ283" s="36">
        <v>27</v>
      </c>
      <c r="BK283" s="34">
        <v>7777778</v>
      </c>
      <c r="BL283" s="36"/>
      <c r="BM283" s="34"/>
      <c r="BN283" s="34">
        <v>250000000</v>
      </c>
      <c r="BO283" s="32">
        <f t="shared" si="25"/>
        <v>210000006</v>
      </c>
      <c r="BP283" s="30" t="s">
        <v>2528</v>
      </c>
      <c r="BQ283" s="30" t="s">
        <v>81</v>
      </c>
      <c r="BR283" s="30" t="s">
        <v>2529</v>
      </c>
      <c r="BS283" s="30" t="s">
        <v>2525</v>
      </c>
      <c r="BT283" s="30"/>
      <c r="BU283" s="30"/>
      <c r="BV283" s="30"/>
      <c r="BW283" s="30"/>
      <c r="BX283" s="36">
        <v>54</v>
      </c>
      <c r="BY283" s="34">
        <v>8333333</v>
      </c>
      <c r="BZ283" s="36"/>
      <c r="CA283" s="34"/>
      <c r="CB283" s="34">
        <v>580000000</v>
      </c>
      <c r="CC283" s="32">
        <f t="shared" si="28"/>
        <v>449999982</v>
      </c>
      <c r="CD283" s="30" t="s">
        <v>2530</v>
      </c>
      <c r="CE283" s="30" t="s">
        <v>81</v>
      </c>
      <c r="CF283" s="57"/>
      <c r="CG283" s="30"/>
      <c r="CH283" s="30"/>
      <c r="CI283" s="64"/>
      <c r="CJ283" s="64"/>
      <c r="CK283" s="64"/>
      <c r="CL283" s="64"/>
    </row>
    <row r="284" spans="2:90" ht="150" x14ac:dyDescent="0.25">
      <c r="B284" s="57"/>
      <c r="C284" s="57"/>
      <c r="D284" s="68"/>
      <c r="E284" s="57"/>
      <c r="F284" s="57"/>
      <c r="G284" s="30"/>
      <c r="H284" s="30" t="s">
        <v>245</v>
      </c>
      <c r="I284" s="35">
        <v>1707</v>
      </c>
      <c r="J284" s="57"/>
      <c r="K284" s="35">
        <v>1396</v>
      </c>
      <c r="L284" s="35"/>
      <c r="M284" s="30" t="s">
        <v>397</v>
      </c>
      <c r="N284" s="30"/>
      <c r="O284" s="30"/>
      <c r="P284" s="30"/>
      <c r="Q284" s="30" t="s">
        <v>2531</v>
      </c>
      <c r="R284" s="30" t="s">
        <v>2532</v>
      </c>
      <c r="S284" s="58"/>
      <c r="T284" s="58"/>
      <c r="U284" s="57"/>
      <c r="V284" s="57"/>
      <c r="W284" s="57"/>
      <c r="X284" s="57"/>
      <c r="Y284" s="57"/>
      <c r="Z284" s="68"/>
      <c r="AA284" s="68"/>
      <c r="AB284" s="57"/>
      <c r="AC284" s="30"/>
      <c r="AD284" s="30"/>
      <c r="AE284" s="30"/>
      <c r="AF284" s="30"/>
      <c r="AG284" s="30"/>
      <c r="AH284" s="30"/>
      <c r="AI284" s="30"/>
      <c r="AJ284" s="31">
        <f t="shared" si="26"/>
        <v>1707</v>
      </c>
      <c r="AK284" s="34">
        <f>6828000000/AJ284</f>
        <v>4000000</v>
      </c>
      <c r="AL284" s="31">
        <f t="shared" si="27"/>
        <v>1396</v>
      </c>
      <c r="AM284" s="34">
        <f>2160900000/AL284</f>
        <v>1547922.6361031518</v>
      </c>
      <c r="AN284" s="34">
        <v>82600000</v>
      </c>
      <c r="AO284" s="34">
        <f t="shared" si="23"/>
        <v>9071500000</v>
      </c>
      <c r="AP284" s="30" t="s">
        <v>2533</v>
      </c>
      <c r="AQ284" s="30" t="s">
        <v>148</v>
      </c>
      <c r="AR284" s="30"/>
      <c r="AS284" s="30"/>
      <c r="AT284" s="30"/>
      <c r="AU284" s="30"/>
      <c r="AV284" s="35">
        <v>989</v>
      </c>
      <c r="AW284" s="34">
        <v>4022336</v>
      </c>
      <c r="AX284" s="35">
        <v>1400</v>
      </c>
      <c r="AY284" s="34"/>
      <c r="AZ284" s="34">
        <v>8500000000</v>
      </c>
      <c r="BA284" s="32">
        <f>AV284*AW284+(2015650*AX284)</f>
        <v>6800000304</v>
      </c>
      <c r="BB284" s="30" t="s">
        <v>154</v>
      </c>
      <c r="BC284" s="30" t="s">
        <v>81</v>
      </c>
      <c r="BD284" s="30" t="s">
        <v>2534</v>
      </c>
      <c r="BE284" s="30" t="s">
        <v>148</v>
      </c>
      <c r="BF284" s="30"/>
      <c r="BG284" s="30"/>
      <c r="BH284" s="30"/>
      <c r="BI284" s="30"/>
      <c r="BJ284" s="36">
        <v>800</v>
      </c>
      <c r="BK284" s="34">
        <v>4225638</v>
      </c>
      <c r="BL284" s="36">
        <v>700</v>
      </c>
      <c r="BM284" s="34"/>
      <c r="BN284" s="34">
        <v>6500000000</v>
      </c>
      <c r="BO284" s="32">
        <f>BJ284*BK284+(2170700*BL284)</f>
        <v>4900000400</v>
      </c>
      <c r="BP284" s="30" t="s">
        <v>2535</v>
      </c>
      <c r="BQ284" s="30" t="s">
        <v>81</v>
      </c>
      <c r="BR284" s="30" t="s">
        <v>2536</v>
      </c>
      <c r="BS284" s="30" t="s">
        <v>148</v>
      </c>
      <c r="BT284" s="30"/>
      <c r="BU284" s="30"/>
      <c r="BV284" s="30"/>
      <c r="BW284" s="30"/>
      <c r="BX284" s="36">
        <v>864</v>
      </c>
      <c r="BY284" s="34">
        <v>3990255</v>
      </c>
      <c r="BZ284" s="36">
        <v>700</v>
      </c>
      <c r="CA284" s="34"/>
      <c r="CB284" s="34">
        <v>5500000000</v>
      </c>
      <c r="CC284" s="32">
        <f>BX284*BY284+(1860600*BZ284)</f>
        <v>4750000320</v>
      </c>
      <c r="CD284" s="30" t="s">
        <v>2537</v>
      </c>
      <c r="CE284" s="30" t="s">
        <v>81</v>
      </c>
      <c r="CF284" s="57"/>
      <c r="CG284" s="30"/>
      <c r="CH284" s="30"/>
      <c r="CI284" s="64"/>
      <c r="CJ284" s="64"/>
      <c r="CK284" s="64"/>
      <c r="CL284" s="64"/>
    </row>
    <row r="285" spans="2:90" ht="105" x14ac:dyDescent="0.25">
      <c r="B285" s="57"/>
      <c r="C285" s="57"/>
      <c r="D285" s="68"/>
      <c r="E285" s="57"/>
      <c r="F285" s="57"/>
      <c r="G285" s="30"/>
      <c r="H285" s="30" t="s">
        <v>148</v>
      </c>
      <c r="I285" s="35">
        <v>10286</v>
      </c>
      <c r="J285" s="57"/>
      <c r="K285" s="35">
        <v>1170</v>
      </c>
      <c r="L285" s="35"/>
      <c r="M285" s="30" t="s">
        <v>397</v>
      </c>
      <c r="N285" s="30"/>
      <c r="O285" s="30"/>
      <c r="P285" s="30"/>
      <c r="Q285" s="30"/>
      <c r="R285" s="30" t="s">
        <v>2538</v>
      </c>
      <c r="S285" s="30" t="s">
        <v>2539</v>
      </c>
      <c r="T285" s="30" t="s">
        <v>2478</v>
      </c>
      <c r="U285" s="57"/>
      <c r="V285" s="57"/>
      <c r="W285" s="57"/>
      <c r="X285" s="57"/>
      <c r="Y285" s="57"/>
      <c r="Z285" s="68"/>
      <c r="AA285" s="68"/>
      <c r="AB285" s="57"/>
      <c r="AC285" s="30"/>
      <c r="AD285" s="30"/>
      <c r="AE285" s="30"/>
      <c r="AF285" s="30"/>
      <c r="AG285" s="30"/>
      <c r="AH285" s="30"/>
      <c r="AI285" s="30"/>
      <c r="AJ285" s="31">
        <f t="shared" si="26"/>
        <v>10286</v>
      </c>
      <c r="AK285" s="34">
        <f>7200200000/AJ285</f>
        <v>700000</v>
      </c>
      <c r="AL285" s="31">
        <f t="shared" si="27"/>
        <v>1170</v>
      </c>
      <c r="AM285" s="34">
        <f>3327300000/AL285</f>
        <v>2843846.153846154</v>
      </c>
      <c r="AN285" s="34">
        <v>415400000</v>
      </c>
      <c r="AO285" s="34">
        <f t="shared" si="23"/>
        <v>10942900000</v>
      </c>
      <c r="AP285" s="30" t="s">
        <v>2540</v>
      </c>
      <c r="AQ285" s="30" t="s">
        <v>148</v>
      </c>
      <c r="AR285" s="30"/>
      <c r="AS285" s="30"/>
      <c r="AT285" s="30"/>
      <c r="AU285" s="30"/>
      <c r="AV285" s="35">
        <v>39694</v>
      </c>
      <c r="AW285" s="34">
        <v>688850</v>
      </c>
      <c r="AX285" s="35">
        <v>19000</v>
      </c>
      <c r="AY285" s="34"/>
      <c r="AZ285" s="34">
        <v>100000000000</v>
      </c>
      <c r="BA285" s="32">
        <f>AV285*AW285+(2587200*AX285)</f>
        <v>76500011900</v>
      </c>
      <c r="BB285" s="30" t="s">
        <v>2541</v>
      </c>
      <c r="BC285" s="30" t="s">
        <v>81</v>
      </c>
      <c r="BD285" s="30" t="s">
        <v>2540</v>
      </c>
      <c r="BE285" s="30" t="s">
        <v>319</v>
      </c>
      <c r="BF285" s="30"/>
      <c r="BG285" s="30"/>
      <c r="BH285" s="30"/>
      <c r="BI285" s="30"/>
      <c r="BJ285" s="36">
        <v>24000</v>
      </c>
      <c r="BK285" s="34">
        <v>854167</v>
      </c>
      <c r="BL285" s="36"/>
      <c r="BM285" s="34"/>
      <c r="BN285" s="34">
        <v>28800000000</v>
      </c>
      <c r="BO285" s="32">
        <f t="shared" si="25"/>
        <v>20500008000</v>
      </c>
      <c r="BP285" s="30" t="s">
        <v>2542</v>
      </c>
      <c r="BQ285" s="30" t="s">
        <v>81</v>
      </c>
      <c r="BR285" s="30" t="s">
        <v>2540</v>
      </c>
      <c r="BS285" s="30" t="s">
        <v>245</v>
      </c>
      <c r="BT285" s="30"/>
      <c r="BU285" s="30"/>
      <c r="BV285" s="30"/>
      <c r="BW285" s="30"/>
      <c r="BX285" s="36">
        <v>40000</v>
      </c>
      <c r="BY285" s="34">
        <v>645600</v>
      </c>
      <c r="BZ285" s="36">
        <v>15000</v>
      </c>
      <c r="CA285" s="34"/>
      <c r="CB285" s="34">
        <v>62000000000</v>
      </c>
      <c r="CC285" s="32">
        <f>BX285*BY285+(1478400*BZ285)</f>
        <v>48000000000</v>
      </c>
      <c r="CD285" s="30" t="s">
        <v>2543</v>
      </c>
      <c r="CE285" s="30" t="s">
        <v>81</v>
      </c>
      <c r="CF285" s="57"/>
      <c r="CG285" s="30"/>
      <c r="CH285" s="30"/>
      <c r="CI285" s="64"/>
      <c r="CJ285" s="64"/>
      <c r="CK285" s="64"/>
      <c r="CL285" s="64"/>
    </row>
    <row r="286" spans="2:90" ht="105" x14ac:dyDescent="0.25">
      <c r="B286" s="58"/>
      <c r="C286" s="58"/>
      <c r="D286" s="69"/>
      <c r="E286" s="58"/>
      <c r="F286" s="58"/>
      <c r="G286" s="30"/>
      <c r="H286" s="30" t="s">
        <v>245</v>
      </c>
      <c r="I286" s="35">
        <v>19012</v>
      </c>
      <c r="J286" s="58"/>
      <c r="K286" s="35">
        <v>7014</v>
      </c>
      <c r="L286" s="35"/>
      <c r="M286" s="30" t="s">
        <v>397</v>
      </c>
      <c r="N286" s="30"/>
      <c r="O286" s="30"/>
      <c r="P286" s="30"/>
      <c r="Q286" s="30"/>
      <c r="R286" s="30" t="s">
        <v>2544</v>
      </c>
      <c r="S286" s="30" t="s">
        <v>2545</v>
      </c>
      <c r="T286" s="30" t="s">
        <v>2496</v>
      </c>
      <c r="U286" s="58"/>
      <c r="V286" s="58"/>
      <c r="W286" s="58"/>
      <c r="X286" s="58"/>
      <c r="Y286" s="58"/>
      <c r="Z286" s="69"/>
      <c r="AA286" s="69"/>
      <c r="AB286" s="58"/>
      <c r="AC286" s="30"/>
      <c r="AD286" s="30"/>
      <c r="AE286" s="30"/>
      <c r="AF286" s="30"/>
      <c r="AG286" s="30"/>
      <c r="AH286" s="30"/>
      <c r="AI286" s="30"/>
      <c r="AJ286" s="31">
        <f t="shared" si="26"/>
        <v>19012</v>
      </c>
      <c r="AK286" s="34">
        <f>32320400000/AJ286</f>
        <v>1700000</v>
      </c>
      <c r="AL286" s="31">
        <f t="shared" si="27"/>
        <v>7014</v>
      </c>
      <c r="AM286" s="34">
        <f>19739500000/AL286</f>
        <v>2814299.9714856003</v>
      </c>
      <c r="AN286" s="34">
        <v>835300000</v>
      </c>
      <c r="AO286" s="34">
        <f t="shared" si="23"/>
        <v>52895200000</v>
      </c>
      <c r="AP286" s="30" t="s">
        <v>2546</v>
      </c>
      <c r="AQ286" s="30" t="s">
        <v>77</v>
      </c>
      <c r="AR286" s="30"/>
      <c r="AS286" s="30"/>
      <c r="AT286" s="30"/>
      <c r="AU286" s="30"/>
      <c r="AV286" s="35">
        <v>3260</v>
      </c>
      <c r="AW286" s="34">
        <v>1800000</v>
      </c>
      <c r="AX286" s="35"/>
      <c r="AY286" s="34"/>
      <c r="AZ286" s="34">
        <v>6520000000</v>
      </c>
      <c r="BA286" s="32">
        <f>AV286*AW286</f>
        <v>5868000000</v>
      </c>
      <c r="BB286" s="30" t="s">
        <v>2547</v>
      </c>
      <c r="BC286" s="30" t="s">
        <v>81</v>
      </c>
      <c r="BD286" s="30" t="s">
        <v>2546</v>
      </c>
      <c r="BE286" s="30" t="s">
        <v>76</v>
      </c>
      <c r="BF286" s="30"/>
      <c r="BG286" s="30"/>
      <c r="BH286" s="30"/>
      <c r="BI286" s="30"/>
      <c r="BJ286" s="36">
        <v>5000</v>
      </c>
      <c r="BK286" s="34">
        <v>1978551</v>
      </c>
      <c r="BL286" s="36">
        <v>456</v>
      </c>
      <c r="BM286" s="34"/>
      <c r="BN286" s="34">
        <v>15000000000</v>
      </c>
      <c r="BO286" s="32">
        <f>BJ286*BK286+(1879928*BL286)</f>
        <v>10750002168</v>
      </c>
      <c r="BP286" s="30" t="s">
        <v>2548</v>
      </c>
      <c r="BQ286" s="30" t="s">
        <v>81</v>
      </c>
      <c r="BR286" s="30" t="s">
        <v>2549</v>
      </c>
      <c r="BS286" s="30" t="s">
        <v>77</v>
      </c>
      <c r="BT286" s="30"/>
      <c r="BU286" s="30"/>
      <c r="BV286" s="30"/>
      <c r="BW286" s="30"/>
      <c r="BX286" s="36">
        <v>1500</v>
      </c>
      <c r="BY286" s="34">
        <v>1950000</v>
      </c>
      <c r="BZ286" s="36"/>
      <c r="CA286" s="34"/>
      <c r="CB286" s="34">
        <v>3750000000</v>
      </c>
      <c r="CC286" s="32">
        <f t="shared" si="28"/>
        <v>2925000000</v>
      </c>
      <c r="CD286" s="30" t="s">
        <v>2550</v>
      </c>
      <c r="CE286" s="30" t="s">
        <v>81</v>
      </c>
      <c r="CF286" s="58"/>
      <c r="CG286" s="30"/>
      <c r="CH286" s="30"/>
      <c r="CI286" s="64"/>
      <c r="CJ286" s="64"/>
      <c r="CK286" s="64"/>
      <c r="CL286" s="64"/>
    </row>
    <row r="287" spans="2:90" ht="105" x14ac:dyDescent="0.25">
      <c r="B287" s="30" t="s">
        <v>2551</v>
      </c>
      <c r="C287" s="30" t="s">
        <v>2552</v>
      </c>
      <c r="D287" s="33">
        <v>45578</v>
      </c>
      <c r="E287" s="30" t="s">
        <v>2553</v>
      </c>
      <c r="F287" s="30" t="s">
        <v>93</v>
      </c>
      <c r="G287" s="30"/>
      <c r="H287" s="30" t="s">
        <v>97</v>
      </c>
      <c r="I287" s="35">
        <v>450</v>
      </c>
      <c r="J287" s="30" t="s">
        <v>70</v>
      </c>
      <c r="K287" s="35">
        <v>763</v>
      </c>
      <c r="L287" s="35"/>
      <c r="M287" s="30" t="s">
        <v>397</v>
      </c>
      <c r="N287" s="30"/>
      <c r="O287" s="30"/>
      <c r="P287" s="30"/>
      <c r="Q287" s="30"/>
      <c r="R287" s="30" t="s">
        <v>350</v>
      </c>
      <c r="S287" s="30" t="s">
        <v>2554</v>
      </c>
      <c r="T287" s="30" t="s">
        <v>351</v>
      </c>
      <c r="U287" s="30" t="s">
        <v>2555</v>
      </c>
      <c r="V287" s="30" t="s">
        <v>352</v>
      </c>
      <c r="W287" s="30" t="s">
        <v>72</v>
      </c>
      <c r="X287" s="30" t="s">
        <v>85</v>
      </c>
      <c r="Y287" s="30" t="s">
        <v>73</v>
      </c>
      <c r="Z287" s="33">
        <v>45574</v>
      </c>
      <c r="AA287" s="33">
        <v>45574</v>
      </c>
      <c r="AB287" s="30" t="s">
        <v>90</v>
      </c>
      <c r="AC287" s="30"/>
      <c r="AD287" s="30"/>
      <c r="AE287" s="30"/>
      <c r="AF287" s="30"/>
      <c r="AG287" s="30"/>
      <c r="AH287" s="30"/>
      <c r="AI287" s="30"/>
      <c r="AJ287" s="31">
        <f t="shared" si="26"/>
        <v>450</v>
      </c>
      <c r="AK287" s="34">
        <f>720000000/AJ287</f>
        <v>1600000</v>
      </c>
      <c r="AL287" s="31">
        <f t="shared" si="27"/>
        <v>763</v>
      </c>
      <c r="AM287" s="34">
        <f>2759500000/AL287</f>
        <v>3616644.8230668413</v>
      </c>
      <c r="AN287" s="34">
        <v>57976000</v>
      </c>
      <c r="AO287" s="34">
        <f t="shared" si="23"/>
        <v>3537476000</v>
      </c>
      <c r="AP287" s="30" t="s">
        <v>353</v>
      </c>
      <c r="AQ287" s="30" t="s">
        <v>97</v>
      </c>
      <c r="AR287" s="30"/>
      <c r="AS287" s="30"/>
      <c r="AT287" s="30"/>
      <c r="AU287" s="30"/>
      <c r="AV287" s="35">
        <v>325</v>
      </c>
      <c r="AW287" s="34">
        <v>1323815</v>
      </c>
      <c r="AX287" s="35">
        <v>112</v>
      </c>
      <c r="AY287" s="34"/>
      <c r="AZ287" s="34">
        <v>600000000</v>
      </c>
      <c r="BA287" s="32">
        <f>AV287*AW287+(980000*AX287)</f>
        <v>539999875</v>
      </c>
      <c r="BB287" s="30" t="s">
        <v>354</v>
      </c>
      <c r="BC287" s="30" t="s">
        <v>81</v>
      </c>
      <c r="BD287" s="30" t="s">
        <v>2556</v>
      </c>
      <c r="BE287" s="30" t="s">
        <v>97</v>
      </c>
      <c r="BF287" s="30"/>
      <c r="BG287" s="30"/>
      <c r="BH287" s="30"/>
      <c r="BI287" s="30"/>
      <c r="BJ287" s="36">
        <v>110</v>
      </c>
      <c r="BK287" s="34">
        <v>1438182</v>
      </c>
      <c r="BL287" s="36">
        <v>60</v>
      </c>
      <c r="BM287" s="34"/>
      <c r="BN287" s="34">
        <v>250000000</v>
      </c>
      <c r="BO287" s="32">
        <f>BJ287*BK287+(980000*BL287)</f>
        <v>217000020</v>
      </c>
      <c r="BP287" s="30" t="s">
        <v>355</v>
      </c>
      <c r="BQ287" s="30" t="s">
        <v>81</v>
      </c>
      <c r="BR287" s="30" t="s">
        <v>356</v>
      </c>
      <c r="BS287" s="30" t="s">
        <v>77</v>
      </c>
      <c r="BT287" s="30"/>
      <c r="BU287" s="30"/>
      <c r="BV287" s="30"/>
      <c r="BW287" s="30"/>
      <c r="BX287" s="36">
        <v>1657</v>
      </c>
      <c r="BY287" s="34">
        <v>2450000</v>
      </c>
      <c r="BZ287" s="36"/>
      <c r="CA287" s="34"/>
      <c r="CB287" s="34">
        <v>4888150000</v>
      </c>
      <c r="CC287" s="32">
        <f t="shared" si="28"/>
        <v>4059650000</v>
      </c>
      <c r="CD287" s="30" t="s">
        <v>357</v>
      </c>
      <c r="CE287" s="30" t="s">
        <v>81</v>
      </c>
      <c r="CF287" s="30" t="s">
        <v>216</v>
      </c>
      <c r="CG287" s="30"/>
      <c r="CH287" s="30"/>
      <c r="CI287" s="64"/>
      <c r="CJ287" s="64"/>
      <c r="CK287" s="64"/>
      <c r="CL287" s="64"/>
    </row>
    <row r="288" spans="2:90" ht="120" x14ac:dyDescent="0.25">
      <c r="B288" s="54" t="s">
        <v>2557</v>
      </c>
      <c r="C288" s="54" t="s">
        <v>2558</v>
      </c>
      <c r="D288" s="67">
        <v>45578</v>
      </c>
      <c r="E288" s="54" t="s">
        <v>204</v>
      </c>
      <c r="F288" s="54" t="s">
        <v>204</v>
      </c>
      <c r="G288" s="30"/>
      <c r="H288" s="30" t="s">
        <v>360</v>
      </c>
      <c r="I288" s="35">
        <v>1005</v>
      </c>
      <c r="J288" s="54" t="s">
        <v>70</v>
      </c>
      <c r="K288" s="35">
        <v>887</v>
      </c>
      <c r="L288" s="35"/>
      <c r="M288" s="30" t="s">
        <v>397</v>
      </c>
      <c r="N288" s="30"/>
      <c r="O288" s="30"/>
      <c r="P288" s="30"/>
      <c r="Q288" s="30"/>
      <c r="R288" s="30" t="s">
        <v>2559</v>
      </c>
      <c r="S288" s="30" t="s">
        <v>291</v>
      </c>
      <c r="T288" s="30" t="s">
        <v>197</v>
      </c>
      <c r="U288" s="30" t="s">
        <v>124</v>
      </c>
      <c r="V288" s="54" t="s">
        <v>92</v>
      </c>
      <c r="W288" s="54" t="s">
        <v>72</v>
      </c>
      <c r="X288" s="54" t="s">
        <v>85</v>
      </c>
      <c r="Y288" s="54" t="s">
        <v>73</v>
      </c>
      <c r="Z288" s="67">
        <v>45574</v>
      </c>
      <c r="AA288" s="67">
        <v>45574</v>
      </c>
      <c r="AB288" s="54" t="s">
        <v>90</v>
      </c>
      <c r="AC288" s="30"/>
      <c r="AD288" s="30"/>
      <c r="AE288" s="30"/>
      <c r="AF288" s="30"/>
      <c r="AG288" s="30"/>
      <c r="AH288" s="30"/>
      <c r="AI288" s="30"/>
      <c r="AJ288" s="31">
        <f t="shared" si="26"/>
        <v>1005</v>
      </c>
      <c r="AK288" s="34">
        <f>20510250000/AJ288</f>
        <v>20408208.955223881</v>
      </c>
      <c r="AL288" s="31">
        <f t="shared" si="27"/>
        <v>887</v>
      </c>
      <c r="AM288" s="34">
        <f>1981600000/AL288</f>
        <v>2234047.3506200677</v>
      </c>
      <c r="AN288" s="34">
        <v>180673000</v>
      </c>
      <c r="AO288" s="34">
        <f t="shared" si="23"/>
        <v>22672523000</v>
      </c>
      <c r="AP288" s="30" t="s">
        <v>292</v>
      </c>
      <c r="AQ288" s="30" t="s">
        <v>77</v>
      </c>
      <c r="AR288" s="30"/>
      <c r="AS288" s="30"/>
      <c r="AT288" s="30"/>
      <c r="AU288" s="30"/>
      <c r="AV288" s="35">
        <v>2800</v>
      </c>
      <c r="AW288" s="34">
        <v>2696429</v>
      </c>
      <c r="AX288" s="35"/>
      <c r="AY288" s="34"/>
      <c r="AZ288" s="34">
        <v>9240000000</v>
      </c>
      <c r="BA288" s="32">
        <f>AV288*AW288</f>
        <v>7550001200</v>
      </c>
      <c r="BB288" s="30" t="s">
        <v>2560</v>
      </c>
      <c r="BC288" s="30" t="s">
        <v>81</v>
      </c>
      <c r="BD288" s="30" t="s">
        <v>2561</v>
      </c>
      <c r="BE288" s="30" t="s">
        <v>97</v>
      </c>
      <c r="BF288" s="30"/>
      <c r="BG288" s="30"/>
      <c r="BH288" s="30"/>
      <c r="BI288" s="30"/>
      <c r="BJ288" s="36">
        <v>1361</v>
      </c>
      <c r="BK288" s="34">
        <v>2424320</v>
      </c>
      <c r="BL288" s="36">
        <v>1000</v>
      </c>
      <c r="BM288" s="34"/>
      <c r="BN288" s="34">
        <v>5800000000</v>
      </c>
      <c r="BO288" s="32">
        <f>BJ288*BK288+(1550500*BL288)</f>
        <v>4849999520</v>
      </c>
      <c r="BP288" s="30" t="s">
        <v>2562</v>
      </c>
      <c r="BQ288" s="30" t="s">
        <v>81</v>
      </c>
      <c r="BR288" s="30" t="s">
        <v>2563</v>
      </c>
      <c r="BS288" s="30" t="s">
        <v>77</v>
      </c>
      <c r="BT288" s="30"/>
      <c r="BU288" s="30"/>
      <c r="BV288" s="30"/>
      <c r="BW288" s="30"/>
      <c r="BX288" s="36">
        <v>3330</v>
      </c>
      <c r="BY288" s="34">
        <v>2150000</v>
      </c>
      <c r="BZ288" s="36"/>
      <c r="CA288" s="34"/>
      <c r="CB288" s="34">
        <v>8325000000</v>
      </c>
      <c r="CC288" s="32">
        <f t="shared" si="28"/>
        <v>7159500000</v>
      </c>
      <c r="CD288" s="30" t="s">
        <v>293</v>
      </c>
      <c r="CE288" s="30" t="s">
        <v>81</v>
      </c>
      <c r="CF288" s="54" t="s">
        <v>196</v>
      </c>
      <c r="CG288" s="30"/>
      <c r="CH288" s="30"/>
      <c r="CI288" s="64"/>
      <c r="CJ288" s="64"/>
      <c r="CK288" s="64"/>
      <c r="CL288" s="64"/>
    </row>
    <row r="289" spans="2:90" ht="105" x14ac:dyDescent="0.25">
      <c r="B289" s="57"/>
      <c r="C289" s="57"/>
      <c r="D289" s="68"/>
      <c r="E289" s="57"/>
      <c r="F289" s="57"/>
      <c r="G289" s="30"/>
      <c r="H289" s="30" t="s">
        <v>77</v>
      </c>
      <c r="I289" s="35">
        <v>4555</v>
      </c>
      <c r="J289" s="57"/>
      <c r="K289" s="35"/>
      <c r="L289" s="35"/>
      <c r="M289" s="30"/>
      <c r="N289" s="30"/>
      <c r="O289" s="30"/>
      <c r="P289" s="30"/>
      <c r="Q289" s="30"/>
      <c r="R289" s="30" t="s">
        <v>2564</v>
      </c>
      <c r="S289" s="30" t="s">
        <v>295</v>
      </c>
      <c r="T289" s="30" t="s">
        <v>2565</v>
      </c>
      <c r="U289" s="30" t="s">
        <v>237</v>
      </c>
      <c r="V289" s="57"/>
      <c r="W289" s="57"/>
      <c r="X289" s="57"/>
      <c r="Y289" s="57"/>
      <c r="Z289" s="68"/>
      <c r="AA289" s="68"/>
      <c r="AB289" s="57"/>
      <c r="AC289" s="30"/>
      <c r="AD289" s="30"/>
      <c r="AE289" s="30"/>
      <c r="AF289" s="30"/>
      <c r="AG289" s="30"/>
      <c r="AH289" s="30"/>
      <c r="AI289" s="30"/>
      <c r="AJ289" s="31">
        <f t="shared" si="26"/>
        <v>4555</v>
      </c>
      <c r="AK289" s="34">
        <f>3097400000/AJ289</f>
        <v>680000</v>
      </c>
      <c r="AL289" s="31">
        <f t="shared" si="27"/>
        <v>0</v>
      </c>
      <c r="AM289" s="34"/>
      <c r="AN289" s="34"/>
      <c r="AO289" s="34">
        <f t="shared" si="23"/>
        <v>3097400000</v>
      </c>
      <c r="AP289" s="30" t="s">
        <v>296</v>
      </c>
      <c r="AQ289" s="30" t="s">
        <v>77</v>
      </c>
      <c r="AR289" s="30"/>
      <c r="AS289" s="30"/>
      <c r="AT289" s="30"/>
      <c r="AU289" s="30"/>
      <c r="AV289" s="35">
        <v>320</v>
      </c>
      <c r="AW289" s="34">
        <v>1015625</v>
      </c>
      <c r="AX289" s="35"/>
      <c r="AY289" s="34"/>
      <c r="AZ289" s="34">
        <v>448000000</v>
      </c>
      <c r="BA289" s="32">
        <f>AV289*AW289</f>
        <v>325000000</v>
      </c>
      <c r="BB289" s="30" t="s">
        <v>297</v>
      </c>
      <c r="BC289" s="30" t="s">
        <v>81</v>
      </c>
      <c r="BD289" s="30" t="s">
        <v>2566</v>
      </c>
      <c r="BE289" s="30" t="s">
        <v>77</v>
      </c>
      <c r="BF289" s="30"/>
      <c r="BG289" s="30"/>
      <c r="BH289" s="30"/>
      <c r="BI289" s="30"/>
      <c r="BJ289" s="36">
        <v>500</v>
      </c>
      <c r="BK289" s="34">
        <v>910000</v>
      </c>
      <c r="BL289" s="36"/>
      <c r="BM289" s="34"/>
      <c r="BN289" s="34">
        <v>600000000</v>
      </c>
      <c r="BO289" s="32">
        <f t="shared" si="25"/>
        <v>455000000</v>
      </c>
      <c r="BP289" s="30" t="s">
        <v>2567</v>
      </c>
      <c r="BQ289" s="30" t="s">
        <v>81</v>
      </c>
      <c r="BR289" s="30" t="s">
        <v>298</v>
      </c>
      <c r="BS289" s="30" t="s">
        <v>83</v>
      </c>
      <c r="BT289" s="30"/>
      <c r="BU289" s="30"/>
      <c r="BV289" s="30"/>
      <c r="BW289" s="30"/>
      <c r="BX289" s="36">
        <v>250</v>
      </c>
      <c r="BY289" s="34">
        <v>1100000</v>
      </c>
      <c r="BZ289" s="36">
        <v>350</v>
      </c>
      <c r="CA289" s="34"/>
      <c r="CB289" s="34">
        <v>1500000000</v>
      </c>
      <c r="CC289" s="32">
        <f>BX289*BY289+(2500000*BZ289)</f>
        <v>1150000000</v>
      </c>
      <c r="CD289" s="30" t="s">
        <v>2568</v>
      </c>
      <c r="CE289" s="30" t="s">
        <v>81</v>
      </c>
      <c r="CF289" s="57"/>
      <c r="CG289" s="30"/>
      <c r="CH289" s="30"/>
      <c r="CI289" s="64"/>
      <c r="CJ289" s="64"/>
      <c r="CK289" s="64"/>
      <c r="CL289" s="64"/>
    </row>
    <row r="290" spans="2:90" ht="105" x14ac:dyDescent="0.25">
      <c r="B290" s="57"/>
      <c r="C290" s="57"/>
      <c r="D290" s="68"/>
      <c r="E290" s="57"/>
      <c r="F290" s="57"/>
      <c r="G290" s="30"/>
      <c r="H290" s="30" t="s">
        <v>360</v>
      </c>
      <c r="I290" s="35">
        <v>1194</v>
      </c>
      <c r="J290" s="57"/>
      <c r="K290" s="35">
        <v>356</v>
      </c>
      <c r="L290" s="35"/>
      <c r="M290" s="30" t="s">
        <v>397</v>
      </c>
      <c r="N290" s="30"/>
      <c r="O290" s="30"/>
      <c r="P290" s="30"/>
      <c r="Q290" s="30"/>
      <c r="R290" s="30" t="s">
        <v>2569</v>
      </c>
      <c r="S290" s="30" t="s">
        <v>186</v>
      </c>
      <c r="T290" s="30" t="s">
        <v>299</v>
      </c>
      <c r="U290" s="30" t="s">
        <v>124</v>
      </c>
      <c r="V290" s="57"/>
      <c r="W290" s="57"/>
      <c r="X290" s="57"/>
      <c r="Y290" s="57"/>
      <c r="Z290" s="68"/>
      <c r="AA290" s="68"/>
      <c r="AB290" s="57"/>
      <c r="AC290" s="30"/>
      <c r="AD290" s="30"/>
      <c r="AE290" s="30"/>
      <c r="AF290" s="30"/>
      <c r="AG290" s="30"/>
      <c r="AH290" s="30"/>
      <c r="AI290" s="30"/>
      <c r="AJ290" s="31">
        <f t="shared" si="26"/>
        <v>1194</v>
      </c>
      <c r="AK290" s="34">
        <f>2268600000/AJ290</f>
        <v>1900000</v>
      </c>
      <c r="AL290" s="31">
        <f t="shared" si="27"/>
        <v>356</v>
      </c>
      <c r="AM290" s="34">
        <f>501500000/AL290</f>
        <v>1408707.8651685393</v>
      </c>
      <c r="AN290" s="34">
        <v>28169500</v>
      </c>
      <c r="AO290" s="34">
        <f t="shared" si="23"/>
        <v>2798269500</v>
      </c>
      <c r="AP290" s="30" t="s">
        <v>300</v>
      </c>
      <c r="AQ290" s="30" t="s">
        <v>77</v>
      </c>
      <c r="AR290" s="30"/>
      <c r="AS290" s="30"/>
      <c r="AT290" s="30"/>
      <c r="AU290" s="30"/>
      <c r="AV290" s="35">
        <v>400</v>
      </c>
      <c r="AW290" s="34">
        <v>1800000</v>
      </c>
      <c r="AX290" s="35"/>
      <c r="AY290" s="34"/>
      <c r="AZ290" s="34">
        <v>800000000</v>
      </c>
      <c r="BA290" s="32">
        <f>AV290*AW290</f>
        <v>720000000</v>
      </c>
      <c r="BB290" s="30" t="s">
        <v>2570</v>
      </c>
      <c r="BC290" s="30" t="s">
        <v>81</v>
      </c>
      <c r="BD290" s="30" t="s">
        <v>301</v>
      </c>
      <c r="BE290" s="30" t="s">
        <v>77</v>
      </c>
      <c r="BF290" s="30"/>
      <c r="BG290" s="30"/>
      <c r="BH290" s="30"/>
      <c r="BI290" s="30"/>
      <c r="BJ290" s="36">
        <v>135</v>
      </c>
      <c r="BK290" s="34">
        <v>2200000</v>
      </c>
      <c r="BL290" s="36"/>
      <c r="BM290" s="34"/>
      <c r="BN290" s="34">
        <v>337500000</v>
      </c>
      <c r="BO290" s="32">
        <f t="shared" si="25"/>
        <v>297000000</v>
      </c>
      <c r="BP290" s="30" t="s">
        <v>2571</v>
      </c>
      <c r="BQ290" s="30" t="s">
        <v>81</v>
      </c>
      <c r="BR290" s="30" t="s">
        <v>302</v>
      </c>
      <c r="BS290" s="30" t="s">
        <v>77</v>
      </c>
      <c r="BT290" s="30"/>
      <c r="BU290" s="30"/>
      <c r="BV290" s="30"/>
      <c r="BW290" s="30"/>
      <c r="BX290" s="36">
        <v>242</v>
      </c>
      <c r="BY290" s="34">
        <v>2200000</v>
      </c>
      <c r="BZ290" s="36"/>
      <c r="CA290" s="34"/>
      <c r="CB290" s="34">
        <v>629200000</v>
      </c>
      <c r="CC290" s="32">
        <f t="shared" si="28"/>
        <v>532400000</v>
      </c>
      <c r="CD290" s="30" t="s">
        <v>2572</v>
      </c>
      <c r="CE290" s="30" t="s">
        <v>81</v>
      </c>
      <c r="CF290" s="57"/>
      <c r="CG290" s="30"/>
      <c r="CH290" s="30"/>
      <c r="CI290" s="64"/>
      <c r="CJ290" s="64"/>
      <c r="CK290" s="64"/>
      <c r="CL290" s="64"/>
    </row>
    <row r="291" spans="2:90" ht="165" x14ac:dyDescent="0.25">
      <c r="B291" s="57"/>
      <c r="C291" s="57"/>
      <c r="D291" s="68"/>
      <c r="E291" s="57"/>
      <c r="F291" s="57"/>
      <c r="G291" s="30"/>
      <c r="H291" s="30" t="s">
        <v>83</v>
      </c>
      <c r="I291" s="35">
        <v>308</v>
      </c>
      <c r="J291" s="57"/>
      <c r="K291" s="35">
        <v>661</v>
      </c>
      <c r="L291" s="35"/>
      <c r="M291" s="30" t="s">
        <v>397</v>
      </c>
      <c r="N291" s="30"/>
      <c r="O291" s="30"/>
      <c r="P291" s="30"/>
      <c r="Q291" s="30"/>
      <c r="R291" s="30" t="s">
        <v>2573</v>
      </c>
      <c r="S291" s="30" t="s">
        <v>2574</v>
      </c>
      <c r="T291" s="30" t="s">
        <v>299</v>
      </c>
      <c r="U291" s="30" t="s">
        <v>124</v>
      </c>
      <c r="V291" s="57"/>
      <c r="W291" s="57"/>
      <c r="X291" s="57"/>
      <c r="Y291" s="57"/>
      <c r="Z291" s="68"/>
      <c r="AA291" s="68"/>
      <c r="AB291" s="57"/>
      <c r="AC291" s="30"/>
      <c r="AD291" s="30"/>
      <c r="AE291" s="30"/>
      <c r="AF291" s="30"/>
      <c r="AG291" s="30"/>
      <c r="AH291" s="30"/>
      <c r="AI291" s="30"/>
      <c r="AJ291" s="31">
        <f t="shared" si="26"/>
        <v>308</v>
      </c>
      <c r="AK291" s="34">
        <f>1170400000/AJ291</f>
        <v>3800000</v>
      </c>
      <c r="AL291" s="31">
        <f t="shared" si="27"/>
        <v>661</v>
      </c>
      <c r="AM291" s="34">
        <f>2169100000/AL291</f>
        <v>3281543.1164901666</v>
      </c>
      <c r="AN291" s="34">
        <v>4579000</v>
      </c>
      <c r="AO291" s="34">
        <f t="shared" si="23"/>
        <v>3344079000</v>
      </c>
      <c r="AP291" s="30" t="s">
        <v>2575</v>
      </c>
      <c r="AQ291" s="30" t="s">
        <v>83</v>
      </c>
      <c r="AR291" s="30"/>
      <c r="AS291" s="30"/>
      <c r="AT291" s="30"/>
      <c r="AU291" s="30"/>
      <c r="AV291" s="35">
        <v>198</v>
      </c>
      <c r="AW291" s="34">
        <v>4244457</v>
      </c>
      <c r="AX291" s="35">
        <v>175</v>
      </c>
      <c r="AY291" s="34"/>
      <c r="AZ291" s="34">
        <v>1200000000</v>
      </c>
      <c r="BA291" s="32">
        <f>AV291*AW291+(1197700*AX291)</f>
        <v>1049999986</v>
      </c>
      <c r="BB291" s="30" t="s">
        <v>2576</v>
      </c>
      <c r="BC291" s="30" t="s">
        <v>81</v>
      </c>
      <c r="BD291" s="30" t="s">
        <v>2577</v>
      </c>
      <c r="BE291" s="30" t="s">
        <v>83</v>
      </c>
      <c r="BF291" s="30"/>
      <c r="BG291" s="30"/>
      <c r="BH291" s="30"/>
      <c r="BI291" s="30"/>
      <c r="BJ291" s="36">
        <v>144</v>
      </c>
      <c r="BK291" s="34">
        <v>4657281</v>
      </c>
      <c r="BL291" s="36">
        <v>108</v>
      </c>
      <c r="BM291" s="34"/>
      <c r="BN291" s="34">
        <v>950000000</v>
      </c>
      <c r="BO291" s="32">
        <f>BJ291*BK291+(1197700*BL291)</f>
        <v>800000064</v>
      </c>
      <c r="BP291" s="30" t="s">
        <v>2578</v>
      </c>
      <c r="BQ291" s="30" t="s">
        <v>81</v>
      </c>
      <c r="BR291" s="30" t="s">
        <v>2579</v>
      </c>
      <c r="BS291" s="30" t="s">
        <v>83</v>
      </c>
      <c r="BT291" s="30"/>
      <c r="BU291" s="30"/>
      <c r="BV291" s="30"/>
      <c r="BW291" s="30"/>
      <c r="BX291" s="36">
        <v>144</v>
      </c>
      <c r="BY291" s="34">
        <v>4844400</v>
      </c>
      <c r="BZ291" s="36">
        <v>216</v>
      </c>
      <c r="CA291" s="34"/>
      <c r="CB291" s="34">
        <v>1600000000</v>
      </c>
      <c r="CC291" s="32">
        <f>BX291*BY291+(3020400*BZ291)</f>
        <v>1350000000</v>
      </c>
      <c r="CD291" s="30" t="s">
        <v>2580</v>
      </c>
      <c r="CE291" s="30" t="s">
        <v>81</v>
      </c>
      <c r="CF291" s="58"/>
      <c r="CG291" s="30"/>
      <c r="CH291" s="30"/>
      <c r="CI291" s="64"/>
      <c r="CJ291" s="64"/>
      <c r="CK291" s="64"/>
      <c r="CL291" s="64"/>
    </row>
    <row r="292" spans="2:90" ht="105" x14ac:dyDescent="0.25">
      <c r="B292" s="57"/>
      <c r="C292" s="57"/>
      <c r="D292" s="68"/>
      <c r="E292" s="57"/>
      <c r="F292" s="57"/>
      <c r="G292" s="30"/>
      <c r="H292" s="30" t="s">
        <v>307</v>
      </c>
      <c r="I292" s="35">
        <v>452</v>
      </c>
      <c r="J292" s="57"/>
      <c r="K292" s="35">
        <v>315</v>
      </c>
      <c r="L292" s="35"/>
      <c r="M292" s="30"/>
      <c r="N292" s="30"/>
      <c r="O292" s="30"/>
      <c r="P292" s="30"/>
      <c r="Q292" s="30" t="s">
        <v>303</v>
      </c>
      <c r="R292" s="30" t="s">
        <v>2581</v>
      </c>
      <c r="S292" s="30" t="s">
        <v>304</v>
      </c>
      <c r="T292" s="30" t="s">
        <v>305</v>
      </c>
      <c r="U292" s="30" t="s">
        <v>2582</v>
      </c>
      <c r="V292" s="57"/>
      <c r="W292" s="57"/>
      <c r="X292" s="57"/>
      <c r="Y292" s="57"/>
      <c r="Z292" s="68"/>
      <c r="AA292" s="68"/>
      <c r="AB292" s="57"/>
      <c r="AC292" s="30"/>
      <c r="AD292" s="30"/>
      <c r="AE292" s="30"/>
      <c r="AF292" s="30"/>
      <c r="AG292" s="30"/>
      <c r="AH292" s="30"/>
      <c r="AI292" s="30"/>
      <c r="AJ292" s="31">
        <f t="shared" si="26"/>
        <v>452</v>
      </c>
      <c r="AK292" s="34">
        <f>1030560000/AJ292</f>
        <v>2280000</v>
      </c>
      <c r="AL292" s="31">
        <f t="shared" si="27"/>
        <v>315</v>
      </c>
      <c r="AM292" s="34">
        <f>1069200000/AL292</f>
        <v>3394285.7142857141</v>
      </c>
      <c r="AN292" s="34"/>
      <c r="AO292" s="34">
        <f t="shared" si="23"/>
        <v>2099760000</v>
      </c>
      <c r="AP292" s="30" t="s">
        <v>2583</v>
      </c>
      <c r="AQ292" s="30" t="s">
        <v>306</v>
      </c>
      <c r="AR292" s="30"/>
      <c r="AS292" s="30"/>
      <c r="AT292" s="30"/>
      <c r="AU292" s="30"/>
      <c r="AV292" s="35">
        <v>314</v>
      </c>
      <c r="AW292" s="34">
        <v>2414570</v>
      </c>
      <c r="AX292" s="35">
        <v>100</v>
      </c>
      <c r="AY292" s="34"/>
      <c r="AZ292" s="34">
        <v>1200000000</v>
      </c>
      <c r="BA292" s="32">
        <f>AV292*AW292+(2018250*AX292)</f>
        <v>959999980</v>
      </c>
      <c r="BB292" s="30" t="s">
        <v>2584</v>
      </c>
      <c r="BC292" s="30" t="s">
        <v>81</v>
      </c>
      <c r="BD292" s="30" t="s">
        <v>2585</v>
      </c>
      <c r="BE292" s="30" t="s">
        <v>307</v>
      </c>
      <c r="BF292" s="30"/>
      <c r="BG292" s="30"/>
      <c r="BH292" s="30"/>
      <c r="BI292" s="30"/>
      <c r="BJ292" s="36">
        <v>650</v>
      </c>
      <c r="BK292" s="34">
        <v>2149344</v>
      </c>
      <c r="BL292" s="36">
        <v>368</v>
      </c>
      <c r="BM292" s="34"/>
      <c r="BN292" s="34">
        <v>3500000000</v>
      </c>
      <c r="BO292" s="32">
        <f>BJ292*BK292+(3812300*BL292)</f>
        <v>2800000000</v>
      </c>
      <c r="BP292" s="30" t="s">
        <v>2584</v>
      </c>
      <c r="BQ292" s="30" t="s">
        <v>81</v>
      </c>
      <c r="BR292" s="30" t="s">
        <v>2586</v>
      </c>
      <c r="BS292" s="30" t="s">
        <v>307</v>
      </c>
      <c r="BT292" s="30"/>
      <c r="BU292" s="30"/>
      <c r="BV292" s="30"/>
      <c r="BW292" s="30"/>
      <c r="BX292" s="36">
        <v>1125</v>
      </c>
      <c r="BY292" s="34">
        <v>2105600</v>
      </c>
      <c r="BZ292" s="36">
        <v>600</v>
      </c>
      <c r="CA292" s="34"/>
      <c r="CB292" s="34">
        <v>6500000000</v>
      </c>
      <c r="CC292" s="32">
        <f>BX292*BY292+(4552000*BZ292)</f>
        <v>5100000000</v>
      </c>
      <c r="CD292" s="30" t="s">
        <v>2587</v>
      </c>
      <c r="CE292" s="30" t="s">
        <v>81</v>
      </c>
      <c r="CF292" s="30" t="s">
        <v>855</v>
      </c>
      <c r="CG292" s="30"/>
      <c r="CH292" s="30"/>
      <c r="CI292" s="64"/>
      <c r="CJ292" s="64"/>
      <c r="CK292" s="64"/>
      <c r="CL292" s="64"/>
    </row>
    <row r="293" spans="2:90" ht="165" x14ac:dyDescent="0.25">
      <c r="B293" s="57"/>
      <c r="C293" s="57"/>
      <c r="D293" s="68"/>
      <c r="E293" s="57"/>
      <c r="F293" s="57"/>
      <c r="G293" s="30"/>
      <c r="H293" s="30" t="s">
        <v>83</v>
      </c>
      <c r="I293" s="35">
        <v>144</v>
      </c>
      <c r="J293" s="57"/>
      <c r="K293" s="35">
        <v>193</v>
      </c>
      <c r="L293" s="35"/>
      <c r="M293" s="30" t="s">
        <v>397</v>
      </c>
      <c r="N293" s="30"/>
      <c r="O293" s="30"/>
      <c r="P293" s="30"/>
      <c r="Q293" s="30" t="s">
        <v>309</v>
      </c>
      <c r="R293" s="30" t="s">
        <v>2588</v>
      </c>
      <c r="S293" s="30" t="s">
        <v>189</v>
      </c>
      <c r="T293" s="30" t="s">
        <v>190</v>
      </c>
      <c r="U293" s="30" t="s">
        <v>107</v>
      </c>
      <c r="V293" s="57"/>
      <c r="W293" s="57"/>
      <c r="X293" s="57"/>
      <c r="Y293" s="57"/>
      <c r="Z293" s="68"/>
      <c r="AA293" s="68"/>
      <c r="AB293" s="57"/>
      <c r="AC293" s="30"/>
      <c r="AD293" s="30"/>
      <c r="AE293" s="30"/>
      <c r="AF293" s="30"/>
      <c r="AG293" s="30"/>
      <c r="AH293" s="30"/>
      <c r="AI293" s="30"/>
      <c r="AJ293" s="31">
        <f t="shared" si="26"/>
        <v>144</v>
      </c>
      <c r="AK293" s="34">
        <f>676800000/AJ293</f>
        <v>4700000</v>
      </c>
      <c r="AL293" s="31">
        <f t="shared" si="27"/>
        <v>193</v>
      </c>
      <c r="AM293" s="34">
        <f>704500000/AL293</f>
        <v>3650259.0673575131</v>
      </c>
      <c r="AN293" s="34">
        <v>5855000</v>
      </c>
      <c r="AO293" s="34">
        <f t="shared" ref="AO293:AO355" si="29">(AJ293*AK293)+(AL293*AM293)+AN293</f>
        <v>1387155000</v>
      </c>
      <c r="AP293" s="30" t="s">
        <v>2575</v>
      </c>
      <c r="AQ293" s="30" t="s">
        <v>83</v>
      </c>
      <c r="AR293" s="30"/>
      <c r="AS293" s="30"/>
      <c r="AT293" s="30"/>
      <c r="AU293" s="30"/>
      <c r="AV293" s="35">
        <v>198</v>
      </c>
      <c r="AW293" s="34">
        <v>4244457</v>
      </c>
      <c r="AX293" s="35">
        <v>175</v>
      </c>
      <c r="AY293" s="34"/>
      <c r="AZ293" s="34">
        <v>1200000000</v>
      </c>
      <c r="BA293" s="32">
        <f>AV293*AW293+(1197700*AX293)</f>
        <v>1049999986</v>
      </c>
      <c r="BB293" s="30" t="s">
        <v>2576</v>
      </c>
      <c r="BC293" s="30" t="s">
        <v>81</v>
      </c>
      <c r="BD293" s="30" t="s">
        <v>2577</v>
      </c>
      <c r="BE293" s="30" t="s">
        <v>83</v>
      </c>
      <c r="BF293" s="30"/>
      <c r="BG293" s="30"/>
      <c r="BH293" s="30"/>
      <c r="BI293" s="30"/>
      <c r="BJ293" s="36">
        <v>144</v>
      </c>
      <c r="BK293" s="34">
        <v>4657281</v>
      </c>
      <c r="BL293" s="36">
        <v>108</v>
      </c>
      <c r="BM293" s="34"/>
      <c r="BN293" s="34">
        <v>950000000</v>
      </c>
      <c r="BO293" s="32">
        <f>BJ293*BK293+(1197700*BL293)</f>
        <v>800000064</v>
      </c>
      <c r="BP293" s="30" t="s">
        <v>2578</v>
      </c>
      <c r="BQ293" s="30" t="s">
        <v>81</v>
      </c>
      <c r="BR293" s="30" t="s">
        <v>2579</v>
      </c>
      <c r="BS293" s="30" t="s">
        <v>83</v>
      </c>
      <c r="BT293" s="30"/>
      <c r="BU293" s="30"/>
      <c r="BV293" s="30"/>
      <c r="BW293" s="30"/>
      <c r="BX293" s="36">
        <v>144</v>
      </c>
      <c r="BY293" s="34">
        <v>4844400</v>
      </c>
      <c r="BZ293" s="36">
        <v>216</v>
      </c>
      <c r="CA293" s="34"/>
      <c r="CB293" s="34">
        <v>1600000000</v>
      </c>
      <c r="CC293" s="32">
        <f>BX293*BY293+(3020400*BZ293)</f>
        <v>1350000000</v>
      </c>
      <c r="CD293" s="30" t="s">
        <v>2580</v>
      </c>
      <c r="CE293" s="30" t="s">
        <v>81</v>
      </c>
      <c r="CF293" s="30"/>
      <c r="CG293" s="30"/>
      <c r="CH293" s="30"/>
      <c r="CI293" s="64"/>
      <c r="CJ293" s="64"/>
      <c r="CK293" s="64"/>
      <c r="CL293" s="64"/>
    </row>
    <row r="294" spans="2:90" ht="165" x14ac:dyDescent="0.25">
      <c r="B294" s="57"/>
      <c r="C294" s="57"/>
      <c r="D294" s="68"/>
      <c r="E294" s="57"/>
      <c r="F294" s="57"/>
      <c r="G294" s="30"/>
      <c r="H294" s="30" t="s">
        <v>83</v>
      </c>
      <c r="I294" s="35">
        <v>107</v>
      </c>
      <c r="J294" s="57"/>
      <c r="K294" s="35">
        <v>63</v>
      </c>
      <c r="L294" s="35"/>
      <c r="M294" s="30"/>
      <c r="N294" s="30"/>
      <c r="O294" s="30"/>
      <c r="P294" s="30"/>
      <c r="Q294" s="30" t="s">
        <v>310</v>
      </c>
      <c r="R294" s="30" t="s">
        <v>2589</v>
      </c>
      <c r="S294" s="30" t="s">
        <v>2574</v>
      </c>
      <c r="T294" s="30" t="s">
        <v>299</v>
      </c>
      <c r="U294" s="30" t="s">
        <v>124</v>
      </c>
      <c r="V294" s="57"/>
      <c r="W294" s="57"/>
      <c r="X294" s="57"/>
      <c r="Y294" s="57"/>
      <c r="Z294" s="68"/>
      <c r="AA294" s="68"/>
      <c r="AB294" s="57"/>
      <c r="AC294" s="30"/>
      <c r="AD294" s="30"/>
      <c r="AE294" s="30"/>
      <c r="AF294" s="30"/>
      <c r="AG294" s="30"/>
      <c r="AH294" s="30"/>
      <c r="AI294" s="30"/>
      <c r="AJ294" s="31">
        <f t="shared" si="26"/>
        <v>107</v>
      </c>
      <c r="AK294" s="34">
        <f>462240000/AJ294</f>
        <v>4320000</v>
      </c>
      <c r="AL294" s="31">
        <f t="shared" si="27"/>
        <v>63</v>
      </c>
      <c r="AM294" s="34">
        <f>82900000/AL294</f>
        <v>1315873.0158730159</v>
      </c>
      <c r="AN294" s="34">
        <v>1245000</v>
      </c>
      <c r="AO294" s="34">
        <f t="shared" si="29"/>
        <v>546385000</v>
      </c>
      <c r="AP294" s="30" t="s">
        <v>311</v>
      </c>
      <c r="AQ294" s="30" t="s">
        <v>83</v>
      </c>
      <c r="AR294" s="30"/>
      <c r="AS294" s="30"/>
      <c r="AT294" s="30"/>
      <c r="AU294" s="30"/>
      <c r="AV294" s="35">
        <v>120</v>
      </c>
      <c r="AW294" s="34">
        <v>4186680</v>
      </c>
      <c r="AX294" s="35">
        <v>63</v>
      </c>
      <c r="AY294" s="34"/>
      <c r="AZ294" s="34">
        <v>600000000</v>
      </c>
      <c r="BA294" s="32">
        <f>AV294*AW294+(596800*AX294)</f>
        <v>540000000</v>
      </c>
      <c r="BB294" s="30" t="s">
        <v>312</v>
      </c>
      <c r="BC294" s="30" t="s">
        <v>81</v>
      </c>
      <c r="BD294" s="30" t="s">
        <v>313</v>
      </c>
      <c r="BE294" s="30" t="s">
        <v>83</v>
      </c>
      <c r="BF294" s="30"/>
      <c r="BG294" s="30"/>
      <c r="BH294" s="30"/>
      <c r="BI294" s="30"/>
      <c r="BJ294" s="36">
        <v>90</v>
      </c>
      <c r="BK294" s="34">
        <v>4708711</v>
      </c>
      <c r="BL294" s="36">
        <v>70</v>
      </c>
      <c r="BM294" s="34"/>
      <c r="BN294" s="34">
        <v>650000000</v>
      </c>
      <c r="BO294" s="32">
        <f>BJ294*BK294+(2088800*BL294)</f>
        <v>569999990</v>
      </c>
      <c r="BP294" s="30" t="s">
        <v>314</v>
      </c>
      <c r="BQ294" s="30" t="s">
        <v>81</v>
      </c>
      <c r="BR294" s="30" t="s">
        <v>315</v>
      </c>
      <c r="BS294" s="30" t="s">
        <v>83</v>
      </c>
      <c r="BT294" s="30"/>
      <c r="BU294" s="30"/>
      <c r="BV294" s="30"/>
      <c r="BW294" s="30"/>
      <c r="BX294" s="36">
        <v>60</v>
      </c>
      <c r="BY294" s="34">
        <v>4338667</v>
      </c>
      <c r="BZ294" s="36">
        <v>50</v>
      </c>
      <c r="CA294" s="34"/>
      <c r="CB294" s="34">
        <v>350000000</v>
      </c>
      <c r="CC294" s="32">
        <f>BX294*BY294+(1193600*BZ294)</f>
        <v>320000020</v>
      </c>
      <c r="CD294" s="30" t="s">
        <v>316</v>
      </c>
      <c r="CE294" s="30" t="s">
        <v>81</v>
      </c>
      <c r="CF294" s="30" t="s">
        <v>196</v>
      </c>
      <c r="CG294" s="30"/>
      <c r="CH294" s="30"/>
      <c r="CI294" s="64"/>
      <c r="CJ294" s="64"/>
      <c r="CK294" s="64"/>
      <c r="CL294" s="64"/>
    </row>
    <row r="295" spans="2:90" ht="120" x14ac:dyDescent="0.25">
      <c r="B295" s="57"/>
      <c r="C295" s="57"/>
      <c r="D295" s="68"/>
      <c r="E295" s="57"/>
      <c r="F295" s="57"/>
      <c r="G295" s="30"/>
      <c r="H295" s="30" t="s">
        <v>77</v>
      </c>
      <c r="I295" s="35">
        <v>10616</v>
      </c>
      <c r="J295" s="57"/>
      <c r="K295" s="35"/>
      <c r="L295" s="35"/>
      <c r="M295" s="30"/>
      <c r="N295" s="30"/>
      <c r="O295" s="30"/>
      <c r="P295" s="30"/>
      <c r="Q295" s="30"/>
      <c r="R295" s="30" t="s">
        <v>2590</v>
      </c>
      <c r="S295" s="30" t="s">
        <v>2591</v>
      </c>
      <c r="T295" s="30" t="s">
        <v>317</v>
      </c>
      <c r="U295" s="30" t="s">
        <v>107</v>
      </c>
      <c r="V295" s="58"/>
      <c r="W295" s="57"/>
      <c r="X295" s="57"/>
      <c r="Y295" s="57"/>
      <c r="Z295" s="68"/>
      <c r="AA295" s="68"/>
      <c r="AB295" s="57"/>
      <c r="AC295" s="30"/>
      <c r="AD295" s="30"/>
      <c r="AE295" s="30"/>
      <c r="AF295" s="30"/>
      <c r="AG295" s="30"/>
      <c r="AH295" s="30"/>
      <c r="AI295" s="30"/>
      <c r="AJ295" s="31">
        <f t="shared" si="26"/>
        <v>10616</v>
      </c>
      <c r="AK295" s="34">
        <f>4511800000/AJ295</f>
        <v>425000</v>
      </c>
      <c r="AL295" s="31">
        <f t="shared" si="27"/>
        <v>0</v>
      </c>
      <c r="AM295" s="34"/>
      <c r="AN295" s="34"/>
      <c r="AO295" s="34">
        <f t="shared" si="29"/>
        <v>4511800000</v>
      </c>
      <c r="AP295" s="30" t="s">
        <v>318</v>
      </c>
      <c r="AQ295" s="30" t="s">
        <v>319</v>
      </c>
      <c r="AR295" s="30"/>
      <c r="AS295" s="30"/>
      <c r="AT295" s="30"/>
      <c r="AU295" s="30"/>
      <c r="AV295" s="35">
        <v>39000</v>
      </c>
      <c r="AW295" s="34">
        <v>179487</v>
      </c>
      <c r="AX295" s="35"/>
      <c r="AY295" s="34"/>
      <c r="AZ295" s="34">
        <v>7800000000</v>
      </c>
      <c r="BA295" s="32">
        <f>AV295*AW295</f>
        <v>6999993000</v>
      </c>
      <c r="BB295" s="30" t="s">
        <v>2592</v>
      </c>
      <c r="BC295" s="30" t="s">
        <v>81</v>
      </c>
      <c r="BD295" s="30" t="s">
        <v>318</v>
      </c>
      <c r="BE295" s="30" t="s">
        <v>97</v>
      </c>
      <c r="BF295" s="30"/>
      <c r="BG295" s="30"/>
      <c r="BH295" s="30"/>
      <c r="BI295" s="30"/>
      <c r="BJ295" s="36">
        <v>2325</v>
      </c>
      <c r="BK295" s="34">
        <v>530337</v>
      </c>
      <c r="BL295" s="36">
        <v>410</v>
      </c>
      <c r="BM295" s="34"/>
      <c r="BN295" s="34">
        <v>2300000000</v>
      </c>
      <c r="BO295" s="32">
        <f>BJ295*BK295+(1992600*BL295)</f>
        <v>2049999525</v>
      </c>
      <c r="BP295" s="30" t="s">
        <v>2593</v>
      </c>
      <c r="BQ295" s="30" t="s">
        <v>81</v>
      </c>
      <c r="BR295" s="30" t="s">
        <v>318</v>
      </c>
      <c r="BS295" s="30" t="s">
        <v>2594</v>
      </c>
      <c r="BT295" s="30"/>
      <c r="BU295" s="30"/>
      <c r="BV295" s="30"/>
      <c r="BW295" s="30"/>
      <c r="BX295" s="36">
        <v>5315</v>
      </c>
      <c r="BY295" s="34">
        <v>517404</v>
      </c>
      <c r="BZ295" s="36"/>
      <c r="CA295" s="34"/>
      <c r="CB295" s="34">
        <v>3450000000</v>
      </c>
      <c r="CC295" s="32">
        <f t="shared" si="28"/>
        <v>2750002260</v>
      </c>
      <c r="CD295" s="30" t="s">
        <v>320</v>
      </c>
      <c r="CE295" s="30" t="s">
        <v>81</v>
      </c>
      <c r="CF295" s="30" t="s">
        <v>2595</v>
      </c>
      <c r="CG295" s="30"/>
      <c r="CH295" s="30"/>
      <c r="CI295" s="64"/>
      <c r="CJ295" s="64"/>
      <c r="CK295" s="64"/>
      <c r="CL295" s="64"/>
    </row>
    <row r="296" spans="2:90" ht="120" x14ac:dyDescent="0.25">
      <c r="B296" s="57"/>
      <c r="C296" s="57"/>
      <c r="D296" s="68"/>
      <c r="E296" s="57"/>
      <c r="F296" s="57"/>
      <c r="G296" s="30"/>
      <c r="H296" s="54" t="s">
        <v>97</v>
      </c>
      <c r="I296" s="35">
        <v>52</v>
      </c>
      <c r="J296" s="57"/>
      <c r="K296" s="35">
        <v>98</v>
      </c>
      <c r="L296" s="35"/>
      <c r="M296" s="30"/>
      <c r="N296" s="30"/>
      <c r="O296" s="30"/>
      <c r="P296" s="30"/>
      <c r="Q296" s="30"/>
      <c r="R296" s="30" t="s">
        <v>2596</v>
      </c>
      <c r="S296" s="30" t="s">
        <v>322</v>
      </c>
      <c r="T296" s="30" t="s">
        <v>1758</v>
      </c>
      <c r="U296" s="30" t="s">
        <v>164</v>
      </c>
      <c r="V296" s="30" t="s">
        <v>84</v>
      </c>
      <c r="W296" s="57"/>
      <c r="X296" s="57"/>
      <c r="Y296" s="57"/>
      <c r="Z296" s="68"/>
      <c r="AA296" s="68"/>
      <c r="AB296" s="57"/>
      <c r="AC296" s="30"/>
      <c r="AD296" s="30"/>
      <c r="AE296" s="30"/>
      <c r="AF296" s="30"/>
      <c r="AG296" s="30"/>
      <c r="AH296" s="30"/>
      <c r="AI296" s="30"/>
      <c r="AJ296" s="31">
        <f t="shared" si="26"/>
        <v>52</v>
      </c>
      <c r="AK296" s="34">
        <f>379600000/AJ296</f>
        <v>7300000</v>
      </c>
      <c r="AL296" s="31">
        <f t="shared" si="27"/>
        <v>98</v>
      </c>
      <c r="AM296" s="34">
        <f>250800000/AL296</f>
        <v>2559183.6734693879</v>
      </c>
      <c r="AN296" s="34"/>
      <c r="AO296" s="34">
        <f t="shared" si="29"/>
        <v>630400000</v>
      </c>
      <c r="AP296" s="30" t="s">
        <v>2597</v>
      </c>
      <c r="AQ296" s="30" t="s">
        <v>83</v>
      </c>
      <c r="AR296" s="30"/>
      <c r="AS296" s="30"/>
      <c r="AT296" s="30"/>
      <c r="AU296" s="30"/>
      <c r="AV296" s="35">
        <v>300</v>
      </c>
      <c r="AW296" s="34">
        <v>8179500</v>
      </c>
      <c r="AX296" s="35">
        <v>500</v>
      </c>
      <c r="AY296" s="34"/>
      <c r="AZ296" s="34">
        <v>5500000000</v>
      </c>
      <c r="BA296" s="32">
        <f>AV296*AW296+(3992300*AX296)</f>
        <v>4450000000</v>
      </c>
      <c r="BB296" s="30" t="s">
        <v>2598</v>
      </c>
      <c r="BC296" s="30" t="s">
        <v>81</v>
      </c>
      <c r="BD296" s="30" t="s">
        <v>2599</v>
      </c>
      <c r="BE296" s="30" t="s">
        <v>83</v>
      </c>
      <c r="BF296" s="30"/>
      <c r="BG296" s="30"/>
      <c r="BH296" s="30"/>
      <c r="BI296" s="30"/>
      <c r="BJ296" s="36">
        <v>150</v>
      </c>
      <c r="BK296" s="34">
        <v>8437440</v>
      </c>
      <c r="BL296" s="36">
        <v>80</v>
      </c>
      <c r="BM296" s="34"/>
      <c r="BN296" s="34">
        <v>1500000000</v>
      </c>
      <c r="BO296" s="32">
        <f>BJ296*BK296+(1054800*BL296)</f>
        <v>1350000000</v>
      </c>
      <c r="BP296" s="30" t="s">
        <v>2600</v>
      </c>
      <c r="BQ296" s="30" t="s">
        <v>81</v>
      </c>
      <c r="BR296" s="30" t="s">
        <v>2601</v>
      </c>
      <c r="BS296" s="30" t="s">
        <v>83</v>
      </c>
      <c r="BT296" s="30"/>
      <c r="BU296" s="30"/>
      <c r="BV296" s="30"/>
      <c r="BW296" s="30"/>
      <c r="BX296" s="36">
        <v>193</v>
      </c>
      <c r="BY296" s="34">
        <v>8586477</v>
      </c>
      <c r="BZ296" s="36">
        <v>150</v>
      </c>
      <c r="CA296" s="34"/>
      <c r="CB296" s="34">
        <v>2500000000</v>
      </c>
      <c r="CC296" s="32">
        <f>BX296*BY296+(2285400*BZ296)</f>
        <v>2000000061</v>
      </c>
      <c r="CD296" s="30" t="s">
        <v>2602</v>
      </c>
      <c r="CE296" s="30" t="s">
        <v>81</v>
      </c>
      <c r="CF296" s="54" t="s">
        <v>1407</v>
      </c>
      <c r="CG296" s="30"/>
      <c r="CH296" s="30"/>
      <c r="CI296" s="64"/>
      <c r="CJ296" s="64"/>
      <c r="CK296" s="64"/>
      <c r="CL296" s="64"/>
    </row>
    <row r="297" spans="2:90" ht="105" x14ac:dyDescent="0.25">
      <c r="B297" s="58"/>
      <c r="C297" s="58"/>
      <c r="D297" s="69"/>
      <c r="E297" s="58"/>
      <c r="F297" s="58"/>
      <c r="G297" s="30"/>
      <c r="H297" s="58"/>
      <c r="I297" s="35">
        <v>140</v>
      </c>
      <c r="J297" s="58"/>
      <c r="K297" s="35">
        <v>120</v>
      </c>
      <c r="L297" s="35"/>
      <c r="M297" s="30"/>
      <c r="N297" s="30"/>
      <c r="O297" s="30"/>
      <c r="P297" s="30"/>
      <c r="Q297" s="30"/>
      <c r="R297" s="30" t="s">
        <v>2603</v>
      </c>
      <c r="S297" s="30" t="s">
        <v>324</v>
      </c>
      <c r="T297" s="30" t="s">
        <v>495</v>
      </c>
      <c r="U297" s="30" t="s">
        <v>124</v>
      </c>
      <c r="V297" s="30" t="s">
        <v>92</v>
      </c>
      <c r="W297" s="58"/>
      <c r="X297" s="58"/>
      <c r="Y297" s="58"/>
      <c r="Z297" s="69"/>
      <c r="AA297" s="69"/>
      <c r="AB297" s="58"/>
      <c r="AC297" s="30"/>
      <c r="AD297" s="30"/>
      <c r="AE297" s="30"/>
      <c r="AF297" s="30"/>
      <c r="AG297" s="30"/>
      <c r="AH297" s="30"/>
      <c r="AI297" s="30"/>
      <c r="AJ297" s="31">
        <f t="shared" si="26"/>
        <v>140</v>
      </c>
      <c r="AK297" s="34">
        <f>868000000/AJ297</f>
        <v>6200000</v>
      </c>
      <c r="AL297" s="31">
        <f t="shared" si="27"/>
        <v>120</v>
      </c>
      <c r="AM297" s="34">
        <f>214400000/AL297</f>
        <v>1786666.6666666667</v>
      </c>
      <c r="AN297" s="34"/>
      <c r="AO297" s="34">
        <f t="shared" si="29"/>
        <v>1082400000</v>
      </c>
      <c r="AP297" s="30" t="s">
        <v>325</v>
      </c>
      <c r="AQ297" s="30" t="s">
        <v>83</v>
      </c>
      <c r="AR297" s="30"/>
      <c r="AS297" s="30"/>
      <c r="AT297" s="30"/>
      <c r="AU297" s="30"/>
      <c r="AV297" s="35">
        <v>116</v>
      </c>
      <c r="AW297" s="34">
        <v>6394063</v>
      </c>
      <c r="AX297" s="35">
        <v>185</v>
      </c>
      <c r="AY297" s="34"/>
      <c r="AZ297" s="34">
        <v>1750000000</v>
      </c>
      <c r="BA297" s="32">
        <f>AV297*AW297+(3990750*AX297)</f>
        <v>1480000058</v>
      </c>
      <c r="BB297" s="30" t="s">
        <v>326</v>
      </c>
      <c r="BC297" s="30" t="s">
        <v>81</v>
      </c>
      <c r="BD297" s="30" t="s">
        <v>327</v>
      </c>
      <c r="BE297" s="30" t="s">
        <v>83</v>
      </c>
      <c r="BF297" s="30"/>
      <c r="BG297" s="30"/>
      <c r="BH297" s="30"/>
      <c r="BI297" s="30"/>
      <c r="BJ297" s="36">
        <v>161</v>
      </c>
      <c r="BK297" s="34">
        <v>6225543</v>
      </c>
      <c r="BL297" s="36">
        <v>250</v>
      </c>
      <c r="BM297" s="34"/>
      <c r="BN297" s="34">
        <v>2500000000</v>
      </c>
      <c r="BO297" s="32">
        <f>BJ297*BK297+(3990750*BL297)</f>
        <v>1999999923</v>
      </c>
      <c r="BP297" s="30" t="s">
        <v>328</v>
      </c>
      <c r="BQ297" s="30" t="s">
        <v>81</v>
      </c>
      <c r="BR297" s="30" t="s">
        <v>329</v>
      </c>
      <c r="BS297" s="30" t="s">
        <v>83</v>
      </c>
      <c r="BT297" s="30"/>
      <c r="BU297" s="30"/>
      <c r="BV297" s="30"/>
      <c r="BW297" s="30"/>
      <c r="BX297" s="36">
        <v>180</v>
      </c>
      <c r="BY297" s="34">
        <v>5961833</v>
      </c>
      <c r="BZ297" s="36">
        <v>100</v>
      </c>
      <c r="CA297" s="34"/>
      <c r="CB297" s="34">
        <v>1600000000</v>
      </c>
      <c r="CC297" s="32">
        <f>BX297*BY297+(2768700*BZ297)</f>
        <v>1349999940</v>
      </c>
      <c r="CD297" s="30" t="s">
        <v>330</v>
      </c>
      <c r="CE297" s="30" t="s">
        <v>81</v>
      </c>
      <c r="CF297" s="58"/>
      <c r="CG297" s="30"/>
      <c r="CH297" s="30"/>
      <c r="CI297" s="64"/>
      <c r="CJ297" s="64"/>
      <c r="CK297" s="64"/>
      <c r="CL297" s="64"/>
    </row>
    <row r="298" spans="2:90" ht="195" x14ac:dyDescent="0.25">
      <c r="B298" s="30" t="s">
        <v>2604</v>
      </c>
      <c r="C298" s="30" t="s">
        <v>2605</v>
      </c>
      <c r="D298" s="33">
        <v>45582</v>
      </c>
      <c r="E298" s="30" t="s">
        <v>185</v>
      </c>
      <c r="F298" s="30" t="s">
        <v>185</v>
      </c>
      <c r="G298" s="30"/>
      <c r="H298" s="30" t="s">
        <v>83</v>
      </c>
      <c r="I298" s="35">
        <v>581</v>
      </c>
      <c r="J298" s="30" t="s">
        <v>70</v>
      </c>
      <c r="K298" s="35">
        <v>1144</v>
      </c>
      <c r="L298" s="35"/>
      <c r="M298" s="30"/>
      <c r="N298" s="30"/>
      <c r="O298" s="30"/>
      <c r="P298" s="30"/>
      <c r="Q298" s="30" t="s">
        <v>2606</v>
      </c>
      <c r="R298" s="30" t="s">
        <v>2607</v>
      </c>
      <c r="S298" s="30" t="s">
        <v>202</v>
      </c>
      <c r="T298" s="30" t="s">
        <v>203</v>
      </c>
      <c r="U298" s="30" t="s">
        <v>104</v>
      </c>
      <c r="V298" s="30" t="s">
        <v>84</v>
      </c>
      <c r="W298" s="30" t="s">
        <v>72</v>
      </c>
      <c r="X298" s="30" t="s">
        <v>85</v>
      </c>
      <c r="Y298" s="30" t="s">
        <v>73</v>
      </c>
      <c r="Z298" s="33">
        <v>45580</v>
      </c>
      <c r="AA298" s="33">
        <v>45580</v>
      </c>
      <c r="AB298" s="30" t="s">
        <v>74</v>
      </c>
      <c r="AC298" s="30"/>
      <c r="AD298" s="30"/>
      <c r="AE298" s="30"/>
      <c r="AF298" s="30"/>
      <c r="AG298" s="30"/>
      <c r="AH298" s="30"/>
      <c r="AI298" s="30"/>
      <c r="AJ298" s="31">
        <f t="shared" si="26"/>
        <v>581</v>
      </c>
      <c r="AK298" s="34">
        <f>16268000000/AJ298</f>
        <v>28000000</v>
      </c>
      <c r="AL298" s="31">
        <f t="shared" si="27"/>
        <v>1144</v>
      </c>
      <c r="AM298" s="34">
        <f>7759600000/AL298</f>
        <v>6782867.1328671332</v>
      </c>
      <c r="AN298" s="34"/>
      <c r="AO298" s="34">
        <f t="shared" si="29"/>
        <v>24027600000</v>
      </c>
      <c r="AP298" s="30" t="s">
        <v>2608</v>
      </c>
      <c r="AQ298" s="30" t="s">
        <v>77</v>
      </c>
      <c r="AR298" s="30"/>
      <c r="AS298" s="30"/>
      <c r="AT298" s="30"/>
      <c r="AU298" s="30"/>
      <c r="AV298" s="35">
        <v>371</v>
      </c>
      <c r="AW298" s="34">
        <v>29500000</v>
      </c>
      <c r="AX298" s="35"/>
      <c r="AY298" s="34"/>
      <c r="AZ298" s="34">
        <v>12993750000</v>
      </c>
      <c r="BA298" s="32">
        <f>2041875000-AZ298</f>
        <v>-10951875000</v>
      </c>
      <c r="BB298" s="46" t="s">
        <v>2609</v>
      </c>
      <c r="BC298" s="30" t="s">
        <v>81</v>
      </c>
      <c r="BD298" s="30" t="s">
        <v>2608</v>
      </c>
      <c r="BE298" s="30" t="s">
        <v>77</v>
      </c>
      <c r="BF298" s="30"/>
      <c r="BG298" s="30"/>
      <c r="BH298" s="30"/>
      <c r="BI298" s="30"/>
      <c r="BJ298" s="36">
        <v>570</v>
      </c>
      <c r="BK298" s="34">
        <v>29000000</v>
      </c>
      <c r="BL298" s="36"/>
      <c r="BM298" s="34"/>
      <c r="BN298" s="34">
        <v>18810000000</v>
      </c>
      <c r="BO298" s="32">
        <f t="shared" si="25"/>
        <v>16530000000</v>
      </c>
      <c r="BP298" s="30" t="s">
        <v>2610</v>
      </c>
      <c r="BQ298" s="30" t="s">
        <v>81</v>
      </c>
      <c r="BR298" s="30" t="s">
        <v>2611</v>
      </c>
      <c r="BS298" s="30" t="s">
        <v>77</v>
      </c>
      <c r="BT298" s="30"/>
      <c r="BU298" s="30"/>
      <c r="BV298" s="30"/>
      <c r="BW298" s="30"/>
      <c r="BX298" s="36">
        <v>371</v>
      </c>
      <c r="BY298" s="34">
        <v>29500000</v>
      </c>
      <c r="BZ298" s="36"/>
      <c r="CA298" s="34"/>
      <c r="CB298" s="34">
        <v>12993750000</v>
      </c>
      <c r="CC298" s="32">
        <f>2041875000-CB298</f>
        <v>-10951875000</v>
      </c>
      <c r="CD298" s="30" t="s">
        <v>2612</v>
      </c>
      <c r="CE298" s="30" t="s">
        <v>81</v>
      </c>
      <c r="CF298" s="30" t="s">
        <v>196</v>
      </c>
      <c r="CG298" s="30"/>
      <c r="CH298" s="30"/>
      <c r="CI298" s="64"/>
      <c r="CJ298" s="64"/>
      <c r="CK298" s="64"/>
      <c r="CL298" s="64"/>
    </row>
    <row r="299" spans="2:90" ht="135" x14ac:dyDescent="0.25">
      <c r="B299" s="54" t="s">
        <v>2613</v>
      </c>
      <c r="C299" s="54" t="s">
        <v>2614</v>
      </c>
      <c r="D299" s="67">
        <v>45586</v>
      </c>
      <c r="E299" s="30" t="s">
        <v>2615</v>
      </c>
      <c r="F299" s="30" t="s">
        <v>2615</v>
      </c>
      <c r="G299" s="30"/>
      <c r="H299" s="30" t="s">
        <v>83</v>
      </c>
      <c r="I299" s="35">
        <v>207</v>
      </c>
      <c r="J299" s="54" t="s">
        <v>70</v>
      </c>
      <c r="K299" s="35">
        <v>94</v>
      </c>
      <c r="L299" s="35"/>
      <c r="M299" s="30"/>
      <c r="N299" s="30"/>
      <c r="O299" s="30"/>
      <c r="P299" s="30"/>
      <c r="Q299" s="30" t="s">
        <v>2616</v>
      </c>
      <c r="R299" s="30" t="s">
        <v>2617</v>
      </c>
      <c r="S299" s="54" t="s">
        <v>1609</v>
      </c>
      <c r="T299" s="54" t="s">
        <v>217</v>
      </c>
      <c r="U299" s="54" t="s">
        <v>2618</v>
      </c>
      <c r="V299" s="54" t="s">
        <v>80</v>
      </c>
      <c r="W299" s="54" t="s">
        <v>72</v>
      </c>
      <c r="X299" s="54" t="s">
        <v>131</v>
      </c>
      <c r="Y299" s="54" t="s">
        <v>73</v>
      </c>
      <c r="Z299" s="67">
        <v>45555</v>
      </c>
      <c r="AA299" s="67">
        <v>45555</v>
      </c>
      <c r="AB299" s="54" t="s">
        <v>90</v>
      </c>
      <c r="AC299" s="30"/>
      <c r="AD299" s="30"/>
      <c r="AE299" s="30"/>
      <c r="AF299" s="30"/>
      <c r="AG299" s="30"/>
      <c r="AH299" s="30"/>
      <c r="AI299" s="30"/>
      <c r="AJ299" s="31">
        <f t="shared" si="26"/>
        <v>207</v>
      </c>
      <c r="AK299" s="34">
        <f>1304100000/AJ299</f>
        <v>6300000</v>
      </c>
      <c r="AL299" s="31">
        <f t="shared" si="27"/>
        <v>94</v>
      </c>
      <c r="AM299" s="34">
        <f>145100000/AL299</f>
        <v>1543617.0212765958</v>
      </c>
      <c r="AN299" s="34"/>
      <c r="AO299" s="34">
        <f t="shared" si="29"/>
        <v>1449200000</v>
      </c>
      <c r="AP299" s="30" t="s">
        <v>2619</v>
      </c>
      <c r="AQ299" s="30" t="s">
        <v>83</v>
      </c>
      <c r="AR299" s="30"/>
      <c r="AS299" s="30"/>
      <c r="AT299" s="30"/>
      <c r="AU299" s="30"/>
      <c r="AV299" s="35">
        <v>78</v>
      </c>
      <c r="AW299" s="34">
        <v>7728218</v>
      </c>
      <c r="AX299" s="35">
        <v>65</v>
      </c>
      <c r="AY299" s="34"/>
      <c r="AZ299" s="34">
        <v>900000000</v>
      </c>
      <c r="BA299" s="32">
        <f>AV299*AW299+(2264600*AX299)</f>
        <v>750000004</v>
      </c>
      <c r="BB299" s="30" t="s">
        <v>2620</v>
      </c>
      <c r="BC299" s="30" t="s">
        <v>81</v>
      </c>
      <c r="BD299" s="30" t="s">
        <v>2621</v>
      </c>
      <c r="BE299" s="30" t="s">
        <v>83</v>
      </c>
      <c r="BF299" s="30"/>
      <c r="BG299" s="30"/>
      <c r="BH299" s="30"/>
      <c r="BI299" s="30"/>
      <c r="BJ299" s="36">
        <v>78</v>
      </c>
      <c r="BK299" s="34">
        <v>7043438</v>
      </c>
      <c r="BL299" s="36">
        <v>156</v>
      </c>
      <c r="BM299" s="34"/>
      <c r="BN299" s="34">
        <v>1250000000</v>
      </c>
      <c r="BO299" s="32">
        <f>BJ299*BK299+(3209050*BL299)</f>
        <v>1049999964</v>
      </c>
      <c r="BP299" s="30" t="s">
        <v>2622</v>
      </c>
      <c r="BQ299" s="30" t="s">
        <v>81</v>
      </c>
      <c r="BR299" s="30" t="s">
        <v>2623</v>
      </c>
      <c r="BS299" s="30" t="s">
        <v>83</v>
      </c>
      <c r="BT299" s="30"/>
      <c r="BU299" s="30"/>
      <c r="BV299" s="30"/>
      <c r="BW299" s="30"/>
      <c r="BX299" s="36">
        <v>96</v>
      </c>
      <c r="BY299" s="34">
        <v>7155717</v>
      </c>
      <c r="BZ299" s="36">
        <v>72</v>
      </c>
      <c r="CA299" s="34"/>
      <c r="CB299" s="34">
        <v>1000000000</v>
      </c>
      <c r="CC299" s="32">
        <f>BX299*BY299+(2264600*BZ299)</f>
        <v>850000032</v>
      </c>
      <c r="CD299" s="30" t="s">
        <v>2624</v>
      </c>
      <c r="CE299" s="30" t="s">
        <v>81</v>
      </c>
      <c r="CF299" s="54" t="s">
        <v>225</v>
      </c>
      <c r="CG299" s="30"/>
      <c r="CH299" s="30"/>
      <c r="CI299" s="64"/>
      <c r="CJ299" s="64"/>
      <c r="CK299" s="64"/>
      <c r="CL299" s="64"/>
    </row>
    <row r="300" spans="2:90" ht="90" x14ac:dyDescent="0.25">
      <c r="B300" s="58"/>
      <c r="C300" s="58"/>
      <c r="D300" s="69"/>
      <c r="E300" s="30"/>
      <c r="F300" s="30"/>
      <c r="G300" s="30"/>
      <c r="H300" s="30" t="s">
        <v>148</v>
      </c>
      <c r="I300" s="35">
        <v>4614</v>
      </c>
      <c r="J300" s="58"/>
      <c r="K300" s="35">
        <v>2422</v>
      </c>
      <c r="L300" s="35"/>
      <c r="M300" s="30" t="s">
        <v>397</v>
      </c>
      <c r="N300" s="30"/>
      <c r="O300" s="30"/>
      <c r="P300" s="30"/>
      <c r="Q300" s="30"/>
      <c r="R300" s="30" t="s">
        <v>2625</v>
      </c>
      <c r="S300" s="58"/>
      <c r="T300" s="58"/>
      <c r="U300" s="58"/>
      <c r="V300" s="58"/>
      <c r="W300" s="58"/>
      <c r="X300" s="58"/>
      <c r="Y300" s="58"/>
      <c r="Z300" s="69"/>
      <c r="AA300" s="69"/>
      <c r="AB300" s="58"/>
      <c r="AC300" s="30"/>
      <c r="AD300" s="30"/>
      <c r="AE300" s="30"/>
      <c r="AF300" s="30"/>
      <c r="AG300" s="30"/>
      <c r="AH300" s="30"/>
      <c r="AI300" s="30"/>
      <c r="AJ300" s="31">
        <f t="shared" si="26"/>
        <v>4614</v>
      </c>
      <c r="AK300" s="34">
        <f>10148600000/AJ300</f>
        <v>2199523.1902904203</v>
      </c>
      <c r="AL300" s="31">
        <f t="shared" si="27"/>
        <v>2422</v>
      </c>
      <c r="AM300" s="34">
        <f>3954300000/AL300</f>
        <v>1632658.9595375722</v>
      </c>
      <c r="AN300" s="34">
        <v>209955000</v>
      </c>
      <c r="AO300" s="34">
        <f t="shared" si="29"/>
        <v>14312855000</v>
      </c>
      <c r="AP300" s="30" t="s">
        <v>2626</v>
      </c>
      <c r="AQ300" s="30" t="s">
        <v>77</v>
      </c>
      <c r="AR300" s="30"/>
      <c r="AS300" s="30"/>
      <c r="AT300" s="30"/>
      <c r="AU300" s="30"/>
      <c r="AV300" s="35">
        <v>5000</v>
      </c>
      <c r="AW300" s="34">
        <v>2000000</v>
      </c>
      <c r="AX300" s="35"/>
      <c r="AY300" s="34"/>
      <c r="AZ300" s="34">
        <v>11750000000</v>
      </c>
      <c r="BA300" s="32">
        <f>AV300*AW300</f>
        <v>10000000000</v>
      </c>
      <c r="BB300" s="30" t="s">
        <v>2627</v>
      </c>
      <c r="BC300" s="30" t="s">
        <v>81</v>
      </c>
      <c r="BD300" s="30" t="s">
        <v>2626</v>
      </c>
      <c r="BE300" s="30" t="s">
        <v>77</v>
      </c>
      <c r="BF300" s="30"/>
      <c r="BG300" s="30"/>
      <c r="BH300" s="30"/>
      <c r="BI300" s="30"/>
      <c r="BJ300" s="36">
        <v>3000</v>
      </c>
      <c r="BK300" s="34">
        <v>2300000</v>
      </c>
      <c r="BL300" s="36"/>
      <c r="BM300" s="34"/>
      <c r="BN300" s="34">
        <v>8400000000</v>
      </c>
      <c r="BO300" s="32">
        <f t="shared" si="25"/>
        <v>6900000000</v>
      </c>
      <c r="BP300" s="30" t="s">
        <v>2628</v>
      </c>
      <c r="BQ300" s="30" t="s">
        <v>81</v>
      </c>
      <c r="BR300" s="30" t="s">
        <v>2629</v>
      </c>
      <c r="BS300" s="30" t="s">
        <v>77</v>
      </c>
      <c r="BT300" s="30"/>
      <c r="BU300" s="30"/>
      <c r="BV300" s="30"/>
      <c r="BW300" s="30"/>
      <c r="BX300" s="36">
        <v>5000</v>
      </c>
      <c r="BY300" s="34">
        <v>3250000</v>
      </c>
      <c r="BZ300" s="36"/>
      <c r="CA300" s="34"/>
      <c r="CB300" s="34">
        <v>22500000000</v>
      </c>
      <c r="CC300" s="32">
        <f t="shared" si="28"/>
        <v>16250000000</v>
      </c>
      <c r="CD300" s="30" t="s">
        <v>2630</v>
      </c>
      <c r="CE300" s="30" t="s">
        <v>81</v>
      </c>
      <c r="CF300" s="58"/>
      <c r="CG300" s="30"/>
      <c r="CH300" s="30"/>
      <c r="CI300" s="64"/>
      <c r="CJ300" s="64"/>
      <c r="CK300" s="64"/>
      <c r="CL300" s="64"/>
    </row>
    <row r="301" spans="2:90" ht="120" x14ac:dyDescent="0.25">
      <c r="B301" s="30" t="s">
        <v>2631</v>
      </c>
      <c r="C301" s="30" t="s">
        <v>2632</v>
      </c>
      <c r="D301" s="33">
        <v>45588</v>
      </c>
      <c r="E301" s="30" t="s">
        <v>2633</v>
      </c>
      <c r="F301" s="30" t="s">
        <v>93</v>
      </c>
      <c r="G301" s="30"/>
      <c r="H301" s="30" t="s">
        <v>2634</v>
      </c>
      <c r="I301" s="35">
        <v>9985</v>
      </c>
      <c r="J301" s="30" t="s">
        <v>70</v>
      </c>
      <c r="K301" s="35">
        <v>7164</v>
      </c>
      <c r="L301" s="35"/>
      <c r="M301" s="30" t="s">
        <v>397</v>
      </c>
      <c r="N301" s="30"/>
      <c r="O301" s="30"/>
      <c r="P301" s="30"/>
      <c r="Q301" s="30"/>
      <c r="R301" s="30" t="s">
        <v>2635</v>
      </c>
      <c r="S301" s="30" t="s">
        <v>2636</v>
      </c>
      <c r="T301" s="30" t="s">
        <v>2637</v>
      </c>
      <c r="U301" s="30" t="s">
        <v>2638</v>
      </c>
      <c r="V301" s="30" t="s">
        <v>146</v>
      </c>
      <c r="W301" s="30" t="s">
        <v>72</v>
      </c>
      <c r="X301" s="30" t="s">
        <v>85</v>
      </c>
      <c r="Y301" s="30" t="s">
        <v>73</v>
      </c>
      <c r="Z301" s="33">
        <v>45510</v>
      </c>
      <c r="AA301" s="33">
        <v>45510</v>
      </c>
      <c r="AB301" s="30" t="s">
        <v>90</v>
      </c>
      <c r="AC301" s="30"/>
      <c r="AD301" s="30"/>
      <c r="AE301" s="30"/>
      <c r="AF301" s="30"/>
      <c r="AG301" s="30"/>
      <c r="AH301" s="30"/>
      <c r="AI301" s="30"/>
      <c r="AJ301" s="31">
        <f t="shared" si="26"/>
        <v>9985</v>
      </c>
      <c r="AK301" s="34">
        <f>23464750000/AJ301</f>
        <v>2350000</v>
      </c>
      <c r="AL301" s="31">
        <f t="shared" si="27"/>
        <v>7164</v>
      </c>
      <c r="AM301" s="34">
        <f>45601100000/AL301</f>
        <v>6365312.6744835284</v>
      </c>
      <c r="AN301" s="34">
        <v>1723800000</v>
      </c>
      <c r="AO301" s="34">
        <f t="shared" si="29"/>
        <v>70789650000</v>
      </c>
      <c r="AP301" s="30" t="s">
        <v>2639</v>
      </c>
      <c r="AQ301" s="30" t="s">
        <v>77</v>
      </c>
      <c r="AR301" s="30"/>
      <c r="AS301" s="30"/>
      <c r="AT301" s="30"/>
      <c r="AU301" s="30"/>
      <c r="AV301" s="35">
        <v>39720</v>
      </c>
      <c r="AW301" s="34">
        <v>1850000</v>
      </c>
      <c r="AX301" s="35"/>
      <c r="AY301" s="34"/>
      <c r="AZ301" s="34">
        <v>79440000000</v>
      </c>
      <c r="BA301" s="32">
        <f>AV301*AW301</f>
        <v>73482000000</v>
      </c>
      <c r="BB301" s="30" t="s">
        <v>2640</v>
      </c>
      <c r="BC301" s="30" t="s">
        <v>81</v>
      </c>
      <c r="BD301" s="30" t="s">
        <v>2639</v>
      </c>
      <c r="BE301" s="30" t="s">
        <v>77</v>
      </c>
      <c r="BF301" s="30"/>
      <c r="BG301" s="30"/>
      <c r="BH301" s="30"/>
      <c r="BI301" s="30"/>
      <c r="BJ301" s="36">
        <v>22000</v>
      </c>
      <c r="BK301" s="34">
        <v>2200000</v>
      </c>
      <c r="BL301" s="36"/>
      <c r="BM301" s="34"/>
      <c r="BN301" s="34">
        <v>55000000000</v>
      </c>
      <c r="BO301" s="32">
        <f t="shared" si="25"/>
        <v>48400000000</v>
      </c>
      <c r="BP301" s="30" t="s">
        <v>2641</v>
      </c>
      <c r="BQ301" s="30" t="s">
        <v>81</v>
      </c>
      <c r="BR301" s="30" t="s">
        <v>2642</v>
      </c>
      <c r="BS301" s="30" t="s">
        <v>77</v>
      </c>
      <c r="BT301" s="30"/>
      <c r="BU301" s="30"/>
      <c r="BV301" s="30"/>
      <c r="BW301" s="30"/>
      <c r="BX301" s="36">
        <v>20000</v>
      </c>
      <c r="BY301" s="34">
        <v>1850000</v>
      </c>
      <c r="BZ301" s="36"/>
      <c r="CA301" s="34"/>
      <c r="CB301" s="34">
        <v>40000000000</v>
      </c>
      <c r="CC301" s="32">
        <f t="shared" si="28"/>
        <v>37000000000</v>
      </c>
      <c r="CD301" s="30" t="s">
        <v>2643</v>
      </c>
      <c r="CE301" s="30" t="s">
        <v>81</v>
      </c>
      <c r="CF301" s="30" t="s">
        <v>196</v>
      </c>
      <c r="CG301" s="30"/>
      <c r="CH301" s="30"/>
      <c r="CI301" s="64"/>
      <c r="CJ301" s="64"/>
      <c r="CK301" s="64"/>
      <c r="CL301" s="64"/>
    </row>
    <row r="302" spans="2:90" ht="90" x14ac:dyDescent="0.25">
      <c r="B302" s="54" t="s">
        <v>2644</v>
      </c>
      <c r="C302" s="54" t="s">
        <v>2645</v>
      </c>
      <c r="D302" s="67">
        <v>45595</v>
      </c>
      <c r="E302" s="54" t="s">
        <v>2646</v>
      </c>
      <c r="F302" s="54" t="s">
        <v>93</v>
      </c>
      <c r="G302" s="30"/>
      <c r="H302" s="30" t="s">
        <v>2647</v>
      </c>
      <c r="I302" s="35">
        <v>4100</v>
      </c>
      <c r="J302" s="54" t="s">
        <v>70</v>
      </c>
      <c r="K302" s="35">
        <v>14884</v>
      </c>
      <c r="L302" s="35"/>
      <c r="M302" s="54" t="s">
        <v>397</v>
      </c>
      <c r="N302" s="30"/>
      <c r="O302" s="30"/>
      <c r="P302" s="30"/>
      <c r="Q302" s="30"/>
      <c r="R302" s="54" t="s">
        <v>2648</v>
      </c>
      <c r="S302" s="54" t="s">
        <v>2649</v>
      </c>
      <c r="T302" s="54" t="s">
        <v>2650</v>
      </c>
      <c r="U302" s="54" t="s">
        <v>164</v>
      </c>
      <c r="V302" s="54" t="s">
        <v>84</v>
      </c>
      <c r="W302" s="54" t="s">
        <v>72</v>
      </c>
      <c r="X302" s="54" t="s">
        <v>85</v>
      </c>
      <c r="Y302" s="54" t="s">
        <v>73</v>
      </c>
      <c r="Z302" s="67">
        <v>45359</v>
      </c>
      <c r="AA302" s="67">
        <v>45359</v>
      </c>
      <c r="AB302" s="54" t="s">
        <v>90</v>
      </c>
      <c r="AC302" s="30"/>
      <c r="AD302" s="30"/>
      <c r="AE302" s="30"/>
      <c r="AF302" s="30"/>
      <c r="AG302" s="30"/>
      <c r="AH302" s="30"/>
      <c r="AI302" s="30"/>
      <c r="AJ302" s="31">
        <f t="shared" si="26"/>
        <v>4100</v>
      </c>
      <c r="AK302" s="34">
        <f>103730000000/AJ302</f>
        <v>25300000</v>
      </c>
      <c r="AL302" s="31">
        <f t="shared" si="27"/>
        <v>14884</v>
      </c>
      <c r="AM302" s="34">
        <f>88108400000/AL302</f>
        <v>5919672.1311475411</v>
      </c>
      <c r="AN302" s="34">
        <v>3028345000</v>
      </c>
      <c r="AO302" s="34">
        <f t="shared" si="29"/>
        <v>194866745000</v>
      </c>
      <c r="AP302" s="54" t="s">
        <v>2651</v>
      </c>
      <c r="AQ302" s="54" t="s">
        <v>97</v>
      </c>
      <c r="AR302" s="30"/>
      <c r="AS302" s="30"/>
      <c r="AT302" s="30"/>
      <c r="AU302" s="30"/>
      <c r="AV302" s="86">
        <v>977</v>
      </c>
      <c r="AW302" s="51">
        <v>26860178</v>
      </c>
      <c r="AX302" s="86">
        <v>1822</v>
      </c>
      <c r="AY302" s="60"/>
      <c r="AZ302" s="51">
        <v>39000000000</v>
      </c>
      <c r="BA302" s="87">
        <f>AV302*AW302+(2611200*AX302)</f>
        <v>31000000306</v>
      </c>
      <c r="BB302" s="54" t="s">
        <v>2652</v>
      </c>
      <c r="BC302" s="54" t="s">
        <v>81</v>
      </c>
      <c r="BD302" s="54" t="s">
        <v>2653</v>
      </c>
      <c r="BE302" s="54" t="s">
        <v>97</v>
      </c>
      <c r="BF302" s="30"/>
      <c r="BG302" s="30"/>
      <c r="BH302" s="30"/>
      <c r="BI302" s="30"/>
      <c r="BJ302" s="88">
        <v>1600</v>
      </c>
      <c r="BK302" s="51">
        <v>27891275</v>
      </c>
      <c r="BL302" s="88">
        <v>980</v>
      </c>
      <c r="BM302" s="60"/>
      <c r="BN302" s="51">
        <v>58000000000</v>
      </c>
      <c r="BO302" s="87">
        <f>BJ302*BK302+(1402000*BL302)</f>
        <v>46000000000</v>
      </c>
      <c r="BP302" s="54" t="s">
        <v>2654</v>
      </c>
      <c r="BQ302" s="54" t="s">
        <v>81</v>
      </c>
      <c r="BR302" s="54" t="s">
        <v>2655</v>
      </c>
      <c r="BS302" s="54" t="s">
        <v>97</v>
      </c>
      <c r="BT302" s="30"/>
      <c r="BU302" s="30"/>
      <c r="BV302" s="30"/>
      <c r="BW302" s="30"/>
      <c r="BX302" s="88">
        <v>4868</v>
      </c>
      <c r="BY302" s="51">
        <v>25636667</v>
      </c>
      <c r="BZ302" s="88">
        <v>12992</v>
      </c>
      <c r="CA302" s="60"/>
      <c r="CB302" s="51">
        <v>185000000000</v>
      </c>
      <c r="CC302" s="87">
        <f>BX302*BY302+(1939710*BZ302)</f>
        <v>150000007276</v>
      </c>
      <c r="CD302" s="54" t="s">
        <v>2656</v>
      </c>
      <c r="CE302" s="54" t="s">
        <v>81</v>
      </c>
      <c r="CF302" s="54" t="s">
        <v>2657</v>
      </c>
      <c r="CG302" s="30"/>
      <c r="CH302" s="30"/>
      <c r="CI302" s="64"/>
      <c r="CJ302" s="64"/>
      <c r="CK302" s="64"/>
      <c r="CL302" s="64"/>
    </row>
    <row r="303" spans="2:90" ht="90" x14ac:dyDescent="0.25">
      <c r="B303" s="57"/>
      <c r="C303" s="57"/>
      <c r="D303" s="68"/>
      <c r="E303" s="57"/>
      <c r="F303" s="57"/>
      <c r="G303" s="30"/>
      <c r="H303" s="30" t="s">
        <v>2658</v>
      </c>
      <c r="I303" s="35">
        <v>2339</v>
      </c>
      <c r="J303" s="57"/>
      <c r="K303" s="35">
        <v>5430</v>
      </c>
      <c r="L303" s="35"/>
      <c r="M303" s="57"/>
      <c r="N303" s="30"/>
      <c r="O303" s="30"/>
      <c r="P303" s="30"/>
      <c r="Q303" s="30"/>
      <c r="R303" s="57"/>
      <c r="S303" s="58"/>
      <c r="T303" s="57"/>
      <c r="U303" s="57"/>
      <c r="V303" s="57"/>
      <c r="W303" s="57"/>
      <c r="X303" s="57"/>
      <c r="Y303" s="57"/>
      <c r="Z303" s="68"/>
      <c r="AA303" s="68"/>
      <c r="AB303" s="57"/>
      <c r="AC303" s="30"/>
      <c r="AD303" s="30"/>
      <c r="AE303" s="30"/>
      <c r="AF303" s="30"/>
      <c r="AG303" s="30"/>
      <c r="AH303" s="30"/>
      <c r="AI303" s="30"/>
      <c r="AJ303" s="31">
        <f t="shared" si="26"/>
        <v>2339</v>
      </c>
      <c r="AK303" s="34">
        <f>48067500000/AJ303</f>
        <v>20550448.909790508</v>
      </c>
      <c r="AL303" s="31">
        <f t="shared" si="27"/>
        <v>5430</v>
      </c>
      <c r="AM303" s="34">
        <f>28170500000/AL303</f>
        <v>5187937.384898711</v>
      </c>
      <c r="AN303" s="34">
        <v>1888813000</v>
      </c>
      <c r="AO303" s="34">
        <f t="shared" si="29"/>
        <v>78126813000</v>
      </c>
      <c r="AP303" s="57"/>
      <c r="AQ303" s="57"/>
      <c r="AR303" s="30"/>
      <c r="AS303" s="30"/>
      <c r="AT303" s="30"/>
      <c r="AU303" s="30"/>
      <c r="AV303" s="92"/>
      <c r="AW303" s="52"/>
      <c r="AX303" s="92"/>
      <c r="AY303" s="61"/>
      <c r="AZ303" s="52"/>
      <c r="BA303" s="93"/>
      <c r="BB303" s="57"/>
      <c r="BC303" s="57"/>
      <c r="BD303" s="57"/>
      <c r="BE303" s="57"/>
      <c r="BF303" s="30"/>
      <c r="BG303" s="30"/>
      <c r="BH303" s="30"/>
      <c r="BI303" s="30"/>
      <c r="BJ303" s="94"/>
      <c r="BK303" s="52"/>
      <c r="BL303" s="94"/>
      <c r="BM303" s="61"/>
      <c r="BN303" s="52"/>
      <c r="BO303" s="93"/>
      <c r="BP303" s="57"/>
      <c r="BQ303" s="57"/>
      <c r="BR303" s="57"/>
      <c r="BS303" s="57"/>
      <c r="BT303" s="30"/>
      <c r="BU303" s="30"/>
      <c r="BV303" s="30"/>
      <c r="BW303" s="30"/>
      <c r="BX303" s="94"/>
      <c r="BY303" s="52"/>
      <c r="BZ303" s="94"/>
      <c r="CA303" s="61"/>
      <c r="CB303" s="52"/>
      <c r="CC303" s="93"/>
      <c r="CD303" s="57"/>
      <c r="CE303" s="57"/>
      <c r="CF303" s="57"/>
      <c r="CG303" s="30"/>
      <c r="CH303" s="30"/>
      <c r="CI303" s="64"/>
      <c r="CJ303" s="64"/>
      <c r="CK303" s="64"/>
      <c r="CL303" s="64"/>
    </row>
    <row r="304" spans="2:90" ht="45" x14ac:dyDescent="0.25">
      <c r="B304" s="57"/>
      <c r="C304" s="57"/>
      <c r="D304" s="68"/>
      <c r="E304" s="57"/>
      <c r="F304" s="57"/>
      <c r="G304" s="30"/>
      <c r="H304" s="30" t="s">
        <v>2659</v>
      </c>
      <c r="I304" s="35">
        <v>675</v>
      </c>
      <c r="J304" s="57"/>
      <c r="K304" s="35">
        <v>2136</v>
      </c>
      <c r="L304" s="35"/>
      <c r="M304" s="58"/>
      <c r="N304" s="30"/>
      <c r="O304" s="30"/>
      <c r="P304" s="30"/>
      <c r="Q304" s="30"/>
      <c r="R304" s="58"/>
      <c r="S304" s="30" t="s">
        <v>2660</v>
      </c>
      <c r="T304" s="57"/>
      <c r="U304" s="57"/>
      <c r="V304" s="57"/>
      <c r="W304" s="57"/>
      <c r="X304" s="57"/>
      <c r="Y304" s="57"/>
      <c r="Z304" s="68"/>
      <c r="AA304" s="68"/>
      <c r="AB304" s="57"/>
      <c r="AC304" s="30"/>
      <c r="AD304" s="30"/>
      <c r="AE304" s="30"/>
      <c r="AF304" s="30"/>
      <c r="AG304" s="30"/>
      <c r="AH304" s="30"/>
      <c r="AI304" s="30"/>
      <c r="AJ304" s="31">
        <f t="shared" si="26"/>
        <v>675</v>
      </c>
      <c r="AK304" s="34">
        <f>17820000000/AJ304</f>
        <v>26400000</v>
      </c>
      <c r="AL304" s="31">
        <f t="shared" si="27"/>
        <v>2136</v>
      </c>
      <c r="AM304" s="34">
        <f>9343200000/AL304</f>
        <v>4374157.3033707868</v>
      </c>
      <c r="AN304" s="34">
        <v>83049000</v>
      </c>
      <c r="AO304" s="34">
        <f t="shared" si="29"/>
        <v>27246249000</v>
      </c>
      <c r="AP304" s="58"/>
      <c r="AQ304" s="58"/>
      <c r="AR304" s="30"/>
      <c r="AS304" s="30"/>
      <c r="AT304" s="30"/>
      <c r="AU304" s="30"/>
      <c r="AV304" s="89"/>
      <c r="AW304" s="53"/>
      <c r="AX304" s="89"/>
      <c r="AY304" s="62"/>
      <c r="AZ304" s="53"/>
      <c r="BA304" s="90"/>
      <c r="BB304" s="58"/>
      <c r="BC304" s="58"/>
      <c r="BD304" s="58"/>
      <c r="BE304" s="58"/>
      <c r="BF304" s="30"/>
      <c r="BG304" s="30"/>
      <c r="BH304" s="30"/>
      <c r="BI304" s="30"/>
      <c r="BJ304" s="91"/>
      <c r="BK304" s="53"/>
      <c r="BL304" s="91"/>
      <c r="BM304" s="62"/>
      <c r="BN304" s="53"/>
      <c r="BO304" s="90"/>
      <c r="BP304" s="58"/>
      <c r="BQ304" s="58"/>
      <c r="BR304" s="58"/>
      <c r="BS304" s="58"/>
      <c r="BT304" s="30"/>
      <c r="BU304" s="30"/>
      <c r="BV304" s="30"/>
      <c r="BW304" s="30"/>
      <c r="BX304" s="91"/>
      <c r="BY304" s="53"/>
      <c r="BZ304" s="91"/>
      <c r="CA304" s="62"/>
      <c r="CB304" s="53"/>
      <c r="CC304" s="90"/>
      <c r="CD304" s="58"/>
      <c r="CE304" s="58"/>
      <c r="CF304" s="57"/>
      <c r="CG304" s="30"/>
      <c r="CH304" s="30"/>
      <c r="CI304" s="64"/>
      <c r="CJ304" s="64"/>
      <c r="CK304" s="64"/>
      <c r="CL304" s="64"/>
    </row>
    <row r="305" spans="2:90" ht="45" x14ac:dyDescent="0.25">
      <c r="B305" s="57"/>
      <c r="C305" s="57"/>
      <c r="D305" s="68"/>
      <c r="E305" s="57"/>
      <c r="F305" s="57"/>
      <c r="G305" s="30"/>
      <c r="H305" s="30" t="s">
        <v>97</v>
      </c>
      <c r="I305" s="35">
        <v>156</v>
      </c>
      <c r="J305" s="57"/>
      <c r="K305" s="35">
        <v>192</v>
      </c>
      <c r="L305" s="35"/>
      <c r="M305" s="30"/>
      <c r="N305" s="30"/>
      <c r="O305" s="30"/>
      <c r="P305" s="30"/>
      <c r="Q305" s="30"/>
      <c r="R305" s="30" t="s">
        <v>2661</v>
      </c>
      <c r="S305" s="54" t="s">
        <v>2649</v>
      </c>
      <c r="T305" s="57"/>
      <c r="U305" s="57"/>
      <c r="V305" s="57"/>
      <c r="W305" s="57"/>
      <c r="X305" s="57"/>
      <c r="Y305" s="57"/>
      <c r="Z305" s="68"/>
      <c r="AA305" s="68"/>
      <c r="AB305" s="57"/>
      <c r="AC305" s="30"/>
      <c r="AD305" s="30"/>
      <c r="AE305" s="30"/>
      <c r="AF305" s="30"/>
      <c r="AG305" s="30"/>
      <c r="AH305" s="30"/>
      <c r="AI305" s="30"/>
      <c r="AJ305" s="31">
        <f t="shared" si="26"/>
        <v>156</v>
      </c>
      <c r="AK305" s="34">
        <f>561600000/AJ305</f>
        <v>3600000</v>
      </c>
      <c r="AL305" s="31">
        <f t="shared" si="27"/>
        <v>192</v>
      </c>
      <c r="AM305" s="34">
        <f>184500000/AL305</f>
        <v>960937.5</v>
      </c>
      <c r="AN305" s="34"/>
      <c r="AO305" s="34">
        <f t="shared" si="29"/>
        <v>746100000</v>
      </c>
      <c r="AP305" s="54" t="s">
        <v>2662</v>
      </c>
      <c r="AQ305" s="54" t="s">
        <v>83</v>
      </c>
      <c r="AR305" s="30"/>
      <c r="AS305" s="30"/>
      <c r="AT305" s="30"/>
      <c r="AU305" s="30"/>
      <c r="AV305" s="86">
        <v>30</v>
      </c>
      <c r="AW305" s="51">
        <v>3112767</v>
      </c>
      <c r="AX305" s="86">
        <v>60</v>
      </c>
      <c r="AY305" s="60"/>
      <c r="AZ305" s="51">
        <v>390000000</v>
      </c>
      <c r="BA305" s="87">
        <f>AV305*AW305+(3943617*AX305)</f>
        <v>330000030</v>
      </c>
      <c r="BB305" s="54" t="s">
        <v>2663</v>
      </c>
      <c r="BC305" s="54" t="s">
        <v>81</v>
      </c>
      <c r="BD305" s="54" t="s">
        <v>2664</v>
      </c>
      <c r="BE305" s="54" t="s">
        <v>83</v>
      </c>
      <c r="BF305" s="30"/>
      <c r="BG305" s="30"/>
      <c r="BH305" s="30"/>
      <c r="BI305" s="30"/>
      <c r="BJ305" s="88">
        <v>78</v>
      </c>
      <c r="BK305" s="51">
        <v>4111779</v>
      </c>
      <c r="BL305" s="88">
        <v>65</v>
      </c>
      <c r="BM305" s="60"/>
      <c r="BN305" s="51">
        <v>650000000</v>
      </c>
      <c r="BO305" s="87">
        <f>BJ305*BK305+(3681250*BL305)</f>
        <v>560000012</v>
      </c>
      <c r="BP305" s="54" t="s">
        <v>2665</v>
      </c>
      <c r="BQ305" s="54" t="s">
        <v>81</v>
      </c>
      <c r="BR305" s="54" t="s">
        <v>2666</v>
      </c>
      <c r="BS305" s="54" t="s">
        <v>83</v>
      </c>
      <c r="BT305" s="30"/>
      <c r="BU305" s="30"/>
      <c r="BV305" s="30"/>
      <c r="BW305" s="30"/>
      <c r="BX305" s="88">
        <v>88</v>
      </c>
      <c r="BY305" s="51">
        <v>3125000</v>
      </c>
      <c r="BZ305" s="88">
        <v>80</v>
      </c>
      <c r="CA305" s="60"/>
      <c r="CB305" s="51">
        <v>493500000</v>
      </c>
      <c r="CC305" s="87">
        <f>BX305*BY305+(1937500*BZ305)</f>
        <v>430000000</v>
      </c>
      <c r="CD305" s="54" t="s">
        <v>2667</v>
      </c>
      <c r="CE305" s="54" t="s">
        <v>81</v>
      </c>
      <c r="CF305" s="57"/>
      <c r="CG305" s="30"/>
      <c r="CH305" s="30"/>
      <c r="CI305" s="64"/>
      <c r="CJ305" s="64"/>
      <c r="CK305" s="64"/>
      <c r="CL305" s="64"/>
    </row>
    <row r="306" spans="2:90" ht="45" x14ac:dyDescent="0.25">
      <c r="B306" s="57"/>
      <c r="C306" s="57"/>
      <c r="D306" s="68"/>
      <c r="E306" s="57"/>
      <c r="F306" s="57"/>
      <c r="G306" s="30"/>
      <c r="H306" s="30" t="s">
        <v>77</v>
      </c>
      <c r="I306" s="35">
        <v>186</v>
      </c>
      <c r="J306" s="57"/>
      <c r="K306" s="35"/>
      <c r="L306" s="35"/>
      <c r="M306" s="30"/>
      <c r="N306" s="30"/>
      <c r="O306" s="30"/>
      <c r="P306" s="30"/>
      <c r="Q306" s="30"/>
      <c r="R306" s="30" t="s">
        <v>2668</v>
      </c>
      <c r="S306" s="57"/>
      <c r="T306" s="57"/>
      <c r="U306" s="57"/>
      <c r="V306" s="57"/>
      <c r="W306" s="57"/>
      <c r="X306" s="57"/>
      <c r="Y306" s="57"/>
      <c r="Z306" s="68"/>
      <c r="AA306" s="68"/>
      <c r="AB306" s="57"/>
      <c r="AC306" s="30"/>
      <c r="AD306" s="30"/>
      <c r="AE306" s="30"/>
      <c r="AF306" s="30"/>
      <c r="AG306" s="30"/>
      <c r="AH306" s="30"/>
      <c r="AI306" s="30"/>
      <c r="AJ306" s="31">
        <f t="shared" si="26"/>
        <v>186</v>
      </c>
      <c r="AK306" s="34">
        <f>669600000/AJ306</f>
        <v>3600000</v>
      </c>
      <c r="AL306" s="31">
        <f t="shared" si="27"/>
        <v>0</v>
      </c>
      <c r="AM306" s="34"/>
      <c r="AN306" s="34"/>
      <c r="AO306" s="34">
        <f t="shared" si="29"/>
        <v>669600000</v>
      </c>
      <c r="AP306" s="58"/>
      <c r="AQ306" s="58"/>
      <c r="AR306" s="30"/>
      <c r="AS306" s="30"/>
      <c r="AT306" s="30"/>
      <c r="AU306" s="30"/>
      <c r="AV306" s="89"/>
      <c r="AW306" s="53"/>
      <c r="AX306" s="89"/>
      <c r="AY306" s="62"/>
      <c r="AZ306" s="53"/>
      <c r="BA306" s="90"/>
      <c r="BB306" s="58"/>
      <c r="BC306" s="58"/>
      <c r="BD306" s="58"/>
      <c r="BE306" s="58"/>
      <c r="BF306" s="30"/>
      <c r="BG306" s="30"/>
      <c r="BH306" s="30"/>
      <c r="BI306" s="30"/>
      <c r="BJ306" s="91"/>
      <c r="BK306" s="53"/>
      <c r="BL306" s="91"/>
      <c r="BM306" s="62"/>
      <c r="BN306" s="53"/>
      <c r="BO306" s="90"/>
      <c r="BP306" s="58"/>
      <c r="BQ306" s="58"/>
      <c r="BR306" s="58"/>
      <c r="BS306" s="58"/>
      <c r="BT306" s="30"/>
      <c r="BU306" s="30"/>
      <c r="BV306" s="30"/>
      <c r="BW306" s="30"/>
      <c r="BX306" s="91"/>
      <c r="BY306" s="53"/>
      <c r="BZ306" s="91"/>
      <c r="CA306" s="62"/>
      <c r="CB306" s="53"/>
      <c r="CC306" s="90"/>
      <c r="CD306" s="58"/>
      <c r="CE306" s="58"/>
      <c r="CF306" s="57"/>
      <c r="CG306" s="30"/>
      <c r="CH306" s="30"/>
      <c r="CI306" s="64"/>
      <c r="CJ306" s="64"/>
      <c r="CK306" s="64"/>
      <c r="CL306" s="64"/>
    </row>
    <row r="307" spans="2:90" ht="120" x14ac:dyDescent="0.25">
      <c r="B307" s="57"/>
      <c r="C307" s="57"/>
      <c r="D307" s="68"/>
      <c r="E307" s="57"/>
      <c r="F307" s="57"/>
      <c r="G307" s="30"/>
      <c r="H307" s="30" t="s">
        <v>97</v>
      </c>
      <c r="I307" s="35">
        <v>290</v>
      </c>
      <c r="J307" s="57"/>
      <c r="K307" s="35">
        <v>430</v>
      </c>
      <c r="L307" s="35"/>
      <c r="M307" s="30"/>
      <c r="N307" s="30"/>
      <c r="O307" s="30"/>
      <c r="P307" s="30"/>
      <c r="Q307" s="30"/>
      <c r="R307" s="30" t="s">
        <v>2669</v>
      </c>
      <c r="S307" s="57"/>
      <c r="T307" s="57"/>
      <c r="U307" s="57"/>
      <c r="V307" s="57"/>
      <c r="W307" s="57"/>
      <c r="X307" s="57"/>
      <c r="Y307" s="57"/>
      <c r="Z307" s="68"/>
      <c r="AA307" s="68"/>
      <c r="AB307" s="57"/>
      <c r="AC307" s="30"/>
      <c r="AD307" s="30"/>
      <c r="AE307" s="30"/>
      <c r="AF307" s="30"/>
      <c r="AG307" s="30"/>
      <c r="AH307" s="30"/>
      <c r="AI307" s="30"/>
      <c r="AJ307" s="31">
        <f t="shared" si="26"/>
        <v>290</v>
      </c>
      <c r="AK307" s="34">
        <v>191000</v>
      </c>
      <c r="AL307" s="31">
        <f t="shared" si="27"/>
        <v>430</v>
      </c>
      <c r="AM307" s="34"/>
      <c r="AN307" s="34"/>
      <c r="AO307" s="34">
        <v>144100000</v>
      </c>
      <c r="AP307" s="30" t="s">
        <v>2670</v>
      </c>
      <c r="AQ307" s="30" t="s">
        <v>97</v>
      </c>
      <c r="AR307" s="30"/>
      <c r="AS307" s="30"/>
      <c r="AT307" s="30"/>
      <c r="AU307" s="30"/>
      <c r="AV307" s="35"/>
      <c r="AW307" s="34">
        <v>266667</v>
      </c>
      <c r="AX307" s="35">
        <v>60</v>
      </c>
      <c r="AY307" s="34"/>
      <c r="AZ307" s="34"/>
      <c r="BA307" s="32">
        <f>AX307*AW307</f>
        <v>16000020</v>
      </c>
      <c r="BB307" s="30" t="s">
        <v>2671</v>
      </c>
      <c r="BC307" s="30" t="s">
        <v>81</v>
      </c>
      <c r="BD307" s="30" t="s">
        <v>2672</v>
      </c>
      <c r="BE307" s="30" t="s">
        <v>97</v>
      </c>
      <c r="BF307" s="30"/>
      <c r="BG307" s="30"/>
      <c r="BH307" s="30"/>
      <c r="BI307" s="30"/>
      <c r="BJ307" s="36"/>
      <c r="BK307" s="34">
        <v>356000</v>
      </c>
      <c r="BL307" s="36">
        <v>250</v>
      </c>
      <c r="BM307" s="34"/>
      <c r="BN307" s="34">
        <v>100000000</v>
      </c>
      <c r="BO307" s="32">
        <f>BK307*BL307</f>
        <v>89000000</v>
      </c>
      <c r="BP307" s="30" t="s">
        <v>2673</v>
      </c>
      <c r="BQ307" s="30" t="s">
        <v>81</v>
      </c>
      <c r="BR307" s="30" t="s">
        <v>2674</v>
      </c>
      <c r="BS307" s="30" t="s">
        <v>97</v>
      </c>
      <c r="BT307" s="30"/>
      <c r="BU307" s="30"/>
      <c r="BV307" s="30"/>
      <c r="BW307" s="30"/>
      <c r="BX307" s="36"/>
      <c r="BY307" s="34">
        <v>321429</v>
      </c>
      <c r="BZ307" s="36">
        <v>280</v>
      </c>
      <c r="CA307" s="34"/>
      <c r="CB307" s="34">
        <v>96000000</v>
      </c>
      <c r="CC307" s="32">
        <f>BY307*BZ307</f>
        <v>90000120</v>
      </c>
      <c r="CD307" s="30" t="s">
        <v>2675</v>
      </c>
      <c r="CE307" s="30" t="s">
        <v>81</v>
      </c>
      <c r="CF307" s="57"/>
      <c r="CG307" s="30"/>
      <c r="CH307" s="30"/>
      <c r="CI307" s="64"/>
      <c r="CJ307" s="64"/>
      <c r="CK307" s="64"/>
      <c r="CL307" s="64"/>
    </row>
    <row r="308" spans="2:90" ht="30" x14ac:dyDescent="0.25">
      <c r="B308" s="57"/>
      <c r="C308" s="57"/>
      <c r="D308" s="68"/>
      <c r="E308" s="57"/>
      <c r="F308" s="57"/>
      <c r="G308" s="30"/>
      <c r="H308" s="30" t="s">
        <v>97</v>
      </c>
      <c r="I308" s="35">
        <v>101</v>
      </c>
      <c r="J308" s="57"/>
      <c r="K308" s="35">
        <v>154</v>
      </c>
      <c r="L308" s="35"/>
      <c r="M308" s="30"/>
      <c r="N308" s="30"/>
      <c r="O308" s="30"/>
      <c r="P308" s="30"/>
      <c r="Q308" s="30"/>
      <c r="R308" s="30" t="s">
        <v>2676</v>
      </c>
      <c r="S308" s="57"/>
      <c r="T308" s="57"/>
      <c r="U308" s="57"/>
      <c r="V308" s="57"/>
      <c r="W308" s="57"/>
      <c r="X308" s="57"/>
      <c r="Y308" s="57"/>
      <c r="Z308" s="68"/>
      <c r="AA308" s="68"/>
      <c r="AB308" s="57"/>
      <c r="AC308" s="30"/>
      <c r="AD308" s="30"/>
      <c r="AE308" s="30"/>
      <c r="AF308" s="30"/>
      <c r="AG308" s="30"/>
      <c r="AH308" s="30"/>
      <c r="AI308" s="30"/>
      <c r="AJ308" s="31">
        <f t="shared" si="26"/>
        <v>101</v>
      </c>
      <c r="AK308" s="34">
        <f>319160000/AJ308</f>
        <v>3160000</v>
      </c>
      <c r="AL308" s="31">
        <f t="shared" si="27"/>
        <v>154</v>
      </c>
      <c r="AM308" s="34">
        <f>91500000/AL308</f>
        <v>594155.84415584418</v>
      </c>
      <c r="AN308" s="34"/>
      <c r="AO308" s="34">
        <f t="shared" si="29"/>
        <v>410660000</v>
      </c>
      <c r="AP308" s="54" t="s">
        <v>2662</v>
      </c>
      <c r="AQ308" s="54" t="s">
        <v>83</v>
      </c>
      <c r="AR308" s="30"/>
      <c r="AS308" s="30"/>
      <c r="AT308" s="30"/>
      <c r="AU308" s="30"/>
      <c r="AV308" s="86">
        <v>30</v>
      </c>
      <c r="AW308" s="51">
        <v>3112767</v>
      </c>
      <c r="AX308" s="86">
        <v>60</v>
      </c>
      <c r="AY308" s="60"/>
      <c r="AZ308" s="51">
        <v>390000000</v>
      </c>
      <c r="BA308" s="87">
        <f>AV308*AW308+(3943617*AX308)</f>
        <v>330000030</v>
      </c>
      <c r="BB308" s="54" t="s">
        <v>2663</v>
      </c>
      <c r="BC308" s="54" t="s">
        <v>81</v>
      </c>
      <c r="BD308" s="54" t="s">
        <v>2664</v>
      </c>
      <c r="BE308" s="54" t="s">
        <v>83</v>
      </c>
      <c r="BF308" s="30"/>
      <c r="BG308" s="30"/>
      <c r="BH308" s="30"/>
      <c r="BI308" s="30"/>
      <c r="BJ308" s="88">
        <v>78</v>
      </c>
      <c r="BK308" s="51">
        <v>4111779</v>
      </c>
      <c r="BL308" s="88">
        <v>65</v>
      </c>
      <c r="BM308" s="60"/>
      <c r="BN308" s="51">
        <v>650000000</v>
      </c>
      <c r="BO308" s="87">
        <f>BJ308*BK308+(3681250*BL308)</f>
        <v>560000012</v>
      </c>
      <c r="BP308" s="54" t="s">
        <v>2665</v>
      </c>
      <c r="BQ308" s="54" t="s">
        <v>81</v>
      </c>
      <c r="BR308" s="54" t="s">
        <v>2666</v>
      </c>
      <c r="BS308" s="54" t="s">
        <v>83</v>
      </c>
      <c r="BT308" s="30"/>
      <c r="BU308" s="30"/>
      <c r="BV308" s="30"/>
      <c r="BW308" s="30"/>
      <c r="BX308" s="88">
        <v>88</v>
      </c>
      <c r="BY308" s="51">
        <v>3125000</v>
      </c>
      <c r="BZ308" s="88">
        <v>80</v>
      </c>
      <c r="CA308" s="60"/>
      <c r="CB308" s="51">
        <v>493500000</v>
      </c>
      <c r="CC308" s="87">
        <f>BX308*BY308+(1937500*BZ308)</f>
        <v>430000000</v>
      </c>
      <c r="CD308" s="54" t="s">
        <v>2667</v>
      </c>
      <c r="CE308" s="54" t="s">
        <v>81</v>
      </c>
      <c r="CF308" s="57"/>
      <c r="CG308" s="30"/>
      <c r="CH308" s="30"/>
      <c r="CI308" s="64"/>
      <c r="CJ308" s="64"/>
      <c r="CK308" s="64"/>
      <c r="CL308" s="64"/>
    </row>
    <row r="309" spans="2:90" ht="30" x14ac:dyDescent="0.25">
      <c r="B309" s="58"/>
      <c r="C309" s="58"/>
      <c r="D309" s="69"/>
      <c r="E309" s="58"/>
      <c r="F309" s="58"/>
      <c r="G309" s="30"/>
      <c r="H309" s="30" t="s">
        <v>97</v>
      </c>
      <c r="I309" s="35">
        <v>227</v>
      </c>
      <c r="J309" s="58"/>
      <c r="K309" s="35">
        <v>126</v>
      </c>
      <c r="L309" s="35"/>
      <c r="M309" s="30"/>
      <c r="N309" s="30"/>
      <c r="O309" s="30"/>
      <c r="P309" s="30"/>
      <c r="Q309" s="30"/>
      <c r="R309" s="30" t="s">
        <v>2676</v>
      </c>
      <c r="S309" s="58"/>
      <c r="T309" s="58"/>
      <c r="U309" s="58"/>
      <c r="V309" s="58"/>
      <c r="W309" s="58"/>
      <c r="X309" s="58"/>
      <c r="Y309" s="58"/>
      <c r="Z309" s="69"/>
      <c r="AA309" s="69"/>
      <c r="AB309" s="58"/>
      <c r="AC309" s="30"/>
      <c r="AD309" s="30"/>
      <c r="AE309" s="30"/>
      <c r="AF309" s="30"/>
      <c r="AG309" s="30"/>
      <c r="AH309" s="30"/>
      <c r="AI309" s="30"/>
      <c r="AJ309" s="31">
        <f t="shared" si="26"/>
        <v>227</v>
      </c>
      <c r="AK309" s="34">
        <f>703700000/AJ309</f>
        <v>3100000</v>
      </c>
      <c r="AL309" s="31">
        <f t="shared" si="27"/>
        <v>126</v>
      </c>
      <c r="AM309" s="34">
        <f>58000000/AL309</f>
        <v>460317.4603174603</v>
      </c>
      <c r="AN309" s="34"/>
      <c r="AO309" s="34">
        <f t="shared" si="29"/>
        <v>761700000</v>
      </c>
      <c r="AP309" s="58"/>
      <c r="AQ309" s="58"/>
      <c r="AR309" s="30"/>
      <c r="AS309" s="30"/>
      <c r="AT309" s="30"/>
      <c r="AU309" s="30"/>
      <c r="AV309" s="89"/>
      <c r="AW309" s="53"/>
      <c r="AX309" s="89"/>
      <c r="AY309" s="62"/>
      <c r="AZ309" s="53"/>
      <c r="BA309" s="90"/>
      <c r="BB309" s="58"/>
      <c r="BC309" s="58"/>
      <c r="BD309" s="58"/>
      <c r="BE309" s="58"/>
      <c r="BF309" s="30"/>
      <c r="BG309" s="30"/>
      <c r="BH309" s="30"/>
      <c r="BI309" s="30"/>
      <c r="BJ309" s="91"/>
      <c r="BK309" s="53"/>
      <c r="BL309" s="91"/>
      <c r="BM309" s="62"/>
      <c r="BN309" s="53"/>
      <c r="BO309" s="90"/>
      <c r="BP309" s="58"/>
      <c r="BQ309" s="58"/>
      <c r="BR309" s="58"/>
      <c r="BS309" s="58"/>
      <c r="BT309" s="30"/>
      <c r="BU309" s="30"/>
      <c r="BV309" s="30"/>
      <c r="BW309" s="30"/>
      <c r="BX309" s="91"/>
      <c r="BY309" s="53"/>
      <c r="BZ309" s="91"/>
      <c r="CA309" s="62"/>
      <c r="CB309" s="53"/>
      <c r="CC309" s="90"/>
      <c r="CD309" s="58"/>
      <c r="CE309" s="58"/>
      <c r="CF309" s="58"/>
      <c r="CG309" s="30"/>
      <c r="CH309" s="30"/>
      <c r="CI309" s="64"/>
      <c r="CJ309" s="64"/>
      <c r="CK309" s="64"/>
      <c r="CL309" s="64"/>
    </row>
    <row r="310" spans="2:90" ht="135" x14ac:dyDescent="0.25">
      <c r="B310" s="30" t="s">
        <v>2677</v>
      </c>
      <c r="C310" s="30" t="s">
        <v>2678</v>
      </c>
      <c r="D310" s="33">
        <v>45596</v>
      </c>
      <c r="E310" s="30" t="s">
        <v>2679</v>
      </c>
      <c r="F310" s="30" t="s">
        <v>845</v>
      </c>
      <c r="G310" s="30"/>
      <c r="H310" s="30" t="s">
        <v>2680</v>
      </c>
      <c r="I310" s="35">
        <v>17110</v>
      </c>
      <c r="J310" s="30" t="s">
        <v>70</v>
      </c>
      <c r="K310" s="35">
        <v>38759</v>
      </c>
      <c r="L310" s="35"/>
      <c r="M310" s="30" t="s">
        <v>397</v>
      </c>
      <c r="N310" s="30"/>
      <c r="O310" s="30"/>
      <c r="P310" s="30"/>
      <c r="Q310" s="30"/>
      <c r="R310" s="30" t="s">
        <v>2681</v>
      </c>
      <c r="S310" s="30" t="s">
        <v>2682</v>
      </c>
      <c r="T310" s="30" t="s">
        <v>2683</v>
      </c>
      <c r="U310" s="30" t="s">
        <v>116</v>
      </c>
      <c r="V310" s="30" t="s">
        <v>84</v>
      </c>
      <c r="W310" s="30" t="s">
        <v>72</v>
      </c>
      <c r="X310" s="30" t="s">
        <v>85</v>
      </c>
      <c r="Y310" s="30" t="s">
        <v>73</v>
      </c>
      <c r="Z310" s="33">
        <v>45533</v>
      </c>
      <c r="AA310" s="33">
        <v>45533</v>
      </c>
      <c r="AB310" s="30" t="s">
        <v>90</v>
      </c>
      <c r="AC310" s="30"/>
      <c r="AD310" s="30"/>
      <c r="AE310" s="30"/>
      <c r="AF310" s="30"/>
      <c r="AG310" s="30"/>
      <c r="AH310" s="30"/>
      <c r="AI310" s="30"/>
      <c r="AJ310" s="31">
        <f t="shared" si="26"/>
        <v>17110</v>
      </c>
      <c r="AK310" s="34">
        <f>641625000000/AJ310</f>
        <v>37500000</v>
      </c>
      <c r="AL310" s="31">
        <f t="shared" si="27"/>
        <v>38759</v>
      </c>
      <c r="AM310" s="34">
        <f>131093900000/AL310</f>
        <v>3382282.8246342787</v>
      </c>
      <c r="AN310" s="34">
        <v>2196302000</v>
      </c>
      <c r="AO310" s="34">
        <f t="shared" si="29"/>
        <v>774915202000</v>
      </c>
      <c r="AP310" s="30" t="s">
        <v>2684</v>
      </c>
      <c r="AQ310" s="30" t="s">
        <v>97</v>
      </c>
      <c r="AR310" s="30"/>
      <c r="AS310" s="30"/>
      <c r="AT310" s="30"/>
      <c r="AU310" s="30"/>
      <c r="AV310" s="35">
        <v>1820</v>
      </c>
      <c r="AW310" s="34">
        <v>40934066</v>
      </c>
      <c r="AX310" s="35"/>
      <c r="AY310" s="34"/>
      <c r="AZ310" s="34">
        <v>90000000000</v>
      </c>
      <c r="BA310" s="32">
        <f>AV310*AW310</f>
        <v>74500000120</v>
      </c>
      <c r="BB310" s="30" t="s">
        <v>2685</v>
      </c>
      <c r="BC310" s="30" t="s">
        <v>81</v>
      </c>
      <c r="BD310" s="30" t="s">
        <v>2686</v>
      </c>
      <c r="BE310" s="30" t="s">
        <v>97</v>
      </c>
      <c r="BF310" s="30"/>
      <c r="BG310" s="30"/>
      <c r="BH310" s="30"/>
      <c r="BI310" s="30"/>
      <c r="BJ310" s="36">
        <v>1650</v>
      </c>
      <c r="BK310" s="34">
        <v>40842181</v>
      </c>
      <c r="BL310" s="36">
        <v>1970</v>
      </c>
      <c r="BM310" s="34"/>
      <c r="BN310" s="34">
        <v>87000000000</v>
      </c>
      <c r="BO310" s="32">
        <f>BJ310*BK310+(4118000*BL310)</f>
        <v>75502058650</v>
      </c>
      <c r="BP310" s="30" t="s">
        <v>2687</v>
      </c>
      <c r="BQ310" s="30" t="s">
        <v>81</v>
      </c>
      <c r="BR310" s="30" t="s">
        <v>2688</v>
      </c>
      <c r="BS310" s="30" t="s">
        <v>97</v>
      </c>
      <c r="BT310" s="30"/>
      <c r="BU310" s="30"/>
      <c r="BV310" s="30"/>
      <c r="BW310" s="30"/>
      <c r="BX310" s="36">
        <v>2947</v>
      </c>
      <c r="BY310" s="34">
        <v>41197828</v>
      </c>
      <c r="BZ310" s="36">
        <v>5000</v>
      </c>
      <c r="CA310" s="34"/>
      <c r="CB310" s="34">
        <v>160000000000</v>
      </c>
      <c r="CC310" s="32">
        <f>BX310*BY310+(4118000*BZ310)</f>
        <v>141999999116</v>
      </c>
      <c r="CD310" s="30" t="s">
        <v>2689</v>
      </c>
      <c r="CE310" s="30" t="s">
        <v>81</v>
      </c>
      <c r="CF310" s="30" t="s">
        <v>2690</v>
      </c>
      <c r="CG310" s="30"/>
      <c r="CH310" s="30"/>
      <c r="CI310" s="64"/>
      <c r="CJ310" s="64"/>
      <c r="CK310" s="64"/>
      <c r="CL310" s="64"/>
    </row>
    <row r="311" spans="2:90" ht="120" x14ac:dyDescent="0.25">
      <c r="B311" s="30" t="s">
        <v>2691</v>
      </c>
      <c r="C311" s="30" t="s">
        <v>2692</v>
      </c>
      <c r="D311" s="33">
        <v>45597</v>
      </c>
      <c r="E311" s="30" t="s">
        <v>180</v>
      </c>
      <c r="F311" s="30" t="s">
        <v>198</v>
      </c>
      <c r="G311" s="30"/>
      <c r="H311" s="30" t="s">
        <v>77</v>
      </c>
      <c r="I311" s="35">
        <v>15209</v>
      </c>
      <c r="J311" s="30" t="s">
        <v>70</v>
      </c>
      <c r="K311" s="35"/>
      <c r="L311" s="35"/>
      <c r="M311" s="30"/>
      <c r="N311" s="30"/>
      <c r="O311" s="30"/>
      <c r="P311" s="30"/>
      <c r="Q311" s="30" t="s">
        <v>181</v>
      </c>
      <c r="R311" s="30"/>
      <c r="S311" s="30" t="s">
        <v>182</v>
      </c>
      <c r="T311" s="30" t="s">
        <v>2693</v>
      </c>
      <c r="U311" s="30" t="s">
        <v>183</v>
      </c>
      <c r="V311" s="30" t="s">
        <v>80</v>
      </c>
      <c r="W311" s="30" t="s">
        <v>72</v>
      </c>
      <c r="X311" s="30" t="s">
        <v>85</v>
      </c>
      <c r="Y311" s="30" t="s">
        <v>73</v>
      </c>
      <c r="Z311" s="33">
        <v>45552</v>
      </c>
      <c r="AA311" s="33">
        <v>45552</v>
      </c>
      <c r="AB311" s="30" t="s">
        <v>90</v>
      </c>
      <c r="AC311" s="30"/>
      <c r="AD311" s="30"/>
      <c r="AE311" s="30"/>
      <c r="AF311" s="30"/>
      <c r="AG311" s="30"/>
      <c r="AH311" s="30"/>
      <c r="AI311" s="30"/>
      <c r="AJ311" s="31">
        <f t="shared" si="26"/>
        <v>15209</v>
      </c>
      <c r="AK311" s="34">
        <f>12632159683/AJ311</f>
        <v>830571.35137089877</v>
      </c>
      <c r="AL311" s="31">
        <f>K311</f>
        <v>0</v>
      </c>
      <c r="AM311" s="34"/>
      <c r="AN311" s="34"/>
      <c r="AO311" s="34">
        <f t="shared" si="29"/>
        <v>12632159683</v>
      </c>
      <c r="AP311" s="30" t="s">
        <v>2694</v>
      </c>
      <c r="AQ311" s="30" t="s">
        <v>83</v>
      </c>
      <c r="AR311" s="30"/>
      <c r="AS311" s="30"/>
      <c r="AT311" s="30"/>
      <c r="AU311" s="30"/>
      <c r="AV311" s="35">
        <v>175</v>
      </c>
      <c r="AW311" s="34">
        <v>3347786</v>
      </c>
      <c r="AX311" s="35">
        <v>250</v>
      </c>
      <c r="AY311" s="34"/>
      <c r="AZ311" s="34">
        <v>1300000000</v>
      </c>
      <c r="BA311" s="32">
        <f>AV311*AW311+(2096550*AX311)</f>
        <v>1110000050</v>
      </c>
      <c r="BB311" s="30" t="s">
        <v>2695</v>
      </c>
      <c r="BC311" s="30" t="s">
        <v>81</v>
      </c>
      <c r="BD311" s="30" t="s">
        <v>2696</v>
      </c>
      <c r="BE311" s="30" t="s">
        <v>83</v>
      </c>
      <c r="BF311" s="30"/>
      <c r="BG311" s="30"/>
      <c r="BH311" s="30"/>
      <c r="BI311" s="30"/>
      <c r="BJ311" s="36">
        <v>100</v>
      </c>
      <c r="BK311" s="34">
        <v>3363500</v>
      </c>
      <c r="BL311" s="36">
        <v>50</v>
      </c>
      <c r="BM311" s="34"/>
      <c r="BN311" s="34">
        <v>420000000</v>
      </c>
      <c r="BO311" s="32">
        <f>BJ311*BK311+(873000*BL311)</f>
        <v>380000000</v>
      </c>
      <c r="BP311" s="30" t="s">
        <v>184</v>
      </c>
      <c r="BQ311" s="30" t="s">
        <v>81</v>
      </c>
      <c r="BR311" s="30" t="s">
        <v>2694</v>
      </c>
      <c r="BS311" s="30" t="s">
        <v>83</v>
      </c>
      <c r="BT311" s="30"/>
      <c r="BU311" s="30"/>
      <c r="BV311" s="30"/>
      <c r="BW311" s="30"/>
      <c r="BX311" s="36">
        <v>150</v>
      </c>
      <c r="BY311" s="34">
        <v>3450800</v>
      </c>
      <c r="BZ311" s="36">
        <v>45</v>
      </c>
      <c r="CA311" s="34"/>
      <c r="CB311" s="34">
        <v>650000000</v>
      </c>
      <c r="CC311" s="32">
        <f>BX311*BY311+(1164000*BZ311)</f>
        <v>570000000</v>
      </c>
      <c r="CD311" s="30" t="s">
        <v>2697</v>
      </c>
      <c r="CE311" s="30" t="s">
        <v>81</v>
      </c>
      <c r="CF311" s="30" t="s">
        <v>1083</v>
      </c>
      <c r="CG311" s="30"/>
      <c r="CH311" s="30"/>
      <c r="CI311" s="64"/>
      <c r="CJ311" s="64"/>
      <c r="CK311" s="64"/>
      <c r="CL311" s="64"/>
    </row>
    <row r="312" spans="2:90" ht="45" x14ac:dyDescent="0.25">
      <c r="B312" s="54" t="s">
        <v>2698</v>
      </c>
      <c r="C312" s="54" t="s">
        <v>2699</v>
      </c>
      <c r="D312" s="79">
        <v>45600</v>
      </c>
      <c r="E312" s="54" t="s">
        <v>2700</v>
      </c>
      <c r="F312" s="67" t="s">
        <v>2700</v>
      </c>
      <c r="G312" s="30">
        <v>1</v>
      </c>
      <c r="H312" s="30" t="s">
        <v>113</v>
      </c>
      <c r="I312" s="35">
        <v>995</v>
      </c>
      <c r="J312" s="54" t="s">
        <v>70</v>
      </c>
      <c r="K312" s="35">
        <v>2397</v>
      </c>
      <c r="L312" s="35"/>
      <c r="M312" s="30"/>
      <c r="N312" s="30"/>
      <c r="O312" s="30"/>
      <c r="P312" s="30"/>
      <c r="Q312" s="30"/>
      <c r="R312" s="30" t="s">
        <v>2701</v>
      </c>
      <c r="S312" s="54" t="s">
        <v>2702</v>
      </c>
      <c r="T312" s="54" t="s">
        <v>2703</v>
      </c>
      <c r="U312" s="54" t="s">
        <v>2704</v>
      </c>
      <c r="V312" s="54" t="s">
        <v>84</v>
      </c>
      <c r="W312" s="54" t="s">
        <v>72</v>
      </c>
      <c r="X312" s="54" t="s">
        <v>754</v>
      </c>
      <c r="Y312" s="54" t="s">
        <v>169</v>
      </c>
      <c r="Z312" s="67">
        <v>45582</v>
      </c>
      <c r="AA312" s="67">
        <v>45582</v>
      </c>
      <c r="AB312" s="54" t="s">
        <v>90</v>
      </c>
      <c r="AC312" s="30"/>
      <c r="AD312" s="30"/>
      <c r="AE312" s="30"/>
      <c r="AF312" s="30"/>
      <c r="AG312" s="30"/>
      <c r="AH312" s="30"/>
      <c r="AI312" s="30"/>
      <c r="AJ312" s="31">
        <f t="shared" si="26"/>
        <v>995</v>
      </c>
      <c r="AK312" s="34"/>
      <c r="AL312" s="31">
        <f t="shared" si="27"/>
        <v>2397</v>
      </c>
      <c r="AM312" s="34">
        <f>1438200000/AL312</f>
        <v>600000</v>
      </c>
      <c r="AN312" s="34"/>
      <c r="AO312" s="34">
        <f t="shared" si="29"/>
        <v>1438200000</v>
      </c>
      <c r="AP312" s="54" t="s">
        <v>2705</v>
      </c>
      <c r="AQ312" s="54" t="s">
        <v>97</v>
      </c>
      <c r="AR312" s="30"/>
      <c r="AS312" s="30"/>
      <c r="AT312" s="30"/>
      <c r="AU312" s="30"/>
      <c r="AV312" s="86">
        <v>150</v>
      </c>
      <c r="AW312" s="51">
        <v>1133333</v>
      </c>
      <c r="AX312" s="86">
        <v>150</v>
      </c>
      <c r="AY312" s="60"/>
      <c r="AZ312" s="51">
        <v>200000000</v>
      </c>
      <c r="BA312" s="87">
        <f>AV312*AW312</f>
        <v>169999950</v>
      </c>
      <c r="BB312" s="54" t="s">
        <v>2706</v>
      </c>
      <c r="BC312" s="54" t="s">
        <v>81</v>
      </c>
      <c r="BD312" s="54" t="s">
        <v>2707</v>
      </c>
      <c r="BE312" s="54" t="s">
        <v>2708</v>
      </c>
      <c r="BF312" s="30"/>
      <c r="BG312" s="30"/>
      <c r="BH312" s="30"/>
      <c r="BI312" s="30"/>
      <c r="BJ312" s="88">
        <v>97</v>
      </c>
      <c r="BK312" s="95">
        <v>1113402</v>
      </c>
      <c r="BL312" s="88">
        <v>291</v>
      </c>
      <c r="BM312" s="60"/>
      <c r="BN312" s="51">
        <v>120000000</v>
      </c>
      <c r="BO312" s="96">
        <f t="shared" si="25"/>
        <v>107999994</v>
      </c>
      <c r="BP312" s="54" t="s">
        <v>2709</v>
      </c>
      <c r="BQ312" s="54" t="s">
        <v>81</v>
      </c>
      <c r="BR312" s="54" t="s">
        <v>2710</v>
      </c>
      <c r="BS312" s="54" t="s">
        <v>113</v>
      </c>
      <c r="BT312" s="30"/>
      <c r="BU312" s="30"/>
      <c r="BV312" s="30"/>
      <c r="BW312" s="30"/>
      <c r="BX312" s="88">
        <v>550</v>
      </c>
      <c r="BY312" s="51">
        <v>327273</v>
      </c>
      <c r="BZ312" s="88">
        <v>1375</v>
      </c>
      <c r="CA312" s="60"/>
      <c r="CB312" s="51">
        <v>500000000</v>
      </c>
      <c r="CC312" s="87">
        <f>BZ312*BY312</f>
        <v>450000375</v>
      </c>
      <c r="CD312" s="54" t="s">
        <v>2711</v>
      </c>
      <c r="CE312" s="54" t="s">
        <v>81</v>
      </c>
      <c r="CF312" s="54" t="s">
        <v>2712</v>
      </c>
      <c r="CG312" s="30"/>
      <c r="CH312" s="30"/>
      <c r="CI312" s="64"/>
      <c r="CJ312" s="64"/>
      <c r="CK312" s="64"/>
      <c r="CL312" s="64"/>
    </row>
    <row r="313" spans="2:90" ht="60" x14ac:dyDescent="0.25">
      <c r="B313" s="57"/>
      <c r="C313" s="57"/>
      <c r="D313" s="80"/>
      <c r="E313" s="57"/>
      <c r="F313" s="68"/>
      <c r="G313" s="30">
        <v>2</v>
      </c>
      <c r="H313" s="30" t="s">
        <v>148</v>
      </c>
      <c r="I313" s="35">
        <v>228</v>
      </c>
      <c r="J313" s="57"/>
      <c r="K313" s="35">
        <v>216</v>
      </c>
      <c r="L313" s="35"/>
      <c r="M313" s="30"/>
      <c r="N313" s="30"/>
      <c r="O313" s="30"/>
      <c r="P313" s="30"/>
      <c r="Q313" s="30"/>
      <c r="R313" s="30" t="s">
        <v>2713</v>
      </c>
      <c r="S313" s="58"/>
      <c r="T313" s="58"/>
      <c r="U313" s="58"/>
      <c r="V313" s="57"/>
      <c r="W313" s="57"/>
      <c r="X313" s="57"/>
      <c r="Y313" s="57"/>
      <c r="Z313" s="68"/>
      <c r="AA313" s="68"/>
      <c r="AB313" s="57"/>
      <c r="AC313" s="30"/>
      <c r="AD313" s="30"/>
      <c r="AE313" s="30"/>
      <c r="AF313" s="30"/>
      <c r="AG313" s="30"/>
      <c r="AH313" s="30"/>
      <c r="AI313" s="30"/>
      <c r="AJ313" s="31">
        <f t="shared" si="26"/>
        <v>228</v>
      </c>
      <c r="AK313" s="34"/>
      <c r="AL313" s="31">
        <f t="shared" si="27"/>
        <v>216</v>
      </c>
      <c r="AM313" s="34">
        <f>151200000/AL313</f>
        <v>700000</v>
      </c>
      <c r="AN313" s="34"/>
      <c r="AO313" s="34">
        <f t="shared" si="29"/>
        <v>151200000</v>
      </c>
      <c r="AP313" s="58"/>
      <c r="AQ313" s="58"/>
      <c r="AR313" s="30"/>
      <c r="AS313" s="30"/>
      <c r="AT313" s="30"/>
      <c r="AU313" s="30"/>
      <c r="AV313" s="89"/>
      <c r="AW313" s="53"/>
      <c r="AX313" s="89"/>
      <c r="AY313" s="62"/>
      <c r="AZ313" s="53"/>
      <c r="BA313" s="90"/>
      <c r="BB313" s="58"/>
      <c r="BC313" s="58"/>
      <c r="BD313" s="58"/>
      <c r="BE313" s="58"/>
      <c r="BF313" s="30"/>
      <c r="BG313" s="30"/>
      <c r="BH313" s="30"/>
      <c r="BI313" s="30"/>
      <c r="BJ313" s="91"/>
      <c r="BK313" s="95">
        <v>343634</v>
      </c>
      <c r="BL313" s="91"/>
      <c r="BM313" s="62"/>
      <c r="BN313" s="53"/>
      <c r="BO313" s="96">
        <f>BK313*BL312</f>
        <v>99997494</v>
      </c>
      <c r="BP313" s="58"/>
      <c r="BQ313" s="58"/>
      <c r="BR313" s="58"/>
      <c r="BS313" s="58"/>
      <c r="BT313" s="30"/>
      <c r="BU313" s="30"/>
      <c r="BV313" s="30"/>
      <c r="BW313" s="30"/>
      <c r="BX313" s="91"/>
      <c r="BY313" s="53"/>
      <c r="BZ313" s="91"/>
      <c r="CA313" s="62"/>
      <c r="CB313" s="53"/>
      <c r="CC313" s="90"/>
      <c r="CD313" s="58"/>
      <c r="CE313" s="58"/>
      <c r="CF313" s="58"/>
      <c r="CG313" s="30"/>
      <c r="CH313" s="30"/>
      <c r="CI313" s="64"/>
      <c r="CJ313" s="64"/>
      <c r="CK313" s="64"/>
      <c r="CL313" s="64"/>
    </row>
    <row r="314" spans="2:90" ht="120" x14ac:dyDescent="0.25">
      <c r="B314" s="57"/>
      <c r="C314" s="57"/>
      <c r="D314" s="80"/>
      <c r="E314" s="57"/>
      <c r="F314" s="68"/>
      <c r="G314" s="30">
        <v>3</v>
      </c>
      <c r="H314" s="30" t="s">
        <v>101</v>
      </c>
      <c r="I314" s="35">
        <v>116</v>
      </c>
      <c r="J314" s="57"/>
      <c r="K314" s="35">
        <v>267</v>
      </c>
      <c r="L314" s="35"/>
      <c r="M314" s="30"/>
      <c r="N314" s="30"/>
      <c r="O314" s="30"/>
      <c r="P314" s="30"/>
      <c r="Q314" s="30"/>
      <c r="R314" s="30" t="s">
        <v>2714</v>
      </c>
      <c r="S314" s="54" t="s">
        <v>2715</v>
      </c>
      <c r="T314" s="54" t="s">
        <v>224</v>
      </c>
      <c r="U314" s="54" t="s">
        <v>103</v>
      </c>
      <c r="V314" s="57"/>
      <c r="W314" s="57"/>
      <c r="X314" s="57"/>
      <c r="Y314" s="57"/>
      <c r="Z314" s="68"/>
      <c r="AA314" s="68"/>
      <c r="AB314" s="57"/>
      <c r="AC314" s="30"/>
      <c r="AD314" s="30"/>
      <c r="AE314" s="30"/>
      <c r="AF314" s="30"/>
      <c r="AG314" s="30"/>
      <c r="AH314" s="30"/>
      <c r="AI314" s="30"/>
      <c r="AJ314" s="31">
        <f t="shared" si="26"/>
        <v>116</v>
      </c>
      <c r="AK314" s="34"/>
      <c r="AL314" s="31">
        <f t="shared" si="27"/>
        <v>267</v>
      </c>
      <c r="AM314" s="34">
        <v>732452</v>
      </c>
      <c r="AN314" s="34"/>
      <c r="AO314" s="34">
        <v>196000000</v>
      </c>
      <c r="AP314" s="30" t="s">
        <v>2716</v>
      </c>
      <c r="AQ314" s="30" t="s">
        <v>101</v>
      </c>
      <c r="AR314" s="30"/>
      <c r="AS314" s="30"/>
      <c r="AT314" s="30"/>
      <c r="AU314" s="30"/>
      <c r="AV314" s="35">
        <v>64</v>
      </c>
      <c r="AW314" s="34">
        <v>755208</v>
      </c>
      <c r="AX314" s="35">
        <v>192</v>
      </c>
      <c r="AY314" s="34"/>
      <c r="AZ314" s="34">
        <v>170000000</v>
      </c>
      <c r="BA314" s="32">
        <f>AX314*AW314</f>
        <v>144999936</v>
      </c>
      <c r="BB314" s="30" t="s">
        <v>2717</v>
      </c>
      <c r="BC314" s="30" t="s">
        <v>81</v>
      </c>
      <c r="BD314" s="30" t="s">
        <v>2718</v>
      </c>
      <c r="BE314" s="30" t="s">
        <v>101</v>
      </c>
      <c r="BF314" s="30"/>
      <c r="BG314" s="30"/>
      <c r="BH314" s="30"/>
      <c r="BI314" s="30"/>
      <c r="BJ314" s="36">
        <v>150</v>
      </c>
      <c r="BK314" s="34">
        <v>562500</v>
      </c>
      <c r="BL314" s="36">
        <v>240</v>
      </c>
      <c r="BM314" s="34"/>
      <c r="BN314" s="34">
        <v>150000000</v>
      </c>
      <c r="BO314" s="32">
        <f>BL314*BK314</f>
        <v>135000000</v>
      </c>
      <c r="BP314" s="30" t="s">
        <v>2719</v>
      </c>
      <c r="BQ314" s="30" t="s">
        <v>81</v>
      </c>
      <c r="BR314" s="30" t="s">
        <v>2720</v>
      </c>
      <c r="BS314" s="30" t="s">
        <v>101</v>
      </c>
      <c r="BT314" s="30"/>
      <c r="BU314" s="30"/>
      <c r="BV314" s="30"/>
      <c r="BW314" s="30"/>
      <c r="BX314" s="36">
        <v>209</v>
      </c>
      <c r="BY314" s="34">
        <v>772727</v>
      </c>
      <c r="BZ314" s="36">
        <v>220</v>
      </c>
      <c r="CA314" s="34"/>
      <c r="CB314" s="34">
        <v>200000000</v>
      </c>
      <c r="CC314" s="32">
        <f>BZ314*BY314</f>
        <v>169999940</v>
      </c>
      <c r="CD314" s="30" t="s">
        <v>2721</v>
      </c>
      <c r="CE314" s="30" t="s">
        <v>81</v>
      </c>
      <c r="CF314" s="54" t="s">
        <v>1407</v>
      </c>
      <c r="CG314" s="30"/>
      <c r="CH314" s="30"/>
      <c r="CI314" s="64"/>
      <c r="CJ314" s="64"/>
      <c r="CK314" s="64"/>
      <c r="CL314" s="64"/>
    </row>
    <row r="315" spans="2:90" ht="120" x14ac:dyDescent="0.25">
      <c r="B315" s="57"/>
      <c r="C315" s="57"/>
      <c r="D315" s="80"/>
      <c r="E315" s="57"/>
      <c r="F315" s="68"/>
      <c r="G315" s="30">
        <v>4</v>
      </c>
      <c r="H315" s="54" t="s">
        <v>83</v>
      </c>
      <c r="I315" s="35">
        <v>364</v>
      </c>
      <c r="J315" s="57"/>
      <c r="K315" s="35">
        <v>586</v>
      </c>
      <c r="L315" s="35"/>
      <c r="M315" s="30"/>
      <c r="N315" s="30"/>
      <c r="O315" s="30"/>
      <c r="P315" s="30"/>
      <c r="Q315" s="30"/>
      <c r="R315" s="30" t="s">
        <v>2722</v>
      </c>
      <c r="S315" s="58"/>
      <c r="T315" s="58"/>
      <c r="U315" s="58"/>
      <c r="V315" s="57"/>
      <c r="W315" s="57"/>
      <c r="X315" s="57"/>
      <c r="Y315" s="57"/>
      <c r="Z315" s="68"/>
      <c r="AA315" s="68"/>
      <c r="AB315" s="57"/>
      <c r="AC315" s="30"/>
      <c r="AD315" s="30"/>
      <c r="AE315" s="30"/>
      <c r="AF315" s="30"/>
      <c r="AG315" s="30"/>
      <c r="AH315" s="30"/>
      <c r="AI315" s="30"/>
      <c r="AJ315" s="31">
        <f t="shared" si="26"/>
        <v>364</v>
      </c>
      <c r="AK315" s="34"/>
      <c r="AL315" s="31">
        <f t="shared" si="27"/>
        <v>586</v>
      </c>
      <c r="AM315" s="34">
        <f>443000000/AL315</f>
        <v>755972.69624573376</v>
      </c>
      <c r="AN315" s="34"/>
      <c r="AO315" s="34">
        <f t="shared" si="29"/>
        <v>443000000</v>
      </c>
      <c r="AP315" s="30" t="s">
        <v>2723</v>
      </c>
      <c r="AQ315" s="30" t="s">
        <v>83</v>
      </c>
      <c r="AR315" s="30"/>
      <c r="AS315" s="30"/>
      <c r="AT315" s="30"/>
      <c r="AU315" s="30"/>
      <c r="AV315" s="35">
        <v>250</v>
      </c>
      <c r="AW315" s="34">
        <v>1000000</v>
      </c>
      <c r="AX315" s="35">
        <v>150</v>
      </c>
      <c r="AY315" s="34"/>
      <c r="AZ315" s="34">
        <v>185000000</v>
      </c>
      <c r="BA315" s="32">
        <f>AX315*AW315</f>
        <v>150000000</v>
      </c>
      <c r="BB315" s="30" t="s">
        <v>2724</v>
      </c>
      <c r="BC315" s="30" t="s">
        <v>81</v>
      </c>
      <c r="BD315" s="30" t="s">
        <v>2725</v>
      </c>
      <c r="BE315" s="30" t="s">
        <v>83</v>
      </c>
      <c r="BF315" s="30"/>
      <c r="BG315" s="30"/>
      <c r="BH315" s="30"/>
      <c r="BI315" s="30"/>
      <c r="BJ315" s="36">
        <v>360</v>
      </c>
      <c r="BK315" s="34">
        <v>720000</v>
      </c>
      <c r="BL315" s="36">
        <v>500</v>
      </c>
      <c r="BM315" s="34"/>
      <c r="BN315" s="34">
        <v>400000000</v>
      </c>
      <c r="BO315" s="32">
        <f>BL315*BK315</f>
        <v>360000000</v>
      </c>
      <c r="BP315" s="30" t="s">
        <v>2726</v>
      </c>
      <c r="BQ315" s="30" t="s">
        <v>81</v>
      </c>
      <c r="BR315" s="30" t="s">
        <v>2727</v>
      </c>
      <c r="BS315" s="30" t="s">
        <v>83</v>
      </c>
      <c r="BT315" s="30"/>
      <c r="BU315" s="30"/>
      <c r="BV315" s="30"/>
      <c r="BW315" s="30"/>
      <c r="BX315" s="36">
        <v>90</v>
      </c>
      <c r="BY315" s="34">
        <v>1133333</v>
      </c>
      <c r="BZ315" s="36">
        <v>150</v>
      </c>
      <c r="CA315" s="34"/>
      <c r="CB315" s="34">
        <v>204000000</v>
      </c>
      <c r="CC315" s="32">
        <f>BZ315*BY315</f>
        <v>169999950</v>
      </c>
      <c r="CD315" s="30" t="s">
        <v>2728</v>
      </c>
      <c r="CE315" s="30" t="s">
        <v>81</v>
      </c>
      <c r="CF315" s="58"/>
      <c r="CG315" s="30"/>
      <c r="CH315" s="30"/>
      <c r="CI315" s="64"/>
      <c r="CJ315" s="64"/>
      <c r="CK315" s="64"/>
      <c r="CL315" s="64"/>
    </row>
    <row r="316" spans="2:90" ht="30" x14ac:dyDescent="0.25">
      <c r="B316" s="57"/>
      <c r="C316" s="57"/>
      <c r="D316" s="80"/>
      <c r="E316" s="57"/>
      <c r="F316" s="68"/>
      <c r="G316" s="30">
        <v>5</v>
      </c>
      <c r="H316" s="57"/>
      <c r="I316" s="35">
        <v>682</v>
      </c>
      <c r="J316" s="57"/>
      <c r="K316" s="35">
        <v>444</v>
      </c>
      <c r="L316" s="35"/>
      <c r="M316" s="30"/>
      <c r="N316" s="30"/>
      <c r="O316" s="30"/>
      <c r="P316" s="30"/>
      <c r="Q316" s="30"/>
      <c r="R316" s="30" t="s">
        <v>2729</v>
      </c>
      <c r="S316" s="54" t="s">
        <v>2730</v>
      </c>
      <c r="T316" s="54" t="s">
        <v>777</v>
      </c>
      <c r="U316" s="54" t="s">
        <v>2704</v>
      </c>
      <c r="V316" s="57"/>
      <c r="W316" s="57"/>
      <c r="X316" s="57"/>
      <c r="Y316" s="57"/>
      <c r="Z316" s="68"/>
      <c r="AA316" s="68"/>
      <c r="AB316" s="57"/>
      <c r="AC316" s="30"/>
      <c r="AD316" s="30"/>
      <c r="AE316" s="30"/>
      <c r="AF316" s="30"/>
      <c r="AG316" s="30"/>
      <c r="AH316" s="30"/>
      <c r="AI316" s="30"/>
      <c r="AJ316" s="31">
        <f t="shared" si="26"/>
        <v>682</v>
      </c>
      <c r="AK316" s="34"/>
      <c r="AL316" s="31">
        <f t="shared" si="27"/>
        <v>444</v>
      </c>
      <c r="AM316" s="34">
        <f>577200000/AL316</f>
        <v>1300000</v>
      </c>
      <c r="AN316" s="34"/>
      <c r="AO316" s="34">
        <f t="shared" si="29"/>
        <v>577200000</v>
      </c>
      <c r="AP316" s="54" t="s">
        <v>2731</v>
      </c>
      <c r="AQ316" s="54" t="s">
        <v>83</v>
      </c>
      <c r="AR316" s="30"/>
      <c r="AS316" s="30"/>
      <c r="AT316" s="30"/>
      <c r="AU316" s="30"/>
      <c r="AV316" s="86">
        <v>283</v>
      </c>
      <c r="AW316" s="51">
        <v>1666667</v>
      </c>
      <c r="AX316" s="86">
        <v>300</v>
      </c>
      <c r="AY316" s="60"/>
      <c r="AZ316" s="51">
        <v>600000000</v>
      </c>
      <c r="BA316" s="87">
        <f>AX316*AW316</f>
        <v>500000100</v>
      </c>
      <c r="BB316" s="54" t="s">
        <v>2732</v>
      </c>
      <c r="BC316" s="54" t="s">
        <v>81</v>
      </c>
      <c r="BD316" s="54" t="s">
        <v>2733</v>
      </c>
      <c r="BE316" s="54" t="s">
        <v>83</v>
      </c>
      <c r="BF316" s="30"/>
      <c r="BG316" s="30"/>
      <c r="BH316" s="30"/>
      <c r="BI316" s="30"/>
      <c r="BJ316" s="88">
        <v>200</v>
      </c>
      <c r="BK316" s="51">
        <v>1500000</v>
      </c>
      <c r="BL316" s="88">
        <v>300</v>
      </c>
      <c r="BM316" s="60"/>
      <c r="BN316" s="51">
        <v>550000000</v>
      </c>
      <c r="BO316" s="87">
        <f>BL316*BK316</f>
        <v>450000000</v>
      </c>
      <c r="BP316" s="54" t="s">
        <v>2734</v>
      </c>
      <c r="BQ316" s="54" t="s">
        <v>81</v>
      </c>
      <c r="BR316" s="54" t="s">
        <v>2735</v>
      </c>
      <c r="BS316" s="54" t="s">
        <v>83</v>
      </c>
      <c r="BT316" s="30"/>
      <c r="BU316" s="30"/>
      <c r="BV316" s="30"/>
      <c r="BW316" s="30"/>
      <c r="BX316" s="88">
        <v>700</v>
      </c>
      <c r="BY316" s="51">
        <v>971429</v>
      </c>
      <c r="BZ316" s="88">
        <v>700</v>
      </c>
      <c r="CA316" s="60"/>
      <c r="CB316" s="51">
        <v>740000000</v>
      </c>
      <c r="CC316" s="87">
        <f t="shared" si="28"/>
        <v>680000300</v>
      </c>
      <c r="CD316" s="54" t="s">
        <v>2736</v>
      </c>
      <c r="CE316" s="54" t="s">
        <v>81</v>
      </c>
      <c r="CF316" s="54" t="s">
        <v>2712</v>
      </c>
      <c r="CG316" s="30"/>
      <c r="CH316" s="30"/>
      <c r="CI316" s="64"/>
      <c r="CJ316" s="64"/>
      <c r="CK316" s="64"/>
      <c r="CL316" s="64"/>
    </row>
    <row r="317" spans="2:90" ht="30" x14ac:dyDescent="0.25">
      <c r="B317" s="57"/>
      <c r="C317" s="57"/>
      <c r="D317" s="80"/>
      <c r="E317" s="57"/>
      <c r="F317" s="68"/>
      <c r="G317" s="30">
        <v>6</v>
      </c>
      <c r="H317" s="57"/>
      <c r="I317" s="35">
        <v>858</v>
      </c>
      <c r="J317" s="57"/>
      <c r="K317" s="35">
        <v>386</v>
      </c>
      <c r="L317" s="35"/>
      <c r="M317" s="30"/>
      <c r="N317" s="30"/>
      <c r="O317" s="30"/>
      <c r="P317" s="30"/>
      <c r="Q317" s="30"/>
      <c r="R317" s="30" t="s">
        <v>2737</v>
      </c>
      <c r="S317" s="58"/>
      <c r="T317" s="58"/>
      <c r="U317" s="58"/>
      <c r="V317" s="57"/>
      <c r="W317" s="57"/>
      <c r="X317" s="57"/>
      <c r="Y317" s="57"/>
      <c r="Z317" s="68"/>
      <c r="AA317" s="68"/>
      <c r="AB317" s="57"/>
      <c r="AC317" s="30"/>
      <c r="AD317" s="30"/>
      <c r="AE317" s="30"/>
      <c r="AF317" s="30"/>
      <c r="AG317" s="30"/>
      <c r="AH317" s="30"/>
      <c r="AI317" s="30"/>
      <c r="AJ317" s="31">
        <f t="shared" si="26"/>
        <v>858</v>
      </c>
      <c r="AK317" s="34"/>
      <c r="AL317" s="31">
        <f t="shared" si="27"/>
        <v>386</v>
      </c>
      <c r="AM317" s="34">
        <f>540400000/AL317</f>
        <v>1400000</v>
      </c>
      <c r="AN317" s="34"/>
      <c r="AO317" s="34">
        <f t="shared" si="29"/>
        <v>540400000</v>
      </c>
      <c r="AP317" s="58"/>
      <c r="AQ317" s="58"/>
      <c r="AR317" s="30"/>
      <c r="AS317" s="30"/>
      <c r="AT317" s="30"/>
      <c r="AU317" s="30"/>
      <c r="AV317" s="89"/>
      <c r="AW317" s="53"/>
      <c r="AX317" s="89"/>
      <c r="AY317" s="62"/>
      <c r="AZ317" s="53"/>
      <c r="BA317" s="90"/>
      <c r="BB317" s="58"/>
      <c r="BC317" s="58"/>
      <c r="BD317" s="58"/>
      <c r="BE317" s="58"/>
      <c r="BF317" s="30"/>
      <c r="BG317" s="30"/>
      <c r="BH317" s="30"/>
      <c r="BI317" s="30"/>
      <c r="BJ317" s="91"/>
      <c r="BK317" s="53"/>
      <c r="BL317" s="91"/>
      <c r="BM317" s="62"/>
      <c r="BN317" s="53"/>
      <c r="BO317" s="90"/>
      <c r="BP317" s="58"/>
      <c r="BQ317" s="58"/>
      <c r="BR317" s="58"/>
      <c r="BS317" s="58"/>
      <c r="BT317" s="30"/>
      <c r="BU317" s="30"/>
      <c r="BV317" s="30"/>
      <c r="BW317" s="30"/>
      <c r="BX317" s="91"/>
      <c r="BY317" s="53"/>
      <c r="BZ317" s="91"/>
      <c r="CA317" s="62"/>
      <c r="CB317" s="53"/>
      <c r="CC317" s="90"/>
      <c r="CD317" s="58"/>
      <c r="CE317" s="58"/>
      <c r="CF317" s="58"/>
      <c r="CG317" s="30"/>
      <c r="CH317" s="30"/>
      <c r="CI317" s="64"/>
      <c r="CJ317" s="64"/>
      <c r="CK317" s="64"/>
      <c r="CL317" s="64"/>
    </row>
    <row r="318" spans="2:90" ht="45" x14ac:dyDescent="0.25">
      <c r="B318" s="57"/>
      <c r="C318" s="57"/>
      <c r="D318" s="80"/>
      <c r="E318" s="57"/>
      <c r="F318" s="68"/>
      <c r="G318" s="30">
        <v>7</v>
      </c>
      <c r="H318" s="57"/>
      <c r="I318" s="35">
        <v>1000</v>
      </c>
      <c r="J318" s="57"/>
      <c r="K318" s="35">
        <v>782</v>
      </c>
      <c r="L318" s="35"/>
      <c r="M318" s="30"/>
      <c r="N318" s="30"/>
      <c r="O318" s="30"/>
      <c r="P318" s="30"/>
      <c r="Q318" s="30"/>
      <c r="R318" s="30" t="s">
        <v>2738</v>
      </c>
      <c r="S318" s="54" t="s">
        <v>2739</v>
      </c>
      <c r="T318" s="54" t="s">
        <v>215</v>
      </c>
      <c r="U318" s="54" t="s">
        <v>103</v>
      </c>
      <c r="V318" s="57"/>
      <c r="W318" s="57"/>
      <c r="X318" s="57"/>
      <c r="Y318" s="57"/>
      <c r="Z318" s="68"/>
      <c r="AA318" s="68"/>
      <c r="AB318" s="57"/>
      <c r="AC318" s="30"/>
      <c r="AD318" s="30"/>
      <c r="AE318" s="30"/>
      <c r="AF318" s="30"/>
      <c r="AG318" s="30"/>
      <c r="AH318" s="30"/>
      <c r="AI318" s="30"/>
      <c r="AJ318" s="31">
        <f t="shared" si="26"/>
        <v>1000</v>
      </c>
      <c r="AK318" s="34"/>
      <c r="AL318" s="31">
        <f t="shared" si="27"/>
        <v>782</v>
      </c>
      <c r="AM318" s="34">
        <f>800000000/AL318</f>
        <v>1023017.9028132992</v>
      </c>
      <c r="AN318" s="34"/>
      <c r="AO318" s="34">
        <f t="shared" si="29"/>
        <v>800000000</v>
      </c>
      <c r="AP318" s="54" t="s">
        <v>2740</v>
      </c>
      <c r="AQ318" s="54" t="s">
        <v>83</v>
      </c>
      <c r="AR318" s="30"/>
      <c r="AS318" s="30"/>
      <c r="AT318" s="30"/>
      <c r="AU318" s="30"/>
      <c r="AV318" s="86">
        <v>905</v>
      </c>
      <c r="AW318" s="51">
        <v>1087500</v>
      </c>
      <c r="AX318" s="86">
        <v>400</v>
      </c>
      <c r="AY318" s="60"/>
      <c r="AZ318" s="51">
        <v>495000000</v>
      </c>
      <c r="BA318" s="87">
        <f>AX318*AW318</f>
        <v>435000000</v>
      </c>
      <c r="BB318" s="54" t="s">
        <v>2741</v>
      </c>
      <c r="BC318" s="54" t="s">
        <v>81</v>
      </c>
      <c r="BD318" s="54" t="s">
        <v>2742</v>
      </c>
      <c r="BE318" s="54" t="s">
        <v>83</v>
      </c>
      <c r="BF318" s="30"/>
      <c r="BG318" s="30"/>
      <c r="BH318" s="30"/>
      <c r="BI318" s="30"/>
      <c r="BJ318" s="88">
        <v>1000</v>
      </c>
      <c r="BK318" s="51">
        <v>970000</v>
      </c>
      <c r="BL318" s="88">
        <v>500</v>
      </c>
      <c r="BM318" s="60"/>
      <c r="BN318" s="51">
        <v>560000000</v>
      </c>
      <c r="BO318" s="87">
        <f>BK318*BL318</f>
        <v>485000000</v>
      </c>
      <c r="BP318" s="54" t="s">
        <v>2743</v>
      </c>
      <c r="BQ318" s="54" t="s">
        <v>81</v>
      </c>
      <c r="BR318" s="54" t="s">
        <v>2744</v>
      </c>
      <c r="BS318" s="54" t="s">
        <v>83</v>
      </c>
      <c r="BT318" s="30"/>
      <c r="BU318" s="30"/>
      <c r="BV318" s="30"/>
      <c r="BW318" s="30"/>
      <c r="BX318" s="88">
        <v>600</v>
      </c>
      <c r="BY318" s="51">
        <v>1250000</v>
      </c>
      <c r="BZ318" s="88">
        <v>400</v>
      </c>
      <c r="CA318" s="60"/>
      <c r="CB318" s="51">
        <v>600000000</v>
      </c>
      <c r="CC318" s="87">
        <f>BZ318*BY318</f>
        <v>500000000</v>
      </c>
      <c r="CD318" s="54" t="s">
        <v>2745</v>
      </c>
      <c r="CE318" s="54" t="s">
        <v>81</v>
      </c>
      <c r="CF318" s="54" t="s">
        <v>1407</v>
      </c>
      <c r="CG318" s="30"/>
      <c r="CH318" s="30"/>
      <c r="CI318" s="64"/>
      <c r="CJ318" s="64"/>
      <c r="CK318" s="64"/>
      <c r="CL318" s="64"/>
    </row>
    <row r="319" spans="2:90" ht="30" x14ac:dyDescent="0.25">
      <c r="B319" s="57"/>
      <c r="C319" s="57"/>
      <c r="D319" s="80"/>
      <c r="E319" s="57"/>
      <c r="F319" s="68"/>
      <c r="G319" s="30">
        <v>8</v>
      </c>
      <c r="H319" s="57"/>
      <c r="I319" s="35">
        <v>826</v>
      </c>
      <c r="J319" s="57"/>
      <c r="K319" s="35">
        <v>440</v>
      </c>
      <c r="L319" s="35"/>
      <c r="M319" s="30"/>
      <c r="N319" s="30"/>
      <c r="O319" s="30"/>
      <c r="P319" s="30"/>
      <c r="Q319" s="30"/>
      <c r="R319" s="30" t="s">
        <v>2746</v>
      </c>
      <c r="S319" s="58"/>
      <c r="T319" s="58"/>
      <c r="U319" s="57"/>
      <c r="V319" s="57"/>
      <c r="W319" s="57"/>
      <c r="X319" s="57"/>
      <c r="Y319" s="57"/>
      <c r="Z319" s="68"/>
      <c r="AA319" s="68"/>
      <c r="AB319" s="57"/>
      <c r="AC319" s="30"/>
      <c r="AD319" s="30"/>
      <c r="AE319" s="30"/>
      <c r="AF319" s="30"/>
      <c r="AG319" s="30"/>
      <c r="AH319" s="30"/>
      <c r="AI319" s="30"/>
      <c r="AJ319" s="31">
        <f t="shared" si="26"/>
        <v>826</v>
      </c>
      <c r="AK319" s="34"/>
      <c r="AL319" s="31">
        <f t="shared" si="27"/>
        <v>440</v>
      </c>
      <c r="AM319" s="34">
        <f>467700000/AL319</f>
        <v>1062954.5454545454</v>
      </c>
      <c r="AN319" s="34"/>
      <c r="AO319" s="34">
        <f t="shared" si="29"/>
        <v>467700000</v>
      </c>
      <c r="AP319" s="58"/>
      <c r="AQ319" s="58"/>
      <c r="AR319" s="30"/>
      <c r="AS319" s="30"/>
      <c r="AT319" s="30"/>
      <c r="AU319" s="30"/>
      <c r="AV319" s="89"/>
      <c r="AW319" s="53"/>
      <c r="AX319" s="89"/>
      <c r="AY319" s="62"/>
      <c r="AZ319" s="53"/>
      <c r="BA319" s="90"/>
      <c r="BB319" s="58"/>
      <c r="BC319" s="58"/>
      <c r="BD319" s="58"/>
      <c r="BE319" s="58"/>
      <c r="BF319" s="30"/>
      <c r="BG319" s="30"/>
      <c r="BH319" s="30"/>
      <c r="BI319" s="30"/>
      <c r="BJ319" s="91"/>
      <c r="BK319" s="53"/>
      <c r="BL319" s="91"/>
      <c r="BM319" s="62"/>
      <c r="BN319" s="53"/>
      <c r="BO319" s="90"/>
      <c r="BP319" s="58"/>
      <c r="BQ319" s="58"/>
      <c r="BR319" s="58"/>
      <c r="BS319" s="58"/>
      <c r="BT319" s="30"/>
      <c r="BU319" s="30"/>
      <c r="BV319" s="30"/>
      <c r="BW319" s="30"/>
      <c r="BX319" s="91"/>
      <c r="BY319" s="53"/>
      <c r="BZ319" s="91"/>
      <c r="CA319" s="62"/>
      <c r="CB319" s="53"/>
      <c r="CC319" s="90"/>
      <c r="CD319" s="58"/>
      <c r="CE319" s="58"/>
      <c r="CF319" s="57"/>
      <c r="CG319" s="30"/>
      <c r="CH319" s="30"/>
      <c r="CI319" s="64"/>
      <c r="CJ319" s="64"/>
      <c r="CK319" s="64"/>
      <c r="CL319" s="64"/>
    </row>
    <row r="320" spans="2:90" ht="150" x14ac:dyDescent="0.25">
      <c r="B320" s="57"/>
      <c r="C320" s="57"/>
      <c r="D320" s="80"/>
      <c r="E320" s="57"/>
      <c r="F320" s="68"/>
      <c r="G320" s="30">
        <v>9</v>
      </c>
      <c r="H320" s="57"/>
      <c r="I320" s="35">
        <v>844</v>
      </c>
      <c r="J320" s="57"/>
      <c r="K320" s="35">
        <v>843</v>
      </c>
      <c r="L320" s="35"/>
      <c r="M320" s="30"/>
      <c r="N320" s="30"/>
      <c r="O320" s="30"/>
      <c r="P320" s="30"/>
      <c r="Q320" s="30" t="s">
        <v>2747</v>
      </c>
      <c r="R320" s="30" t="s">
        <v>2748</v>
      </c>
      <c r="S320" s="30" t="s">
        <v>2749</v>
      </c>
      <c r="T320" s="30" t="s">
        <v>2750</v>
      </c>
      <c r="U320" s="58"/>
      <c r="V320" s="57"/>
      <c r="W320" s="57"/>
      <c r="X320" s="57"/>
      <c r="Y320" s="57"/>
      <c r="Z320" s="68"/>
      <c r="AA320" s="68"/>
      <c r="AB320" s="57"/>
      <c r="AC320" s="30"/>
      <c r="AD320" s="30"/>
      <c r="AE320" s="30"/>
      <c r="AF320" s="30"/>
      <c r="AG320" s="30"/>
      <c r="AH320" s="30"/>
      <c r="AI320" s="30"/>
      <c r="AJ320" s="31">
        <f t="shared" si="26"/>
        <v>844</v>
      </c>
      <c r="AK320" s="34"/>
      <c r="AL320" s="31">
        <f t="shared" si="27"/>
        <v>843</v>
      </c>
      <c r="AM320" s="34">
        <f>349000000/AL320</f>
        <v>413997.62752075918</v>
      </c>
      <c r="AN320" s="34"/>
      <c r="AO320" s="34">
        <f t="shared" si="29"/>
        <v>349000000</v>
      </c>
      <c r="AP320" s="30" t="s">
        <v>2751</v>
      </c>
      <c r="AQ320" s="30" t="s">
        <v>83</v>
      </c>
      <c r="AR320" s="30"/>
      <c r="AS320" s="30"/>
      <c r="AT320" s="30"/>
      <c r="AU320" s="30"/>
      <c r="AV320" s="35">
        <v>320</v>
      </c>
      <c r="AW320" s="34">
        <v>377778</v>
      </c>
      <c r="AX320" s="35">
        <v>450</v>
      </c>
      <c r="AY320" s="34"/>
      <c r="AZ320" s="34">
        <v>190000000</v>
      </c>
      <c r="BA320" s="32">
        <f>AX320*AW320</f>
        <v>170000100</v>
      </c>
      <c r="BB320" s="30" t="s">
        <v>2752</v>
      </c>
      <c r="BC320" s="30" t="s">
        <v>81</v>
      </c>
      <c r="BD320" s="30" t="s">
        <v>2753</v>
      </c>
      <c r="BE320" s="30" t="s">
        <v>83</v>
      </c>
      <c r="BF320" s="30"/>
      <c r="BG320" s="30"/>
      <c r="BH320" s="30"/>
      <c r="BI320" s="30"/>
      <c r="BJ320" s="36">
        <v>300</v>
      </c>
      <c r="BK320" s="34">
        <v>446429</v>
      </c>
      <c r="BL320" s="36">
        <v>448</v>
      </c>
      <c r="BM320" s="34"/>
      <c r="BN320" s="34">
        <v>250000000</v>
      </c>
      <c r="BO320" s="32">
        <f t="shared" ref="BO320:BO322" si="30">BK320*BL320</f>
        <v>200000192</v>
      </c>
      <c r="BP320" s="30" t="s">
        <v>2754</v>
      </c>
      <c r="BQ320" s="30" t="s">
        <v>81</v>
      </c>
      <c r="BR320" s="30" t="s">
        <v>2755</v>
      </c>
      <c r="BS320" s="30" t="s">
        <v>83</v>
      </c>
      <c r="BT320" s="30"/>
      <c r="BU320" s="30"/>
      <c r="BV320" s="30"/>
      <c r="BW320" s="30"/>
      <c r="BX320" s="36">
        <v>250</v>
      </c>
      <c r="BY320" s="34">
        <v>464286</v>
      </c>
      <c r="BZ320" s="36">
        <v>280</v>
      </c>
      <c r="CA320" s="34"/>
      <c r="CB320" s="34">
        <v>150000000</v>
      </c>
      <c r="CC320" s="32">
        <f t="shared" ref="CC320:CC322" si="31">BZ320*BY320</f>
        <v>130000080</v>
      </c>
      <c r="CD320" s="30" t="s">
        <v>2754</v>
      </c>
      <c r="CE320" s="30" t="s">
        <v>81</v>
      </c>
      <c r="CF320" s="58"/>
      <c r="CG320" s="30"/>
      <c r="CH320" s="30"/>
      <c r="CI320" s="64"/>
      <c r="CJ320" s="64"/>
      <c r="CK320" s="64"/>
      <c r="CL320" s="64"/>
    </row>
    <row r="321" spans="2:90" ht="150" x14ac:dyDescent="0.25">
      <c r="B321" s="57"/>
      <c r="C321" s="57"/>
      <c r="D321" s="80"/>
      <c r="E321" s="57"/>
      <c r="F321" s="68"/>
      <c r="G321" s="30">
        <v>10</v>
      </c>
      <c r="H321" s="57"/>
      <c r="I321" s="35">
        <v>390</v>
      </c>
      <c r="J321" s="57"/>
      <c r="K321" s="35">
        <v>183</v>
      </c>
      <c r="L321" s="35"/>
      <c r="M321" s="30"/>
      <c r="N321" s="30"/>
      <c r="O321" s="30"/>
      <c r="P321" s="30"/>
      <c r="Q321" s="30" t="s">
        <v>2756</v>
      </c>
      <c r="R321" s="30" t="s">
        <v>2757</v>
      </c>
      <c r="S321" s="30" t="s">
        <v>2758</v>
      </c>
      <c r="T321" s="30" t="s">
        <v>2650</v>
      </c>
      <c r="U321" s="30" t="s">
        <v>164</v>
      </c>
      <c r="V321" s="58"/>
      <c r="W321" s="57"/>
      <c r="X321" s="57"/>
      <c r="Y321" s="57"/>
      <c r="Z321" s="68"/>
      <c r="AA321" s="68"/>
      <c r="AB321" s="57"/>
      <c r="AC321" s="30"/>
      <c r="AD321" s="30"/>
      <c r="AE321" s="30"/>
      <c r="AF321" s="30"/>
      <c r="AG321" s="30"/>
      <c r="AH321" s="30"/>
      <c r="AI321" s="30"/>
      <c r="AJ321" s="31">
        <f t="shared" si="26"/>
        <v>390</v>
      </c>
      <c r="AK321" s="34"/>
      <c r="AL321" s="31">
        <f t="shared" si="27"/>
        <v>183</v>
      </c>
      <c r="AM321" s="34">
        <f>102600000/AL321</f>
        <v>560655.73770491802</v>
      </c>
      <c r="AN321" s="34"/>
      <c r="AO321" s="34">
        <f t="shared" si="29"/>
        <v>102600000</v>
      </c>
      <c r="AP321" s="30" t="s">
        <v>2759</v>
      </c>
      <c r="AQ321" s="30" t="s">
        <v>83</v>
      </c>
      <c r="AR321" s="30"/>
      <c r="AS321" s="30"/>
      <c r="AT321" s="30"/>
      <c r="AU321" s="30"/>
      <c r="AV321" s="35">
        <v>494</v>
      </c>
      <c r="AW321" s="34">
        <v>700000</v>
      </c>
      <c r="AX321" s="35">
        <v>400</v>
      </c>
      <c r="AY321" s="34"/>
      <c r="AZ321" s="34">
        <v>310000000</v>
      </c>
      <c r="BA321" s="32">
        <f>AX321*AW321</f>
        <v>280000000</v>
      </c>
      <c r="BB321" s="30" t="s">
        <v>2760</v>
      </c>
      <c r="BC321" s="30" t="s">
        <v>81</v>
      </c>
      <c r="BD321" s="30" t="s">
        <v>2761</v>
      </c>
      <c r="BE321" s="30" t="s">
        <v>83</v>
      </c>
      <c r="BF321" s="30"/>
      <c r="BG321" s="30"/>
      <c r="BH321" s="30"/>
      <c r="BI321" s="30"/>
      <c r="BJ321" s="36">
        <v>540</v>
      </c>
      <c r="BK321" s="34">
        <v>600000</v>
      </c>
      <c r="BL321" s="36">
        <v>650</v>
      </c>
      <c r="BM321" s="34"/>
      <c r="BN321" s="34">
        <v>425000000</v>
      </c>
      <c r="BO321" s="32">
        <f t="shared" si="30"/>
        <v>390000000</v>
      </c>
      <c r="BP321" s="30" t="s">
        <v>2762</v>
      </c>
      <c r="BQ321" s="30" t="s">
        <v>81</v>
      </c>
      <c r="BR321" s="30" t="s">
        <v>2763</v>
      </c>
      <c r="BS321" s="30" t="s">
        <v>83</v>
      </c>
      <c r="BT321" s="30"/>
      <c r="BU321" s="30"/>
      <c r="BV321" s="30"/>
      <c r="BW321" s="30"/>
      <c r="BX321" s="36">
        <v>200</v>
      </c>
      <c r="BY321" s="34">
        <v>560000</v>
      </c>
      <c r="BZ321" s="36">
        <v>250</v>
      </c>
      <c r="CA321" s="34"/>
      <c r="CB321" s="34">
        <v>170000000</v>
      </c>
      <c r="CC321" s="32">
        <f t="shared" si="31"/>
        <v>140000000</v>
      </c>
      <c r="CD321" s="30" t="s">
        <v>2764</v>
      </c>
      <c r="CE321" s="30" t="s">
        <v>81</v>
      </c>
      <c r="CF321" s="30" t="s">
        <v>2712</v>
      </c>
      <c r="CG321" s="30"/>
      <c r="CH321" s="30"/>
      <c r="CI321" s="64"/>
      <c r="CJ321" s="64"/>
      <c r="CK321" s="64"/>
      <c r="CL321" s="64"/>
    </row>
    <row r="322" spans="2:90" ht="135" x14ac:dyDescent="0.25">
      <c r="B322" s="58"/>
      <c r="C322" s="58"/>
      <c r="D322" s="97"/>
      <c r="E322" s="58"/>
      <c r="F322" s="69"/>
      <c r="G322" s="30">
        <v>11</v>
      </c>
      <c r="H322" s="58"/>
      <c r="I322" s="35">
        <v>232</v>
      </c>
      <c r="J322" s="58"/>
      <c r="K322" s="35">
        <v>184</v>
      </c>
      <c r="L322" s="35"/>
      <c r="M322" s="30"/>
      <c r="N322" s="30"/>
      <c r="O322" s="30"/>
      <c r="P322" s="30"/>
      <c r="Q322" s="30" t="s">
        <v>2765</v>
      </c>
      <c r="R322" s="30" t="s">
        <v>2766</v>
      </c>
      <c r="S322" s="30" t="s">
        <v>127</v>
      </c>
      <c r="T322" s="30" t="s">
        <v>2767</v>
      </c>
      <c r="U322" s="30" t="s">
        <v>2618</v>
      </c>
      <c r="V322" s="30" t="s">
        <v>80</v>
      </c>
      <c r="W322" s="58"/>
      <c r="X322" s="58"/>
      <c r="Y322" s="58"/>
      <c r="Z322" s="69"/>
      <c r="AA322" s="69"/>
      <c r="AB322" s="58"/>
      <c r="AC322" s="30"/>
      <c r="AD322" s="30"/>
      <c r="AE322" s="30"/>
      <c r="AF322" s="30"/>
      <c r="AG322" s="30"/>
      <c r="AH322" s="30"/>
      <c r="AI322" s="30"/>
      <c r="AJ322" s="31">
        <f t="shared" si="26"/>
        <v>232</v>
      </c>
      <c r="AK322" s="34"/>
      <c r="AL322" s="31">
        <f t="shared" si="27"/>
        <v>184</v>
      </c>
      <c r="AM322" s="34">
        <f>65100000/AL322</f>
        <v>353804.34782608697</v>
      </c>
      <c r="AN322" s="34"/>
      <c r="AO322" s="34">
        <f t="shared" si="29"/>
        <v>65100000</v>
      </c>
      <c r="AP322" s="30" t="s">
        <v>2768</v>
      </c>
      <c r="AQ322" s="30" t="s">
        <v>83</v>
      </c>
      <c r="AR322" s="30"/>
      <c r="AS322" s="30"/>
      <c r="AT322" s="30"/>
      <c r="AU322" s="30"/>
      <c r="AV322" s="35">
        <v>144</v>
      </c>
      <c r="AW322" s="34">
        <v>400000</v>
      </c>
      <c r="AX322" s="35">
        <v>150</v>
      </c>
      <c r="AY322" s="34"/>
      <c r="AZ322" s="34">
        <v>80000000</v>
      </c>
      <c r="BA322" s="32">
        <f>AX322*AW322</f>
        <v>60000000</v>
      </c>
      <c r="BB322" s="30" t="s">
        <v>2769</v>
      </c>
      <c r="BC322" s="30" t="s">
        <v>81</v>
      </c>
      <c r="BD322" s="30" t="s">
        <v>2768</v>
      </c>
      <c r="BE322" s="30" t="s">
        <v>83</v>
      </c>
      <c r="BF322" s="30"/>
      <c r="BG322" s="30"/>
      <c r="BH322" s="30"/>
      <c r="BI322" s="30"/>
      <c r="BJ322" s="36">
        <v>160</v>
      </c>
      <c r="BK322" s="34">
        <v>340000</v>
      </c>
      <c r="BL322" s="36">
        <v>200</v>
      </c>
      <c r="BM322" s="34"/>
      <c r="BN322" s="34">
        <v>80000000</v>
      </c>
      <c r="BO322" s="32">
        <f t="shared" si="30"/>
        <v>68000000</v>
      </c>
      <c r="BP322" s="30" t="s">
        <v>2770</v>
      </c>
      <c r="BQ322" s="30" t="s">
        <v>81</v>
      </c>
      <c r="BR322" s="30" t="s">
        <v>2768</v>
      </c>
      <c r="BS322" s="30" t="s">
        <v>83</v>
      </c>
      <c r="BT322" s="30"/>
      <c r="BU322" s="30"/>
      <c r="BV322" s="30"/>
      <c r="BW322" s="30"/>
      <c r="BX322" s="36">
        <v>400</v>
      </c>
      <c r="BY322" s="34">
        <v>268571</v>
      </c>
      <c r="BZ322" s="36">
        <v>350</v>
      </c>
      <c r="CA322" s="34"/>
      <c r="CB322" s="34">
        <v>110000000</v>
      </c>
      <c r="CC322" s="32">
        <f t="shared" si="31"/>
        <v>93999850</v>
      </c>
      <c r="CD322" s="30" t="s">
        <v>2771</v>
      </c>
      <c r="CE322" s="30" t="s">
        <v>81</v>
      </c>
      <c r="CF322" s="30" t="s">
        <v>1407</v>
      </c>
      <c r="CG322" s="30"/>
      <c r="CH322" s="30"/>
      <c r="CI322" s="64"/>
      <c r="CJ322" s="64"/>
      <c r="CK322" s="64"/>
      <c r="CL322" s="64"/>
    </row>
    <row r="323" spans="2:90" ht="120" x14ac:dyDescent="0.25">
      <c r="B323" s="30" t="s">
        <v>2772</v>
      </c>
      <c r="C323" s="30" t="s">
        <v>2773</v>
      </c>
      <c r="D323" s="33">
        <v>45600</v>
      </c>
      <c r="E323" s="30" t="s">
        <v>2774</v>
      </c>
      <c r="F323" s="30" t="s">
        <v>93</v>
      </c>
      <c r="G323" s="30"/>
      <c r="H323" s="30" t="s">
        <v>2775</v>
      </c>
      <c r="I323" s="35">
        <v>14003</v>
      </c>
      <c r="J323" s="30" t="s">
        <v>70</v>
      </c>
      <c r="K323" s="35">
        <v>11437</v>
      </c>
      <c r="L323" s="35"/>
      <c r="M323" s="30" t="s">
        <v>397</v>
      </c>
      <c r="N323" s="30"/>
      <c r="O323" s="30"/>
      <c r="P323" s="30"/>
      <c r="Q323" s="30"/>
      <c r="R323" s="30" t="s">
        <v>2776</v>
      </c>
      <c r="S323" s="30" t="s">
        <v>100</v>
      </c>
      <c r="T323" s="30" t="s">
        <v>217</v>
      </c>
      <c r="U323" s="30" t="s">
        <v>2618</v>
      </c>
      <c r="V323" s="30" t="s">
        <v>80</v>
      </c>
      <c r="W323" s="30" t="s">
        <v>72</v>
      </c>
      <c r="X323" s="30" t="s">
        <v>85</v>
      </c>
      <c r="Y323" s="30" t="s">
        <v>73</v>
      </c>
      <c r="Z323" s="33">
        <v>45587</v>
      </c>
      <c r="AA323" s="33">
        <v>45587</v>
      </c>
      <c r="AB323" s="30" t="s">
        <v>90</v>
      </c>
      <c r="AC323" s="30"/>
      <c r="AD323" s="30"/>
      <c r="AE323" s="30"/>
      <c r="AF323" s="30"/>
      <c r="AG323" s="30"/>
      <c r="AH323" s="30"/>
      <c r="AI323" s="30"/>
      <c r="AJ323" s="31">
        <f t="shared" si="26"/>
        <v>14003</v>
      </c>
      <c r="AK323" s="34">
        <f>77016500000/AJ323</f>
        <v>5500000</v>
      </c>
      <c r="AL323" s="31">
        <f t="shared" si="27"/>
        <v>11437</v>
      </c>
      <c r="AM323" s="34">
        <f>59648800000/AL323</f>
        <v>5215423.6250765063</v>
      </c>
      <c r="AN323" s="34">
        <v>3875328000</v>
      </c>
      <c r="AO323" s="34">
        <f t="shared" si="29"/>
        <v>140540628000</v>
      </c>
      <c r="AP323" s="30" t="s">
        <v>2777</v>
      </c>
      <c r="AQ323" s="30" t="s">
        <v>77</v>
      </c>
      <c r="AR323" s="30"/>
      <c r="AS323" s="30"/>
      <c r="AT323" s="30"/>
      <c r="AU323" s="30"/>
      <c r="AV323" s="35">
        <v>5755</v>
      </c>
      <c r="AW323" s="34">
        <v>5800000</v>
      </c>
      <c r="AX323" s="35"/>
      <c r="AY323" s="34"/>
      <c r="AZ323" s="34">
        <v>40285000000</v>
      </c>
      <c r="BA323" s="32">
        <f>AV323*AW323</f>
        <v>33379000000</v>
      </c>
      <c r="BB323" s="30" t="s">
        <v>2778</v>
      </c>
      <c r="BC323" s="30" t="s">
        <v>81</v>
      </c>
      <c r="BD323" s="30" t="s">
        <v>2779</v>
      </c>
      <c r="BE323" s="30" t="s">
        <v>77</v>
      </c>
      <c r="BF323" s="30"/>
      <c r="BG323" s="30"/>
      <c r="BH323" s="30"/>
      <c r="BI323" s="30"/>
      <c r="BJ323" s="36">
        <v>4535</v>
      </c>
      <c r="BK323" s="34">
        <v>6300000</v>
      </c>
      <c r="BL323" s="36"/>
      <c r="BM323" s="34"/>
      <c r="BN323" s="34">
        <v>36280000000</v>
      </c>
      <c r="BO323" s="32">
        <f t="shared" ref="BO323:BO335" si="32">BJ323*BK323</f>
        <v>28570500000</v>
      </c>
      <c r="BP323" s="30" t="s">
        <v>2780</v>
      </c>
      <c r="BQ323" s="30" t="s">
        <v>81</v>
      </c>
      <c r="BR323" s="30" t="s">
        <v>2781</v>
      </c>
      <c r="BS323" s="30" t="s">
        <v>77</v>
      </c>
      <c r="BT323" s="30"/>
      <c r="BU323" s="30"/>
      <c r="BV323" s="30"/>
      <c r="BW323" s="30"/>
      <c r="BX323" s="36">
        <v>1001</v>
      </c>
      <c r="BY323" s="34">
        <v>7200000</v>
      </c>
      <c r="BZ323" s="36"/>
      <c r="CA323" s="34"/>
      <c r="CB323" s="34">
        <v>9009000000</v>
      </c>
      <c r="CC323" s="32">
        <f t="shared" ref="CC323:CC335" si="33">BX323*BY323</f>
        <v>7207200000</v>
      </c>
      <c r="CD323" s="30" t="s">
        <v>2782</v>
      </c>
      <c r="CE323" s="30" t="s">
        <v>81</v>
      </c>
      <c r="CF323" s="30" t="s">
        <v>196</v>
      </c>
      <c r="CG323" s="30"/>
      <c r="CH323" s="30"/>
      <c r="CI323" s="64"/>
      <c r="CJ323" s="64"/>
      <c r="CK323" s="64"/>
      <c r="CL323" s="64"/>
    </row>
    <row r="324" spans="2:90" ht="135" x14ac:dyDescent="0.25">
      <c r="B324" s="30" t="s">
        <v>2783</v>
      </c>
      <c r="C324" s="30" t="s">
        <v>2784</v>
      </c>
      <c r="D324" s="33">
        <v>45603</v>
      </c>
      <c r="E324" s="30" t="s">
        <v>2255</v>
      </c>
      <c r="F324" s="30" t="s">
        <v>93</v>
      </c>
      <c r="G324" s="30"/>
      <c r="H324" s="30" t="s">
        <v>2785</v>
      </c>
      <c r="I324" s="35">
        <v>4375</v>
      </c>
      <c r="J324" s="30" t="s">
        <v>70</v>
      </c>
      <c r="K324" s="35">
        <v>16210</v>
      </c>
      <c r="L324" s="35"/>
      <c r="M324" s="30" t="s">
        <v>397</v>
      </c>
      <c r="N324" s="30"/>
      <c r="O324" s="30"/>
      <c r="P324" s="30"/>
      <c r="Q324" s="30" t="s">
        <v>191</v>
      </c>
      <c r="R324" s="30" t="s">
        <v>2786</v>
      </c>
      <c r="S324" s="30" t="s">
        <v>192</v>
      </c>
      <c r="T324" s="30" t="s">
        <v>193</v>
      </c>
      <c r="U324" s="30" t="s">
        <v>124</v>
      </c>
      <c r="V324" s="30" t="s">
        <v>92</v>
      </c>
      <c r="W324" s="30" t="s">
        <v>72</v>
      </c>
      <c r="X324" s="30" t="s">
        <v>85</v>
      </c>
      <c r="Y324" s="30" t="s">
        <v>73</v>
      </c>
      <c r="Z324" s="33">
        <v>45575</v>
      </c>
      <c r="AA324" s="33">
        <v>45575</v>
      </c>
      <c r="AB324" s="30" t="s">
        <v>90</v>
      </c>
      <c r="AC324" s="30"/>
      <c r="AD324" s="30"/>
      <c r="AE324" s="30"/>
      <c r="AF324" s="30"/>
      <c r="AG324" s="30"/>
      <c r="AH324" s="30"/>
      <c r="AI324" s="30"/>
      <c r="AJ324" s="31">
        <f t="shared" si="26"/>
        <v>4375</v>
      </c>
      <c r="AK324" s="34">
        <f>37187500000/AJ324</f>
        <v>8500000</v>
      </c>
      <c r="AL324" s="31">
        <f t="shared" si="27"/>
        <v>16210</v>
      </c>
      <c r="AM324" s="34">
        <f>85949100000/AL324</f>
        <v>5302227.0203578034</v>
      </c>
      <c r="AN324" s="34">
        <v>6705527000</v>
      </c>
      <c r="AO324" s="34">
        <f t="shared" si="29"/>
        <v>129842127000</v>
      </c>
      <c r="AP324" s="30" t="s">
        <v>2787</v>
      </c>
      <c r="AQ324" s="30" t="s">
        <v>76</v>
      </c>
      <c r="AR324" s="30"/>
      <c r="AS324" s="30"/>
      <c r="AT324" s="30"/>
      <c r="AU324" s="30"/>
      <c r="AV324" s="35">
        <v>6000</v>
      </c>
      <c r="AW324" s="34">
        <v>8450000</v>
      </c>
      <c r="AX324" s="35"/>
      <c r="AY324" s="34"/>
      <c r="AZ324" s="34">
        <v>66000000000</v>
      </c>
      <c r="BA324" s="32">
        <f>AV324*AW324</f>
        <v>50700000000</v>
      </c>
      <c r="BB324" s="30" t="s">
        <v>2788</v>
      </c>
      <c r="BC324" s="30" t="s">
        <v>81</v>
      </c>
      <c r="BD324" s="30" t="s">
        <v>2789</v>
      </c>
      <c r="BE324" s="30" t="s">
        <v>77</v>
      </c>
      <c r="BF324" s="30"/>
      <c r="BG324" s="30"/>
      <c r="BH324" s="30"/>
      <c r="BI324" s="30"/>
      <c r="BJ324" s="36">
        <v>1224</v>
      </c>
      <c r="BK324" s="34">
        <v>9068627</v>
      </c>
      <c r="BL324" s="36"/>
      <c r="BM324" s="34"/>
      <c r="BN324" s="34">
        <v>12240000000</v>
      </c>
      <c r="BO324" s="32">
        <f t="shared" si="32"/>
        <v>11099999448</v>
      </c>
      <c r="BP324" s="30" t="s">
        <v>2790</v>
      </c>
      <c r="BQ324" s="30" t="s">
        <v>81</v>
      </c>
      <c r="BR324" s="30" t="s">
        <v>2789</v>
      </c>
      <c r="BS324" s="30" t="s">
        <v>77</v>
      </c>
      <c r="BT324" s="30"/>
      <c r="BU324" s="30"/>
      <c r="BV324" s="30"/>
      <c r="BW324" s="30"/>
      <c r="BX324" s="36">
        <v>6000</v>
      </c>
      <c r="BY324" s="34">
        <v>9000000</v>
      </c>
      <c r="BZ324" s="36"/>
      <c r="CA324" s="34"/>
      <c r="CB324" s="34">
        <v>72000000000</v>
      </c>
      <c r="CC324" s="32">
        <f t="shared" si="33"/>
        <v>54000000000</v>
      </c>
      <c r="CD324" s="30" t="s">
        <v>2791</v>
      </c>
      <c r="CE324" s="30" t="s">
        <v>81</v>
      </c>
      <c r="CF324" s="30" t="s">
        <v>2792</v>
      </c>
      <c r="CG324" s="30"/>
      <c r="CH324" s="30"/>
      <c r="CI324" s="64"/>
      <c r="CJ324" s="64"/>
      <c r="CK324" s="64"/>
      <c r="CL324" s="64"/>
    </row>
    <row r="325" spans="2:90" ht="105" x14ac:dyDescent="0.25">
      <c r="B325" s="30" t="s">
        <v>2793</v>
      </c>
      <c r="C325" s="30" t="s">
        <v>2794</v>
      </c>
      <c r="D325" s="33">
        <v>45603</v>
      </c>
      <c r="E325" s="30" t="s">
        <v>204</v>
      </c>
      <c r="F325" s="30" t="s">
        <v>204</v>
      </c>
      <c r="G325" s="30"/>
      <c r="H325" s="30" t="s">
        <v>77</v>
      </c>
      <c r="I325" s="35">
        <v>8030</v>
      </c>
      <c r="J325" s="30" t="s">
        <v>70</v>
      </c>
      <c r="K325" s="35"/>
      <c r="L325" s="35"/>
      <c r="M325" s="30"/>
      <c r="N325" s="30"/>
      <c r="O325" s="30"/>
      <c r="P325" s="30"/>
      <c r="Q325" s="30"/>
      <c r="R325" s="30" t="s">
        <v>2795</v>
      </c>
      <c r="S325" s="30" t="s">
        <v>277</v>
      </c>
      <c r="T325" s="30" t="s">
        <v>278</v>
      </c>
      <c r="U325" s="30" t="s">
        <v>279</v>
      </c>
      <c r="V325" s="30" t="s">
        <v>80</v>
      </c>
      <c r="W325" s="30" t="s">
        <v>72</v>
      </c>
      <c r="X325" s="30" t="s">
        <v>195</v>
      </c>
      <c r="Y325" s="30" t="s">
        <v>280</v>
      </c>
      <c r="Z325" s="33">
        <v>45560</v>
      </c>
      <c r="AA325" s="33">
        <v>45560</v>
      </c>
      <c r="AB325" s="30" t="s">
        <v>90</v>
      </c>
      <c r="AC325" s="30"/>
      <c r="AD325" s="30"/>
      <c r="AE325" s="30"/>
      <c r="AF325" s="30"/>
      <c r="AG325" s="30"/>
      <c r="AH325" s="30"/>
      <c r="AI325" s="30"/>
      <c r="AJ325" s="31">
        <f t="shared" ref="AJ325:AJ382" si="34">I325</f>
        <v>8030</v>
      </c>
      <c r="AK325" s="34">
        <f>5139200000/AJ325</f>
        <v>640000</v>
      </c>
      <c r="AL325" s="31">
        <f t="shared" ref="AL325:AL382" si="35">K325</f>
        <v>0</v>
      </c>
      <c r="AM325" s="34"/>
      <c r="AN325" s="34"/>
      <c r="AO325" s="34">
        <f t="shared" si="29"/>
        <v>5139200000</v>
      </c>
      <c r="AP325" s="30" t="s">
        <v>2796</v>
      </c>
      <c r="AQ325" s="30" t="s">
        <v>77</v>
      </c>
      <c r="AR325" s="30"/>
      <c r="AS325" s="30"/>
      <c r="AT325" s="30"/>
      <c r="AU325" s="30"/>
      <c r="AV325" s="35">
        <v>7830</v>
      </c>
      <c r="AW325" s="34">
        <v>710000</v>
      </c>
      <c r="AX325" s="35"/>
      <c r="AY325" s="34"/>
      <c r="AZ325" s="34">
        <v>7047000000</v>
      </c>
      <c r="BA325" s="32">
        <f>AV325*AW325</f>
        <v>5559300000</v>
      </c>
      <c r="BB325" s="30" t="s">
        <v>2797</v>
      </c>
      <c r="BC325" s="30" t="s">
        <v>81</v>
      </c>
      <c r="BD325" s="30" t="s">
        <v>2798</v>
      </c>
      <c r="BE325" s="30" t="s">
        <v>77</v>
      </c>
      <c r="BF325" s="30"/>
      <c r="BG325" s="30"/>
      <c r="BH325" s="30"/>
      <c r="BI325" s="30"/>
      <c r="BJ325" s="36">
        <v>10918</v>
      </c>
      <c r="BK325" s="34">
        <v>690000</v>
      </c>
      <c r="BL325" s="36"/>
      <c r="BM325" s="34"/>
      <c r="BN325" s="34">
        <v>8734400000</v>
      </c>
      <c r="BO325" s="32">
        <f t="shared" si="32"/>
        <v>7533420000</v>
      </c>
      <c r="BP325" s="30" t="s">
        <v>2799</v>
      </c>
      <c r="BQ325" s="30" t="s">
        <v>81</v>
      </c>
      <c r="BR325" s="30" t="s">
        <v>2798</v>
      </c>
      <c r="BS325" s="30" t="s">
        <v>77</v>
      </c>
      <c r="BT325" s="30"/>
      <c r="BU325" s="30"/>
      <c r="BV325" s="30"/>
      <c r="BW325" s="30"/>
      <c r="BX325" s="36">
        <v>4330</v>
      </c>
      <c r="BY325" s="34">
        <v>710000</v>
      </c>
      <c r="BZ325" s="36"/>
      <c r="CA325" s="34"/>
      <c r="CB325" s="34">
        <v>3897000000</v>
      </c>
      <c r="CC325" s="32">
        <f t="shared" si="33"/>
        <v>3074300000</v>
      </c>
      <c r="CD325" s="30" t="s">
        <v>2799</v>
      </c>
      <c r="CE325" s="30" t="s">
        <v>81</v>
      </c>
      <c r="CF325" s="30" t="s">
        <v>216</v>
      </c>
      <c r="CG325" s="30"/>
      <c r="CH325" s="30"/>
      <c r="CI325" s="64"/>
      <c r="CJ325" s="64"/>
      <c r="CK325" s="64"/>
      <c r="CL325" s="64"/>
    </row>
    <row r="326" spans="2:90" ht="120" x14ac:dyDescent="0.25">
      <c r="B326" s="54" t="s">
        <v>2800</v>
      </c>
      <c r="C326" s="30" t="s">
        <v>2801</v>
      </c>
      <c r="D326" s="67">
        <v>45603</v>
      </c>
      <c r="E326" s="54" t="s">
        <v>220</v>
      </c>
      <c r="F326" s="54" t="s">
        <v>220</v>
      </c>
      <c r="G326" s="30"/>
      <c r="H326" s="30" t="s">
        <v>77</v>
      </c>
      <c r="I326" s="35">
        <v>2400</v>
      </c>
      <c r="J326" s="30" t="s">
        <v>70</v>
      </c>
      <c r="K326" s="35"/>
      <c r="L326" s="35"/>
      <c r="M326" s="30"/>
      <c r="N326" s="30"/>
      <c r="O326" s="30"/>
      <c r="P326" s="30"/>
      <c r="Q326" s="30"/>
      <c r="R326" s="30" t="s">
        <v>2802</v>
      </c>
      <c r="S326" s="30" t="s">
        <v>102</v>
      </c>
      <c r="T326" s="30" t="s">
        <v>158</v>
      </c>
      <c r="U326" s="30" t="s">
        <v>103</v>
      </c>
      <c r="V326" s="30" t="s">
        <v>84</v>
      </c>
      <c r="W326" s="30" t="s">
        <v>72</v>
      </c>
      <c r="X326" s="30" t="s">
        <v>195</v>
      </c>
      <c r="Y326" s="30" t="s">
        <v>280</v>
      </c>
      <c r="Z326" s="33">
        <v>45561</v>
      </c>
      <c r="AA326" s="33">
        <v>45561</v>
      </c>
      <c r="AB326" s="30" t="s">
        <v>90</v>
      </c>
      <c r="AC326" s="30"/>
      <c r="AD326" s="30"/>
      <c r="AE326" s="30"/>
      <c r="AF326" s="30"/>
      <c r="AG326" s="30"/>
      <c r="AH326" s="30"/>
      <c r="AI326" s="30"/>
      <c r="AJ326" s="31">
        <f t="shared" si="34"/>
        <v>2400</v>
      </c>
      <c r="AK326" s="34">
        <f>85680000000/AJ326</f>
        <v>35700000</v>
      </c>
      <c r="AL326" s="31">
        <f t="shared" si="35"/>
        <v>0</v>
      </c>
      <c r="AM326" s="34"/>
      <c r="AN326" s="34"/>
      <c r="AO326" s="34">
        <f t="shared" si="29"/>
        <v>85680000000</v>
      </c>
      <c r="AP326" s="30" t="s">
        <v>2803</v>
      </c>
      <c r="AQ326" s="30" t="s">
        <v>76</v>
      </c>
      <c r="AR326" s="30"/>
      <c r="AS326" s="30"/>
      <c r="AT326" s="30"/>
      <c r="AU326" s="30"/>
      <c r="AV326" s="35">
        <v>1582</v>
      </c>
      <c r="AW326" s="34">
        <v>36000000</v>
      </c>
      <c r="AX326" s="35"/>
      <c r="AY326" s="34"/>
      <c r="AZ326" s="34">
        <v>63280000000</v>
      </c>
      <c r="BA326" s="32">
        <f>AV326*AW326</f>
        <v>56952000000</v>
      </c>
      <c r="BB326" s="30" t="s">
        <v>2804</v>
      </c>
      <c r="BC326" s="30" t="s">
        <v>81</v>
      </c>
      <c r="BD326" s="30" t="s">
        <v>2803</v>
      </c>
      <c r="BE326" s="30" t="s">
        <v>2805</v>
      </c>
      <c r="BF326" s="30"/>
      <c r="BG326" s="30"/>
      <c r="BH326" s="30"/>
      <c r="BI326" s="30"/>
      <c r="BJ326" s="36">
        <v>3204</v>
      </c>
      <c r="BK326" s="34">
        <v>34500000</v>
      </c>
      <c r="BL326" s="36"/>
      <c r="BM326" s="34"/>
      <c r="BN326" s="34">
        <v>121752000000</v>
      </c>
      <c r="BO326" s="32">
        <f t="shared" si="32"/>
        <v>110538000000</v>
      </c>
      <c r="BP326" s="30" t="s">
        <v>2806</v>
      </c>
      <c r="BQ326" s="30" t="s">
        <v>81</v>
      </c>
      <c r="BR326" s="30" t="s">
        <v>2807</v>
      </c>
      <c r="BS326" s="30" t="s">
        <v>83</v>
      </c>
      <c r="BT326" s="30"/>
      <c r="BU326" s="30"/>
      <c r="BV326" s="30"/>
      <c r="BW326" s="30"/>
      <c r="BX326" s="36">
        <v>468</v>
      </c>
      <c r="BY326" s="34">
        <v>44886222</v>
      </c>
      <c r="BZ326" s="36">
        <v>192</v>
      </c>
      <c r="CA326" s="34"/>
      <c r="CB326" s="34">
        <v>25000000000</v>
      </c>
      <c r="CC326" s="32">
        <f>BX326*BY326+(2569000*BZ326)</f>
        <v>21499999896</v>
      </c>
      <c r="CD326" s="30" t="s">
        <v>2808</v>
      </c>
      <c r="CE326" s="30" t="s">
        <v>81</v>
      </c>
      <c r="CF326" s="30" t="s">
        <v>196</v>
      </c>
      <c r="CG326" s="30"/>
      <c r="CH326" s="30"/>
      <c r="CI326" s="64"/>
      <c r="CJ326" s="64"/>
      <c r="CK326" s="64"/>
      <c r="CL326" s="64"/>
    </row>
    <row r="327" spans="2:90" ht="60" x14ac:dyDescent="0.25">
      <c r="B327" s="57"/>
      <c r="C327" s="30" t="s">
        <v>2809</v>
      </c>
      <c r="D327" s="68"/>
      <c r="E327" s="57"/>
      <c r="F327" s="57"/>
      <c r="G327" s="30"/>
      <c r="H327" s="54" t="s">
        <v>234</v>
      </c>
      <c r="I327" s="35">
        <v>171.9</v>
      </c>
      <c r="J327" s="30" t="s">
        <v>70</v>
      </c>
      <c r="K327" s="35"/>
      <c r="L327" s="35"/>
      <c r="M327" s="30"/>
      <c r="N327" s="30"/>
      <c r="O327" s="30"/>
      <c r="P327" s="30"/>
      <c r="Q327" s="54" t="s">
        <v>2810</v>
      </c>
      <c r="R327" s="30" t="s">
        <v>2811</v>
      </c>
      <c r="S327" s="54" t="s">
        <v>2812</v>
      </c>
      <c r="T327" s="54" t="s">
        <v>777</v>
      </c>
      <c r="U327" s="54" t="s">
        <v>2813</v>
      </c>
      <c r="V327" s="54" t="s">
        <v>84</v>
      </c>
      <c r="W327" s="54" t="s">
        <v>72</v>
      </c>
      <c r="X327" s="54" t="s">
        <v>195</v>
      </c>
      <c r="Y327" s="54" t="s">
        <v>280</v>
      </c>
      <c r="Z327" s="67">
        <v>45560</v>
      </c>
      <c r="AA327" s="67">
        <v>45560</v>
      </c>
      <c r="AB327" s="54" t="s">
        <v>90</v>
      </c>
      <c r="AC327" s="30"/>
      <c r="AD327" s="30"/>
      <c r="AE327" s="30"/>
      <c r="AF327" s="30"/>
      <c r="AG327" s="30"/>
      <c r="AH327" s="30"/>
      <c r="AI327" s="30"/>
      <c r="AJ327" s="31">
        <f t="shared" si="34"/>
        <v>171.9</v>
      </c>
      <c r="AK327" s="34">
        <f>7399245301/AJ327</f>
        <v>43043893.548574753</v>
      </c>
      <c r="AL327" s="31">
        <f t="shared" si="35"/>
        <v>0</v>
      </c>
      <c r="AM327" s="34"/>
      <c r="AN327" s="34"/>
      <c r="AO327" s="34">
        <f t="shared" si="29"/>
        <v>7399245301</v>
      </c>
      <c r="AP327" s="54" t="s">
        <v>2814</v>
      </c>
      <c r="AQ327" s="54" t="s">
        <v>2815</v>
      </c>
      <c r="AR327" s="30"/>
      <c r="AS327" s="30"/>
      <c r="AT327" s="30"/>
      <c r="AU327" s="30"/>
      <c r="AV327" s="86">
        <v>43</v>
      </c>
      <c r="AW327" s="51">
        <v>46511628</v>
      </c>
      <c r="AX327" s="35"/>
      <c r="AY327" s="60"/>
      <c r="AZ327" s="51">
        <v>2300000000</v>
      </c>
      <c r="BA327" s="87">
        <f>AV327*AW327</f>
        <v>2000000004</v>
      </c>
      <c r="BB327" s="54" t="s">
        <v>2816</v>
      </c>
      <c r="BC327" s="54" t="s">
        <v>81</v>
      </c>
      <c r="BD327" s="54" t="s">
        <v>2817</v>
      </c>
      <c r="BE327" s="54" t="s">
        <v>2815</v>
      </c>
      <c r="BF327" s="30"/>
      <c r="BG327" s="30"/>
      <c r="BH327" s="30"/>
      <c r="BI327" s="30"/>
      <c r="BJ327" s="88">
        <v>500</v>
      </c>
      <c r="BK327" s="51">
        <v>43000000</v>
      </c>
      <c r="BL327" s="36"/>
      <c r="BM327" s="60"/>
      <c r="BN327" s="51">
        <v>25000000000</v>
      </c>
      <c r="BO327" s="87">
        <f t="shared" si="32"/>
        <v>21500000000</v>
      </c>
      <c r="BP327" s="54" t="s">
        <v>2818</v>
      </c>
      <c r="BQ327" s="54" t="s">
        <v>81</v>
      </c>
      <c r="BR327" s="54" t="s">
        <v>2814</v>
      </c>
      <c r="BS327" s="54" t="s">
        <v>2815</v>
      </c>
      <c r="BT327" s="30"/>
      <c r="BU327" s="30"/>
      <c r="BV327" s="30"/>
      <c r="BW327" s="30"/>
      <c r="BX327" s="88">
        <v>268</v>
      </c>
      <c r="BY327" s="51">
        <v>44776119</v>
      </c>
      <c r="BZ327" s="36"/>
      <c r="CA327" s="60"/>
      <c r="CB327" s="51">
        <v>14000000000</v>
      </c>
      <c r="CC327" s="87">
        <f t="shared" si="33"/>
        <v>11999999892</v>
      </c>
      <c r="CD327" s="54" t="s">
        <v>2819</v>
      </c>
      <c r="CE327" s="54" t="s">
        <v>81</v>
      </c>
      <c r="CF327" s="54" t="s">
        <v>196</v>
      </c>
      <c r="CG327" s="30"/>
      <c r="CH327" s="30"/>
      <c r="CI327" s="64"/>
      <c r="CJ327" s="64"/>
      <c r="CK327" s="64"/>
      <c r="CL327" s="64"/>
    </row>
    <row r="328" spans="2:90" ht="60" x14ac:dyDescent="0.25">
      <c r="B328" s="57"/>
      <c r="C328" s="30" t="s">
        <v>2820</v>
      </c>
      <c r="D328" s="68"/>
      <c r="E328" s="57"/>
      <c r="F328" s="57"/>
      <c r="G328" s="30"/>
      <c r="H328" s="57"/>
      <c r="I328" s="35">
        <v>260.64999999999998</v>
      </c>
      <c r="J328" s="30" t="s">
        <v>70</v>
      </c>
      <c r="K328" s="35"/>
      <c r="L328" s="35"/>
      <c r="M328" s="30"/>
      <c r="N328" s="30"/>
      <c r="O328" s="30"/>
      <c r="P328" s="30"/>
      <c r="Q328" s="57"/>
      <c r="R328" s="30" t="s">
        <v>2821</v>
      </c>
      <c r="S328" s="57"/>
      <c r="T328" s="57"/>
      <c r="U328" s="57"/>
      <c r="V328" s="57"/>
      <c r="W328" s="57"/>
      <c r="X328" s="57"/>
      <c r="Y328" s="57"/>
      <c r="Z328" s="68"/>
      <c r="AA328" s="68"/>
      <c r="AB328" s="57"/>
      <c r="AC328" s="30"/>
      <c r="AD328" s="30"/>
      <c r="AE328" s="30"/>
      <c r="AF328" s="30"/>
      <c r="AG328" s="30"/>
      <c r="AH328" s="30"/>
      <c r="AI328" s="30"/>
      <c r="AJ328" s="31">
        <f t="shared" si="34"/>
        <v>260.64999999999998</v>
      </c>
      <c r="AK328" s="34">
        <f>11089631431/AJ328</f>
        <v>42546063.422213703</v>
      </c>
      <c r="AL328" s="31">
        <f t="shared" si="35"/>
        <v>0</v>
      </c>
      <c r="AM328" s="34"/>
      <c r="AN328" s="34"/>
      <c r="AO328" s="34">
        <f t="shared" si="29"/>
        <v>11089631431</v>
      </c>
      <c r="AP328" s="57"/>
      <c r="AQ328" s="57"/>
      <c r="AR328" s="30"/>
      <c r="AS328" s="30"/>
      <c r="AT328" s="30"/>
      <c r="AU328" s="30"/>
      <c r="AV328" s="92"/>
      <c r="AW328" s="52"/>
      <c r="AX328" s="35"/>
      <c r="AY328" s="61"/>
      <c r="AZ328" s="52"/>
      <c r="BA328" s="93"/>
      <c r="BB328" s="57"/>
      <c r="BC328" s="57"/>
      <c r="BD328" s="57"/>
      <c r="BE328" s="57"/>
      <c r="BF328" s="30"/>
      <c r="BG328" s="30"/>
      <c r="BH328" s="30"/>
      <c r="BI328" s="30"/>
      <c r="BJ328" s="94"/>
      <c r="BK328" s="52"/>
      <c r="BL328" s="36"/>
      <c r="BM328" s="61"/>
      <c r="BN328" s="52"/>
      <c r="BO328" s="93"/>
      <c r="BP328" s="57"/>
      <c r="BQ328" s="57"/>
      <c r="BR328" s="57"/>
      <c r="BS328" s="57"/>
      <c r="BT328" s="30"/>
      <c r="BU328" s="30"/>
      <c r="BV328" s="30"/>
      <c r="BW328" s="30"/>
      <c r="BX328" s="94"/>
      <c r="BY328" s="52"/>
      <c r="BZ328" s="36"/>
      <c r="CA328" s="61"/>
      <c r="CB328" s="52"/>
      <c r="CC328" s="93"/>
      <c r="CD328" s="57"/>
      <c r="CE328" s="57"/>
      <c r="CF328" s="57"/>
      <c r="CG328" s="30"/>
      <c r="CH328" s="30"/>
      <c r="CI328" s="64"/>
      <c r="CJ328" s="64"/>
      <c r="CK328" s="64"/>
      <c r="CL328" s="64"/>
    </row>
    <row r="329" spans="2:90" ht="60" x14ac:dyDescent="0.25">
      <c r="B329" s="57"/>
      <c r="C329" s="30" t="s">
        <v>2822</v>
      </c>
      <c r="D329" s="68"/>
      <c r="E329" s="57"/>
      <c r="F329" s="57"/>
      <c r="G329" s="30"/>
      <c r="H329" s="57"/>
      <c r="I329" s="35">
        <v>760.8</v>
      </c>
      <c r="J329" s="30" t="s">
        <v>70</v>
      </c>
      <c r="K329" s="35"/>
      <c r="L329" s="35"/>
      <c r="M329" s="30"/>
      <c r="N329" s="30"/>
      <c r="O329" s="30"/>
      <c r="P329" s="30"/>
      <c r="Q329" s="57"/>
      <c r="R329" s="30" t="s">
        <v>2823</v>
      </c>
      <c r="S329" s="57"/>
      <c r="T329" s="57"/>
      <c r="U329" s="57"/>
      <c r="V329" s="57"/>
      <c r="W329" s="57"/>
      <c r="X329" s="57"/>
      <c r="Y329" s="57"/>
      <c r="Z329" s="68"/>
      <c r="AA329" s="68"/>
      <c r="AB329" s="57"/>
      <c r="AC329" s="30"/>
      <c r="AD329" s="30"/>
      <c r="AE329" s="30"/>
      <c r="AF329" s="30"/>
      <c r="AG329" s="30"/>
      <c r="AH329" s="30"/>
      <c r="AI329" s="30"/>
      <c r="AJ329" s="31">
        <f t="shared" si="34"/>
        <v>760.8</v>
      </c>
      <c r="AK329" s="34">
        <f>31543512415/AJ329</f>
        <v>41460978.463459522</v>
      </c>
      <c r="AL329" s="31">
        <f t="shared" si="35"/>
        <v>0</v>
      </c>
      <c r="AM329" s="34"/>
      <c r="AN329" s="34"/>
      <c r="AO329" s="34">
        <f t="shared" si="29"/>
        <v>31543512415.000004</v>
      </c>
      <c r="AP329" s="57"/>
      <c r="AQ329" s="57"/>
      <c r="AR329" s="30"/>
      <c r="AS329" s="30"/>
      <c r="AT329" s="30"/>
      <c r="AU329" s="30"/>
      <c r="AV329" s="92"/>
      <c r="AW329" s="52"/>
      <c r="AX329" s="35"/>
      <c r="AY329" s="61"/>
      <c r="AZ329" s="52"/>
      <c r="BA329" s="93"/>
      <c r="BB329" s="57"/>
      <c r="BC329" s="57"/>
      <c r="BD329" s="57"/>
      <c r="BE329" s="57"/>
      <c r="BF329" s="30"/>
      <c r="BG329" s="30"/>
      <c r="BH329" s="30"/>
      <c r="BI329" s="30"/>
      <c r="BJ329" s="94"/>
      <c r="BK329" s="52"/>
      <c r="BL329" s="36"/>
      <c r="BM329" s="61"/>
      <c r="BN329" s="52"/>
      <c r="BO329" s="93"/>
      <c r="BP329" s="57"/>
      <c r="BQ329" s="57"/>
      <c r="BR329" s="57"/>
      <c r="BS329" s="57"/>
      <c r="BT329" s="30"/>
      <c r="BU329" s="30"/>
      <c r="BV329" s="30"/>
      <c r="BW329" s="30"/>
      <c r="BX329" s="94"/>
      <c r="BY329" s="52"/>
      <c r="BZ329" s="36"/>
      <c r="CA329" s="61"/>
      <c r="CB329" s="52"/>
      <c r="CC329" s="93"/>
      <c r="CD329" s="57"/>
      <c r="CE329" s="57"/>
      <c r="CF329" s="57"/>
      <c r="CG329" s="30"/>
      <c r="CH329" s="30"/>
      <c r="CI329" s="64"/>
      <c r="CJ329" s="64"/>
      <c r="CK329" s="64"/>
      <c r="CL329" s="64"/>
    </row>
    <row r="330" spans="2:90" ht="75" x14ac:dyDescent="0.25">
      <c r="B330" s="57"/>
      <c r="C330" s="30" t="s">
        <v>2824</v>
      </c>
      <c r="D330" s="68"/>
      <c r="E330" s="57"/>
      <c r="F330" s="57"/>
      <c r="G330" s="30"/>
      <c r="H330" s="57"/>
      <c r="I330" s="35">
        <v>119.1</v>
      </c>
      <c r="J330" s="30" t="s">
        <v>70</v>
      </c>
      <c r="K330" s="35"/>
      <c r="L330" s="35"/>
      <c r="M330" s="30"/>
      <c r="N330" s="30"/>
      <c r="O330" s="30"/>
      <c r="P330" s="30"/>
      <c r="Q330" s="57"/>
      <c r="R330" s="30" t="s">
        <v>2825</v>
      </c>
      <c r="S330" s="57"/>
      <c r="T330" s="57"/>
      <c r="U330" s="57"/>
      <c r="V330" s="57"/>
      <c r="W330" s="57"/>
      <c r="X330" s="57"/>
      <c r="Y330" s="57"/>
      <c r="Z330" s="68"/>
      <c r="AA330" s="68"/>
      <c r="AB330" s="57"/>
      <c r="AC330" s="30"/>
      <c r="AD330" s="30"/>
      <c r="AE330" s="30"/>
      <c r="AF330" s="30"/>
      <c r="AG330" s="30"/>
      <c r="AH330" s="30"/>
      <c r="AI330" s="30"/>
      <c r="AJ330" s="31">
        <f t="shared" si="34"/>
        <v>119.1</v>
      </c>
      <c r="AK330" s="34">
        <f>5236808569/AJ330</f>
        <v>43969845.24769102</v>
      </c>
      <c r="AL330" s="31">
        <f t="shared" si="35"/>
        <v>0</v>
      </c>
      <c r="AM330" s="34"/>
      <c r="AN330" s="34"/>
      <c r="AO330" s="34">
        <f t="shared" si="29"/>
        <v>5236808569</v>
      </c>
      <c r="AP330" s="57"/>
      <c r="AQ330" s="57"/>
      <c r="AR330" s="30"/>
      <c r="AS330" s="30"/>
      <c r="AT330" s="30"/>
      <c r="AU330" s="30"/>
      <c r="AV330" s="92"/>
      <c r="AW330" s="52"/>
      <c r="AX330" s="35"/>
      <c r="AY330" s="61"/>
      <c r="AZ330" s="52"/>
      <c r="BA330" s="93"/>
      <c r="BB330" s="57"/>
      <c r="BC330" s="57"/>
      <c r="BD330" s="57"/>
      <c r="BE330" s="57"/>
      <c r="BF330" s="30"/>
      <c r="BG330" s="30"/>
      <c r="BH330" s="30"/>
      <c r="BI330" s="30"/>
      <c r="BJ330" s="94"/>
      <c r="BK330" s="52"/>
      <c r="BL330" s="36"/>
      <c r="BM330" s="61"/>
      <c r="BN330" s="52"/>
      <c r="BO330" s="93"/>
      <c r="BP330" s="57"/>
      <c r="BQ330" s="57"/>
      <c r="BR330" s="57"/>
      <c r="BS330" s="57"/>
      <c r="BT330" s="30"/>
      <c r="BU330" s="30"/>
      <c r="BV330" s="30"/>
      <c r="BW330" s="30"/>
      <c r="BX330" s="94"/>
      <c r="BY330" s="52"/>
      <c r="BZ330" s="36"/>
      <c r="CA330" s="61"/>
      <c r="CB330" s="52"/>
      <c r="CC330" s="93"/>
      <c r="CD330" s="57"/>
      <c r="CE330" s="57"/>
      <c r="CF330" s="57"/>
      <c r="CG330" s="30"/>
      <c r="CH330" s="30"/>
      <c r="CI330" s="64"/>
      <c r="CJ330" s="64"/>
      <c r="CK330" s="64"/>
      <c r="CL330" s="64"/>
    </row>
    <row r="331" spans="2:90" ht="60" x14ac:dyDescent="0.25">
      <c r="B331" s="57"/>
      <c r="C331" s="30" t="s">
        <v>2826</v>
      </c>
      <c r="D331" s="68"/>
      <c r="E331" s="57"/>
      <c r="F331" s="57"/>
      <c r="G331" s="30"/>
      <c r="H331" s="57"/>
      <c r="I331" s="35">
        <v>88.55</v>
      </c>
      <c r="J331" s="30" t="s">
        <v>70</v>
      </c>
      <c r="K331" s="35"/>
      <c r="L331" s="35"/>
      <c r="M331" s="30"/>
      <c r="N331" s="30"/>
      <c r="O331" s="30"/>
      <c r="P331" s="30"/>
      <c r="Q331" s="57"/>
      <c r="R331" s="30" t="s">
        <v>2827</v>
      </c>
      <c r="S331" s="57"/>
      <c r="T331" s="57"/>
      <c r="U331" s="57"/>
      <c r="V331" s="57"/>
      <c r="W331" s="57"/>
      <c r="X331" s="57"/>
      <c r="Y331" s="57"/>
      <c r="Z331" s="68"/>
      <c r="AA331" s="68"/>
      <c r="AB331" s="57"/>
      <c r="AC331" s="30"/>
      <c r="AD331" s="30"/>
      <c r="AE331" s="30"/>
      <c r="AF331" s="30"/>
      <c r="AG331" s="30"/>
      <c r="AH331" s="30"/>
      <c r="AI331" s="30"/>
      <c r="AJ331" s="31">
        <f t="shared" si="34"/>
        <v>88.55</v>
      </c>
      <c r="AK331" s="34">
        <f>4014557479/AJ331</f>
        <v>45336617.492941841</v>
      </c>
      <c r="AL331" s="31">
        <f t="shared" si="35"/>
        <v>0</v>
      </c>
      <c r="AM331" s="34"/>
      <c r="AN331" s="34"/>
      <c r="AO331" s="34">
        <f t="shared" si="29"/>
        <v>4014557479</v>
      </c>
      <c r="AP331" s="57"/>
      <c r="AQ331" s="57"/>
      <c r="AR331" s="30"/>
      <c r="AS331" s="30"/>
      <c r="AT331" s="30"/>
      <c r="AU331" s="30"/>
      <c r="AV331" s="92"/>
      <c r="AW331" s="52"/>
      <c r="AX331" s="35"/>
      <c r="AY331" s="61"/>
      <c r="AZ331" s="52"/>
      <c r="BA331" s="93"/>
      <c r="BB331" s="57"/>
      <c r="BC331" s="57"/>
      <c r="BD331" s="57"/>
      <c r="BE331" s="57"/>
      <c r="BF331" s="30"/>
      <c r="BG331" s="30"/>
      <c r="BH331" s="30"/>
      <c r="BI331" s="30"/>
      <c r="BJ331" s="94"/>
      <c r="BK331" s="52"/>
      <c r="BL331" s="36"/>
      <c r="BM331" s="61"/>
      <c r="BN331" s="52"/>
      <c r="BO331" s="93"/>
      <c r="BP331" s="57"/>
      <c r="BQ331" s="57"/>
      <c r="BR331" s="57"/>
      <c r="BS331" s="57"/>
      <c r="BT331" s="30"/>
      <c r="BU331" s="30"/>
      <c r="BV331" s="30"/>
      <c r="BW331" s="30"/>
      <c r="BX331" s="94"/>
      <c r="BY331" s="52"/>
      <c r="BZ331" s="36"/>
      <c r="CA331" s="61"/>
      <c r="CB331" s="52"/>
      <c r="CC331" s="93"/>
      <c r="CD331" s="57"/>
      <c r="CE331" s="57"/>
      <c r="CF331" s="57"/>
      <c r="CG331" s="30"/>
      <c r="CH331" s="30"/>
      <c r="CI331" s="64"/>
      <c r="CJ331" s="64"/>
      <c r="CK331" s="64"/>
      <c r="CL331" s="64"/>
    </row>
    <row r="332" spans="2:90" ht="60" x14ac:dyDescent="0.25">
      <c r="B332" s="57"/>
      <c r="C332" s="30" t="s">
        <v>2828</v>
      </c>
      <c r="D332" s="68"/>
      <c r="E332" s="57"/>
      <c r="F332" s="57"/>
      <c r="G332" s="30"/>
      <c r="H332" s="57"/>
      <c r="I332" s="35">
        <v>240.85</v>
      </c>
      <c r="J332" s="30" t="s">
        <v>70</v>
      </c>
      <c r="K332" s="35"/>
      <c r="L332" s="35"/>
      <c r="M332" s="30"/>
      <c r="N332" s="30"/>
      <c r="O332" s="30"/>
      <c r="P332" s="30"/>
      <c r="Q332" s="57"/>
      <c r="R332" s="30" t="s">
        <v>2829</v>
      </c>
      <c r="S332" s="57"/>
      <c r="T332" s="57"/>
      <c r="U332" s="57"/>
      <c r="V332" s="57"/>
      <c r="W332" s="57"/>
      <c r="X332" s="57"/>
      <c r="Y332" s="57"/>
      <c r="Z332" s="68"/>
      <c r="AA332" s="68"/>
      <c r="AB332" s="57"/>
      <c r="AC332" s="30"/>
      <c r="AD332" s="30"/>
      <c r="AE332" s="30"/>
      <c r="AF332" s="30"/>
      <c r="AG332" s="30"/>
      <c r="AH332" s="30"/>
      <c r="AI332" s="30"/>
      <c r="AJ332" s="31">
        <f t="shared" si="34"/>
        <v>240.85</v>
      </c>
      <c r="AK332" s="34">
        <f>10408905657/AJ332</f>
        <v>43217378.687980071</v>
      </c>
      <c r="AL332" s="31">
        <f t="shared" si="35"/>
        <v>0</v>
      </c>
      <c r="AM332" s="34"/>
      <c r="AN332" s="34"/>
      <c r="AO332" s="34">
        <f t="shared" si="29"/>
        <v>10408905657</v>
      </c>
      <c r="AP332" s="58"/>
      <c r="AQ332" s="57"/>
      <c r="AR332" s="30"/>
      <c r="AS332" s="30"/>
      <c r="AT332" s="30"/>
      <c r="AU332" s="30"/>
      <c r="AV332" s="89"/>
      <c r="AW332" s="53"/>
      <c r="AX332" s="35"/>
      <c r="AY332" s="62"/>
      <c r="AZ332" s="53"/>
      <c r="BA332" s="90"/>
      <c r="BB332" s="58"/>
      <c r="BC332" s="58"/>
      <c r="BD332" s="58"/>
      <c r="BE332" s="57"/>
      <c r="BF332" s="30"/>
      <c r="BG332" s="30"/>
      <c r="BH332" s="30"/>
      <c r="BI332" s="30"/>
      <c r="BJ332" s="91"/>
      <c r="BK332" s="53"/>
      <c r="BL332" s="36"/>
      <c r="BM332" s="62"/>
      <c r="BN332" s="53"/>
      <c r="BO332" s="90"/>
      <c r="BP332" s="57"/>
      <c r="BQ332" s="57"/>
      <c r="BR332" s="58"/>
      <c r="BS332" s="57"/>
      <c r="BT332" s="30"/>
      <c r="BU332" s="30"/>
      <c r="BV332" s="30"/>
      <c r="BW332" s="30"/>
      <c r="BX332" s="91"/>
      <c r="BY332" s="53"/>
      <c r="BZ332" s="36"/>
      <c r="CA332" s="62"/>
      <c r="CB332" s="53"/>
      <c r="CC332" s="90"/>
      <c r="CD332" s="58"/>
      <c r="CE332" s="57"/>
      <c r="CF332" s="57"/>
      <c r="CG332" s="30"/>
      <c r="CH332" s="30"/>
      <c r="CI332" s="64"/>
      <c r="CJ332" s="64"/>
      <c r="CK332" s="64"/>
      <c r="CL332" s="64"/>
    </row>
    <row r="333" spans="2:90" ht="60" x14ac:dyDescent="0.25">
      <c r="B333" s="57"/>
      <c r="C333" s="30" t="s">
        <v>2830</v>
      </c>
      <c r="D333" s="68"/>
      <c r="E333" s="57"/>
      <c r="F333" s="57"/>
      <c r="G333" s="30"/>
      <c r="H333" s="57"/>
      <c r="I333" s="35">
        <v>1911.5</v>
      </c>
      <c r="J333" s="30" t="s">
        <v>70</v>
      </c>
      <c r="K333" s="35"/>
      <c r="L333" s="35"/>
      <c r="M333" s="30"/>
      <c r="N333" s="30"/>
      <c r="O333" s="30"/>
      <c r="P333" s="30"/>
      <c r="Q333" s="57"/>
      <c r="R333" s="30" t="s">
        <v>2831</v>
      </c>
      <c r="S333" s="57"/>
      <c r="T333" s="57"/>
      <c r="U333" s="57"/>
      <c r="V333" s="57"/>
      <c r="W333" s="57"/>
      <c r="X333" s="57"/>
      <c r="Y333" s="57"/>
      <c r="Z333" s="68"/>
      <c r="AA333" s="68"/>
      <c r="AB333" s="57"/>
      <c r="AC333" s="30"/>
      <c r="AD333" s="30"/>
      <c r="AE333" s="30"/>
      <c r="AF333" s="30"/>
      <c r="AG333" s="30"/>
      <c r="AH333" s="30"/>
      <c r="AI333" s="30"/>
      <c r="AJ333" s="31">
        <f t="shared" si="34"/>
        <v>1911.5</v>
      </c>
      <c r="AK333" s="34">
        <f>74059659511/AJ333</f>
        <v>38744263.411456972</v>
      </c>
      <c r="AL333" s="31">
        <f t="shared" si="35"/>
        <v>0</v>
      </c>
      <c r="AM333" s="34"/>
      <c r="AN333" s="34"/>
      <c r="AO333" s="34">
        <f t="shared" si="29"/>
        <v>74059659511</v>
      </c>
      <c r="AP333" s="54" t="s">
        <v>2832</v>
      </c>
      <c r="AQ333" s="57"/>
      <c r="AR333" s="30"/>
      <c r="AS333" s="30"/>
      <c r="AT333" s="30"/>
      <c r="AU333" s="30"/>
      <c r="AV333" s="86">
        <v>892</v>
      </c>
      <c r="AW333" s="51">
        <v>40358744</v>
      </c>
      <c r="AX333" s="35"/>
      <c r="AY333" s="60"/>
      <c r="AZ333" s="51">
        <v>41000000000</v>
      </c>
      <c r="BA333" s="87">
        <f>AV333*AW333</f>
        <v>35999999648</v>
      </c>
      <c r="BB333" s="54" t="s">
        <v>2833</v>
      </c>
      <c r="BC333" s="54" t="s">
        <v>81</v>
      </c>
      <c r="BD333" s="54" t="s">
        <v>2817</v>
      </c>
      <c r="BE333" s="57"/>
      <c r="BF333" s="30"/>
      <c r="BG333" s="30"/>
      <c r="BH333" s="30"/>
      <c r="BI333" s="30"/>
      <c r="BJ333" s="88">
        <v>500</v>
      </c>
      <c r="BK333" s="51">
        <v>45000000</v>
      </c>
      <c r="BL333" s="36"/>
      <c r="BM333" s="60"/>
      <c r="BN333" s="51">
        <v>25000000000</v>
      </c>
      <c r="BO333" s="87">
        <f t="shared" si="32"/>
        <v>22500000000</v>
      </c>
      <c r="BP333" s="57"/>
      <c r="BQ333" s="57"/>
      <c r="BR333" s="54" t="s">
        <v>2834</v>
      </c>
      <c r="BS333" s="57"/>
      <c r="BT333" s="30"/>
      <c r="BU333" s="30"/>
      <c r="BV333" s="30"/>
      <c r="BW333" s="30"/>
      <c r="BX333" s="88">
        <v>3000</v>
      </c>
      <c r="BY333" s="51">
        <v>35333333</v>
      </c>
      <c r="BZ333" s="36"/>
      <c r="CA333" s="60"/>
      <c r="CB333" s="51">
        <v>120000000000</v>
      </c>
      <c r="CC333" s="87">
        <f t="shared" si="33"/>
        <v>105999999000</v>
      </c>
      <c r="CD333" s="54" t="s">
        <v>1487</v>
      </c>
      <c r="CE333" s="57"/>
      <c r="CF333" s="57"/>
      <c r="CG333" s="30"/>
      <c r="CH333" s="30"/>
      <c r="CI333" s="64"/>
      <c r="CJ333" s="64"/>
      <c r="CK333" s="64"/>
      <c r="CL333" s="64"/>
    </row>
    <row r="334" spans="2:90" ht="75" x14ac:dyDescent="0.25">
      <c r="B334" s="57"/>
      <c r="C334" s="30" t="s">
        <v>2835</v>
      </c>
      <c r="D334" s="68"/>
      <c r="E334" s="57"/>
      <c r="F334" s="57"/>
      <c r="G334" s="30"/>
      <c r="H334" s="57"/>
      <c r="I334" s="35">
        <v>2705.44</v>
      </c>
      <c r="J334" s="30" t="s">
        <v>70</v>
      </c>
      <c r="K334" s="35"/>
      <c r="L334" s="35"/>
      <c r="M334" s="30"/>
      <c r="N334" s="30"/>
      <c r="O334" s="30"/>
      <c r="P334" s="30"/>
      <c r="Q334" s="57"/>
      <c r="R334" s="30" t="s">
        <v>2836</v>
      </c>
      <c r="S334" s="57"/>
      <c r="T334" s="57"/>
      <c r="U334" s="57"/>
      <c r="V334" s="57"/>
      <c r="W334" s="57"/>
      <c r="X334" s="57"/>
      <c r="Y334" s="57"/>
      <c r="Z334" s="68"/>
      <c r="AA334" s="68"/>
      <c r="AB334" s="57"/>
      <c r="AC334" s="30"/>
      <c r="AD334" s="30"/>
      <c r="AE334" s="30"/>
      <c r="AF334" s="30"/>
      <c r="AG334" s="30"/>
      <c r="AH334" s="30"/>
      <c r="AI334" s="30"/>
      <c r="AJ334" s="31">
        <f t="shared" si="34"/>
        <v>2705.44</v>
      </c>
      <c r="AK334" s="34">
        <f>102444644654/AJ334</f>
        <v>37866167.66736649</v>
      </c>
      <c r="AL334" s="31">
        <f t="shared" si="35"/>
        <v>0</v>
      </c>
      <c r="AM334" s="34"/>
      <c r="AN334" s="34"/>
      <c r="AO334" s="34">
        <f t="shared" si="29"/>
        <v>102444644654</v>
      </c>
      <c r="AP334" s="58"/>
      <c r="AQ334" s="57"/>
      <c r="AR334" s="30"/>
      <c r="AS334" s="30"/>
      <c r="AT334" s="30"/>
      <c r="AU334" s="30"/>
      <c r="AV334" s="89"/>
      <c r="AW334" s="53"/>
      <c r="AX334" s="35"/>
      <c r="AY334" s="62"/>
      <c r="AZ334" s="53"/>
      <c r="BA334" s="90"/>
      <c r="BB334" s="58"/>
      <c r="BC334" s="58"/>
      <c r="BD334" s="58"/>
      <c r="BE334" s="57"/>
      <c r="BF334" s="30"/>
      <c r="BG334" s="30"/>
      <c r="BH334" s="30"/>
      <c r="BI334" s="30"/>
      <c r="BJ334" s="91"/>
      <c r="BK334" s="53"/>
      <c r="BL334" s="36"/>
      <c r="BM334" s="62"/>
      <c r="BN334" s="53"/>
      <c r="BO334" s="90"/>
      <c r="BP334" s="57"/>
      <c r="BQ334" s="57"/>
      <c r="BR334" s="58"/>
      <c r="BS334" s="57"/>
      <c r="BT334" s="30"/>
      <c r="BU334" s="30"/>
      <c r="BV334" s="30"/>
      <c r="BW334" s="30"/>
      <c r="BX334" s="91"/>
      <c r="BY334" s="53"/>
      <c r="BZ334" s="36"/>
      <c r="CA334" s="62"/>
      <c r="CB334" s="53"/>
      <c r="CC334" s="90"/>
      <c r="CD334" s="58"/>
      <c r="CE334" s="57"/>
      <c r="CF334" s="57"/>
      <c r="CG334" s="30"/>
      <c r="CH334" s="30"/>
      <c r="CI334" s="64"/>
      <c r="CJ334" s="64"/>
      <c r="CK334" s="64"/>
      <c r="CL334" s="64"/>
    </row>
    <row r="335" spans="2:90" ht="60" x14ac:dyDescent="0.25">
      <c r="B335" s="57"/>
      <c r="C335" s="30" t="s">
        <v>2837</v>
      </c>
      <c r="D335" s="68"/>
      <c r="E335" s="57"/>
      <c r="F335" s="57"/>
      <c r="G335" s="30"/>
      <c r="H335" s="57"/>
      <c r="I335" s="35">
        <v>277.7</v>
      </c>
      <c r="J335" s="30" t="s">
        <v>70</v>
      </c>
      <c r="K335" s="35"/>
      <c r="L335" s="35"/>
      <c r="M335" s="30"/>
      <c r="N335" s="30"/>
      <c r="O335" s="30"/>
      <c r="P335" s="30"/>
      <c r="Q335" s="57"/>
      <c r="R335" s="30" t="s">
        <v>2838</v>
      </c>
      <c r="S335" s="57"/>
      <c r="T335" s="57"/>
      <c r="U335" s="57"/>
      <c r="V335" s="57"/>
      <c r="W335" s="57"/>
      <c r="X335" s="57"/>
      <c r="Y335" s="57"/>
      <c r="Z335" s="68"/>
      <c r="AA335" s="68"/>
      <c r="AB335" s="57"/>
      <c r="AC335" s="30"/>
      <c r="AD335" s="30"/>
      <c r="AE335" s="30"/>
      <c r="AF335" s="30"/>
      <c r="AG335" s="30"/>
      <c r="AH335" s="30"/>
      <c r="AI335" s="30"/>
      <c r="AJ335" s="31">
        <f t="shared" si="34"/>
        <v>277.7</v>
      </c>
      <c r="AK335" s="34">
        <f>12001466062/AJ335</f>
        <v>43217378.68923299</v>
      </c>
      <c r="AL335" s="31">
        <f t="shared" si="35"/>
        <v>0</v>
      </c>
      <c r="AM335" s="34"/>
      <c r="AN335" s="34"/>
      <c r="AO335" s="34">
        <f t="shared" si="29"/>
        <v>12001466062</v>
      </c>
      <c r="AP335" s="54" t="s">
        <v>2814</v>
      </c>
      <c r="AQ335" s="57"/>
      <c r="AR335" s="30"/>
      <c r="AS335" s="30"/>
      <c r="AT335" s="30"/>
      <c r="AU335" s="30"/>
      <c r="AV335" s="86">
        <v>43</v>
      </c>
      <c r="AW335" s="51">
        <v>46511628</v>
      </c>
      <c r="AX335" s="35"/>
      <c r="AY335" s="60"/>
      <c r="AZ335" s="51">
        <v>2300000000</v>
      </c>
      <c r="BA335" s="87">
        <f>AV335*AW335</f>
        <v>2000000004</v>
      </c>
      <c r="BB335" s="54" t="s">
        <v>2816</v>
      </c>
      <c r="BC335" s="54" t="s">
        <v>81</v>
      </c>
      <c r="BD335" s="54" t="s">
        <v>2817</v>
      </c>
      <c r="BE335" s="57"/>
      <c r="BF335" s="30"/>
      <c r="BG335" s="30"/>
      <c r="BH335" s="30"/>
      <c r="BI335" s="30"/>
      <c r="BJ335" s="88">
        <v>500</v>
      </c>
      <c r="BK335" s="51">
        <v>43000000</v>
      </c>
      <c r="BL335" s="36"/>
      <c r="BM335" s="60"/>
      <c r="BN335" s="51">
        <v>25000000000</v>
      </c>
      <c r="BO335" s="87">
        <f t="shared" si="32"/>
        <v>21500000000</v>
      </c>
      <c r="BP335" s="57"/>
      <c r="BQ335" s="57"/>
      <c r="BR335" s="54" t="s">
        <v>2814</v>
      </c>
      <c r="BS335" s="57"/>
      <c r="BT335" s="30"/>
      <c r="BU335" s="30"/>
      <c r="BV335" s="30"/>
      <c r="BW335" s="30"/>
      <c r="BX335" s="88">
        <v>268</v>
      </c>
      <c r="BY335" s="51">
        <v>44776119</v>
      </c>
      <c r="BZ335" s="36"/>
      <c r="CA335" s="60"/>
      <c r="CB335" s="51">
        <v>14000000000</v>
      </c>
      <c r="CC335" s="87">
        <f t="shared" si="33"/>
        <v>11999999892</v>
      </c>
      <c r="CD335" s="54" t="s">
        <v>2819</v>
      </c>
      <c r="CE335" s="57"/>
      <c r="CF335" s="57"/>
      <c r="CG335" s="30"/>
      <c r="CH335" s="30"/>
      <c r="CI335" s="64"/>
      <c r="CJ335" s="64"/>
      <c r="CK335" s="64"/>
      <c r="CL335" s="64"/>
    </row>
    <row r="336" spans="2:90" ht="60" x14ac:dyDescent="0.25">
      <c r="B336" s="57"/>
      <c r="C336" s="30" t="s">
        <v>2839</v>
      </c>
      <c r="D336" s="68"/>
      <c r="E336" s="57"/>
      <c r="F336" s="57"/>
      <c r="G336" s="30"/>
      <c r="H336" s="58"/>
      <c r="I336" s="35">
        <v>74.150000000000006</v>
      </c>
      <c r="J336" s="30" t="s">
        <v>70</v>
      </c>
      <c r="K336" s="35"/>
      <c r="L336" s="35"/>
      <c r="M336" s="30"/>
      <c r="N336" s="30"/>
      <c r="O336" s="30"/>
      <c r="P336" s="30"/>
      <c r="Q336" s="58"/>
      <c r="R336" s="30" t="s">
        <v>2840</v>
      </c>
      <c r="S336" s="58"/>
      <c r="T336" s="58"/>
      <c r="U336" s="58"/>
      <c r="V336" s="57"/>
      <c r="W336" s="57"/>
      <c r="X336" s="57"/>
      <c r="Y336" s="57"/>
      <c r="Z336" s="69"/>
      <c r="AA336" s="69"/>
      <c r="AB336" s="58"/>
      <c r="AC336" s="30"/>
      <c r="AD336" s="30"/>
      <c r="AE336" s="30"/>
      <c r="AF336" s="30"/>
      <c r="AG336" s="30"/>
      <c r="AH336" s="30"/>
      <c r="AI336" s="30"/>
      <c r="AJ336" s="31">
        <f t="shared" si="34"/>
        <v>74.150000000000006</v>
      </c>
      <c r="AK336" s="34">
        <f>3430657580/AJ336</f>
        <v>46266454.214430206</v>
      </c>
      <c r="AL336" s="31">
        <f t="shared" si="35"/>
        <v>0</v>
      </c>
      <c r="AM336" s="34"/>
      <c r="AN336" s="34"/>
      <c r="AO336" s="34">
        <f t="shared" si="29"/>
        <v>3430657580</v>
      </c>
      <c r="AP336" s="58"/>
      <c r="AQ336" s="58"/>
      <c r="AR336" s="30"/>
      <c r="AS336" s="30"/>
      <c r="AT336" s="30"/>
      <c r="AU336" s="30"/>
      <c r="AV336" s="89"/>
      <c r="AW336" s="53"/>
      <c r="AX336" s="35"/>
      <c r="AY336" s="62"/>
      <c r="AZ336" s="53"/>
      <c r="BA336" s="90"/>
      <c r="BB336" s="58"/>
      <c r="BC336" s="58"/>
      <c r="BD336" s="58"/>
      <c r="BE336" s="58"/>
      <c r="BF336" s="30"/>
      <c r="BG336" s="30"/>
      <c r="BH336" s="30"/>
      <c r="BI336" s="30"/>
      <c r="BJ336" s="91"/>
      <c r="BK336" s="53"/>
      <c r="BL336" s="36"/>
      <c r="BM336" s="62"/>
      <c r="BN336" s="53"/>
      <c r="BO336" s="90"/>
      <c r="BP336" s="58"/>
      <c r="BQ336" s="58"/>
      <c r="BR336" s="58"/>
      <c r="BS336" s="58"/>
      <c r="BT336" s="30"/>
      <c r="BU336" s="30"/>
      <c r="BV336" s="30"/>
      <c r="BW336" s="30"/>
      <c r="BX336" s="91"/>
      <c r="BY336" s="53"/>
      <c r="BZ336" s="36"/>
      <c r="CA336" s="62"/>
      <c r="CB336" s="53"/>
      <c r="CC336" s="90"/>
      <c r="CD336" s="58"/>
      <c r="CE336" s="58"/>
      <c r="CF336" s="57"/>
      <c r="CG336" s="30"/>
      <c r="CH336" s="30"/>
      <c r="CI336" s="64"/>
      <c r="CJ336" s="64"/>
      <c r="CK336" s="64"/>
      <c r="CL336" s="64"/>
    </row>
    <row r="337" spans="2:90" ht="120" x14ac:dyDescent="0.25">
      <c r="B337" s="58"/>
      <c r="C337" s="30" t="s">
        <v>2841</v>
      </c>
      <c r="D337" s="69"/>
      <c r="E337" s="57"/>
      <c r="F337" s="57"/>
      <c r="G337" s="30"/>
      <c r="H337" s="30" t="s">
        <v>2842</v>
      </c>
      <c r="I337" s="35">
        <v>23849</v>
      </c>
      <c r="J337" s="30" t="s">
        <v>70</v>
      </c>
      <c r="K337" s="35"/>
      <c r="L337" s="35"/>
      <c r="M337" s="30"/>
      <c r="N337" s="30"/>
      <c r="O337" s="30"/>
      <c r="P337" s="30"/>
      <c r="Q337" s="30"/>
      <c r="R337" s="30" t="s">
        <v>2843</v>
      </c>
      <c r="S337" s="30" t="s">
        <v>2844</v>
      </c>
      <c r="T337" s="30" t="s">
        <v>2845</v>
      </c>
      <c r="U337" s="30" t="s">
        <v>103</v>
      </c>
      <c r="V337" s="58"/>
      <c r="W337" s="58"/>
      <c r="X337" s="58"/>
      <c r="Y337" s="58"/>
      <c r="Z337" s="33">
        <v>45561</v>
      </c>
      <c r="AA337" s="33">
        <v>45561</v>
      </c>
      <c r="AB337" s="30" t="s">
        <v>90</v>
      </c>
      <c r="AC337" s="30"/>
      <c r="AD337" s="30"/>
      <c r="AE337" s="30"/>
      <c r="AF337" s="30"/>
      <c r="AG337" s="30"/>
      <c r="AH337" s="30"/>
      <c r="AI337" s="30"/>
      <c r="AJ337" s="31">
        <f t="shared" si="34"/>
        <v>23849</v>
      </c>
      <c r="AK337" s="34">
        <f>445976300000/AJ337</f>
        <v>18700000</v>
      </c>
      <c r="AL337" s="31">
        <f t="shared" si="35"/>
        <v>0</v>
      </c>
      <c r="AM337" s="34"/>
      <c r="AN337" s="34"/>
      <c r="AO337" s="34">
        <f t="shared" si="29"/>
        <v>445976300000</v>
      </c>
      <c r="AP337" s="30" t="s">
        <v>2846</v>
      </c>
      <c r="AQ337" s="30" t="s">
        <v>97</v>
      </c>
      <c r="AR337" s="30"/>
      <c r="AS337" s="30"/>
      <c r="AT337" s="30"/>
      <c r="AU337" s="30"/>
      <c r="AV337" s="35">
        <v>700</v>
      </c>
      <c r="AW337" s="34">
        <v>21766036</v>
      </c>
      <c r="AX337" s="35">
        <v>300</v>
      </c>
      <c r="AY337" s="34"/>
      <c r="AZ337" s="34">
        <v>17500000000</v>
      </c>
      <c r="BA337" s="32">
        <f>AV337*AW337+(879250*AX337)</f>
        <v>15500000200</v>
      </c>
      <c r="BB337" s="30" t="s">
        <v>2847</v>
      </c>
      <c r="BC337" s="30" t="s">
        <v>81</v>
      </c>
      <c r="BD337" s="30" t="s">
        <v>2846</v>
      </c>
      <c r="BE337" s="30" t="s">
        <v>97</v>
      </c>
      <c r="BF337" s="30"/>
      <c r="BG337" s="30"/>
      <c r="BH337" s="30"/>
      <c r="BI337" s="30"/>
      <c r="BJ337" s="36">
        <v>510</v>
      </c>
      <c r="BK337" s="34">
        <v>23596667</v>
      </c>
      <c r="BL337" s="36">
        <v>300</v>
      </c>
      <c r="BM337" s="34"/>
      <c r="BN337" s="34">
        <v>15000000000</v>
      </c>
      <c r="BO337" s="32">
        <f>BJ337*BK337+(3219000*BL337)</f>
        <v>13000000170</v>
      </c>
      <c r="BP337" s="30" t="s">
        <v>2848</v>
      </c>
      <c r="BQ337" s="30" t="s">
        <v>81</v>
      </c>
      <c r="BR337" s="30" t="s">
        <v>2846</v>
      </c>
      <c r="BS337" s="30" t="s">
        <v>2849</v>
      </c>
      <c r="BT337" s="30"/>
      <c r="BU337" s="30"/>
      <c r="BV337" s="30"/>
      <c r="BW337" s="30"/>
      <c r="BX337" s="36">
        <v>1539</v>
      </c>
      <c r="BY337" s="34">
        <v>25568291</v>
      </c>
      <c r="BZ337" s="36">
        <v>1600</v>
      </c>
      <c r="CA337" s="34"/>
      <c r="CB337" s="34">
        <v>52000000000</v>
      </c>
      <c r="CC337" s="32">
        <f>BX337*BY337+(3219000*BZ337)</f>
        <v>44499999849</v>
      </c>
      <c r="CD337" s="30" t="s">
        <v>2850</v>
      </c>
      <c r="CE337" s="30" t="s">
        <v>81</v>
      </c>
      <c r="CF337" s="58"/>
      <c r="CG337" s="30"/>
      <c r="CH337" s="30"/>
      <c r="CI337" s="64"/>
      <c r="CJ337" s="64"/>
      <c r="CK337" s="64"/>
      <c r="CL337" s="64"/>
    </row>
    <row r="338" spans="2:90" ht="180" x14ac:dyDescent="0.25">
      <c r="B338" s="54" t="s">
        <v>2851</v>
      </c>
      <c r="C338" s="30" t="s">
        <v>2852</v>
      </c>
      <c r="D338" s="79">
        <v>45614</v>
      </c>
      <c r="E338" s="54" t="s">
        <v>185</v>
      </c>
      <c r="F338" s="54" t="s">
        <v>185</v>
      </c>
      <c r="G338" s="30"/>
      <c r="H338" s="30" t="s">
        <v>118</v>
      </c>
      <c r="I338" s="35">
        <v>84</v>
      </c>
      <c r="J338" s="54" t="s">
        <v>70</v>
      </c>
      <c r="K338" s="35">
        <v>329</v>
      </c>
      <c r="L338" s="35"/>
      <c r="M338" s="30"/>
      <c r="N338" s="30"/>
      <c r="O338" s="30"/>
      <c r="P338" s="30"/>
      <c r="Q338" s="30" t="s">
        <v>2853</v>
      </c>
      <c r="R338" s="30" t="s">
        <v>2854</v>
      </c>
      <c r="S338" s="30" t="s">
        <v>1338</v>
      </c>
      <c r="T338" s="30" t="s">
        <v>1339</v>
      </c>
      <c r="U338" s="30" t="s">
        <v>104</v>
      </c>
      <c r="V338" s="54" t="s">
        <v>84</v>
      </c>
      <c r="W338" s="54" t="s">
        <v>72</v>
      </c>
      <c r="X338" s="54" t="s">
        <v>85</v>
      </c>
      <c r="Y338" s="54" t="s">
        <v>73</v>
      </c>
      <c r="Z338" s="67">
        <v>45607</v>
      </c>
      <c r="AA338" s="67">
        <v>45607</v>
      </c>
      <c r="AB338" s="54" t="s">
        <v>74</v>
      </c>
      <c r="AC338" s="30"/>
      <c r="AD338" s="30"/>
      <c r="AE338" s="30"/>
      <c r="AF338" s="30"/>
      <c r="AG338" s="30"/>
      <c r="AH338" s="30"/>
      <c r="AI338" s="30"/>
      <c r="AJ338" s="31">
        <f t="shared" si="34"/>
        <v>84</v>
      </c>
      <c r="AK338" s="34"/>
      <c r="AL338" s="31">
        <f>K338</f>
        <v>329</v>
      </c>
      <c r="AM338" s="34">
        <f>8488876624/AL338</f>
        <v>25802056.607902735</v>
      </c>
      <c r="AN338" s="34"/>
      <c r="AO338" s="34">
        <f t="shared" si="29"/>
        <v>8488876624</v>
      </c>
      <c r="AP338" s="30" t="s">
        <v>2855</v>
      </c>
      <c r="AQ338" s="30" t="s">
        <v>118</v>
      </c>
      <c r="AR338" s="30"/>
      <c r="AS338" s="30"/>
      <c r="AT338" s="30"/>
      <c r="AU338" s="30"/>
      <c r="AV338" s="35">
        <v>84</v>
      </c>
      <c r="AW338" s="34">
        <v>25835866</v>
      </c>
      <c r="AX338" s="35">
        <v>329</v>
      </c>
      <c r="AY338" s="34"/>
      <c r="AZ338" s="34">
        <v>10500000000</v>
      </c>
      <c r="BA338" s="32">
        <f>AX338*AW338</f>
        <v>8499999914</v>
      </c>
      <c r="BB338" s="30" t="s">
        <v>2856</v>
      </c>
      <c r="BC338" s="30" t="s">
        <v>81</v>
      </c>
      <c r="BD338" s="30" t="s">
        <v>2857</v>
      </c>
      <c r="BE338" s="30" t="s">
        <v>118</v>
      </c>
      <c r="BF338" s="30"/>
      <c r="BG338" s="30"/>
      <c r="BH338" s="30"/>
      <c r="BI338" s="30"/>
      <c r="BJ338" s="36">
        <v>102</v>
      </c>
      <c r="BK338" s="34">
        <v>24464832</v>
      </c>
      <c r="BL338" s="36">
        <v>327</v>
      </c>
      <c r="BM338" s="34"/>
      <c r="BN338" s="34">
        <v>9000000000</v>
      </c>
      <c r="BO338" s="32">
        <f>BL338*BK338</f>
        <v>8000000064</v>
      </c>
      <c r="BP338" s="30" t="s">
        <v>2858</v>
      </c>
      <c r="BQ338" s="30" t="s">
        <v>81</v>
      </c>
      <c r="BR338" s="30" t="s">
        <v>2859</v>
      </c>
      <c r="BS338" s="30" t="s">
        <v>118</v>
      </c>
      <c r="BT338" s="30"/>
      <c r="BU338" s="30"/>
      <c r="BV338" s="30"/>
      <c r="BW338" s="30"/>
      <c r="BX338" s="36">
        <v>170</v>
      </c>
      <c r="BY338" s="34">
        <v>21804511</v>
      </c>
      <c r="BZ338" s="36">
        <v>665</v>
      </c>
      <c r="CA338" s="34"/>
      <c r="CB338" s="34">
        <v>16000000000</v>
      </c>
      <c r="CC338" s="32">
        <f>BZ338*BY338</f>
        <v>14499999815</v>
      </c>
      <c r="CD338" s="30" t="s">
        <v>2860</v>
      </c>
      <c r="CE338" s="54" t="s">
        <v>81</v>
      </c>
      <c r="CF338" s="54" t="s">
        <v>196</v>
      </c>
      <c r="CG338" s="30"/>
      <c r="CH338" s="30"/>
      <c r="CI338" s="64"/>
      <c r="CJ338" s="64"/>
      <c r="CK338" s="64"/>
      <c r="CL338" s="64"/>
    </row>
    <row r="339" spans="2:90" ht="150" x14ac:dyDescent="0.25">
      <c r="B339" s="58"/>
      <c r="C339" s="30" t="s">
        <v>2861</v>
      </c>
      <c r="D339" s="80"/>
      <c r="E339" s="57"/>
      <c r="F339" s="57"/>
      <c r="G339" s="30"/>
      <c r="H339" s="30" t="s">
        <v>138</v>
      </c>
      <c r="I339" s="35">
        <v>164</v>
      </c>
      <c r="J339" s="57"/>
      <c r="K339" s="35">
        <v>626</v>
      </c>
      <c r="L339" s="35"/>
      <c r="M339" s="30"/>
      <c r="N339" s="30"/>
      <c r="O339" s="30"/>
      <c r="P339" s="30"/>
      <c r="Q339" s="30" t="s">
        <v>2862</v>
      </c>
      <c r="R339" s="30" t="s">
        <v>2863</v>
      </c>
      <c r="S339" s="30" t="s">
        <v>291</v>
      </c>
      <c r="T339" s="30" t="s">
        <v>361</v>
      </c>
      <c r="U339" s="30" t="s">
        <v>116</v>
      </c>
      <c r="V339" s="57"/>
      <c r="W339" s="57"/>
      <c r="X339" s="57"/>
      <c r="Y339" s="57"/>
      <c r="Z339" s="69"/>
      <c r="AA339" s="69"/>
      <c r="AB339" s="57"/>
      <c r="AC339" s="30"/>
      <c r="AD339" s="30"/>
      <c r="AE339" s="30"/>
      <c r="AF339" s="30"/>
      <c r="AG339" s="30"/>
      <c r="AH339" s="30"/>
      <c r="AI339" s="30"/>
      <c r="AJ339" s="31">
        <f t="shared" si="34"/>
        <v>164</v>
      </c>
      <c r="AK339" s="34"/>
      <c r="AL339" s="31">
        <f t="shared" si="35"/>
        <v>626</v>
      </c>
      <c r="AM339" s="34">
        <f>7376803547/AL339</f>
        <v>11784031.225239616</v>
      </c>
      <c r="AN339" s="34"/>
      <c r="AO339" s="34">
        <f t="shared" si="29"/>
        <v>7376803547</v>
      </c>
      <c r="AP339" s="30" t="s">
        <v>2864</v>
      </c>
      <c r="AQ339" s="30" t="s">
        <v>138</v>
      </c>
      <c r="AR339" s="30"/>
      <c r="AS339" s="30"/>
      <c r="AT339" s="30"/>
      <c r="AU339" s="30"/>
      <c r="AV339" s="35">
        <v>164</v>
      </c>
      <c r="AW339" s="34">
        <v>11792453</v>
      </c>
      <c r="AX339" s="35">
        <v>636</v>
      </c>
      <c r="AY339" s="34"/>
      <c r="AZ339" s="34">
        <v>9000000000</v>
      </c>
      <c r="BA339" s="32">
        <f>AX339*AW339</f>
        <v>7500000108</v>
      </c>
      <c r="BB339" s="30" t="s">
        <v>363</v>
      </c>
      <c r="BC339" s="30" t="s">
        <v>81</v>
      </c>
      <c r="BD339" s="30" t="s">
        <v>2865</v>
      </c>
      <c r="BE339" s="30" t="s">
        <v>118</v>
      </c>
      <c r="BF339" s="30"/>
      <c r="BG339" s="30"/>
      <c r="BH339" s="30"/>
      <c r="BI339" s="30"/>
      <c r="BJ339" s="36">
        <v>80</v>
      </c>
      <c r="BK339" s="34">
        <v>12155388</v>
      </c>
      <c r="BL339" s="36">
        <v>399</v>
      </c>
      <c r="BM339" s="34"/>
      <c r="BN339" s="34">
        <v>5700000000</v>
      </c>
      <c r="BO339" s="32">
        <f>BL339*BK339</f>
        <v>4849999812</v>
      </c>
      <c r="BP339" s="30" t="s">
        <v>2866</v>
      </c>
      <c r="BQ339" s="30" t="s">
        <v>81</v>
      </c>
      <c r="BR339" s="30" t="s">
        <v>2867</v>
      </c>
      <c r="BS339" s="30" t="s">
        <v>118</v>
      </c>
      <c r="BT339" s="30"/>
      <c r="BU339" s="30"/>
      <c r="BV339" s="30"/>
      <c r="BW339" s="30"/>
      <c r="BX339" s="36">
        <v>63</v>
      </c>
      <c r="BY339" s="34">
        <v>12229299</v>
      </c>
      <c r="BZ339" s="36">
        <v>196</v>
      </c>
      <c r="CA339" s="34"/>
      <c r="CB339" s="34">
        <v>3000000000</v>
      </c>
      <c r="CC339" s="32">
        <f>BZ339*BY339</f>
        <v>2396942604</v>
      </c>
      <c r="CD339" s="30" t="s">
        <v>2868</v>
      </c>
      <c r="CE339" s="57"/>
      <c r="CF339" s="57"/>
      <c r="CG339" s="30"/>
      <c r="CH339" s="30"/>
      <c r="CI339" s="64"/>
      <c r="CJ339" s="64"/>
      <c r="CK339" s="64"/>
      <c r="CL339" s="64"/>
    </row>
    <row r="340" spans="2:90" ht="120" x14ac:dyDescent="0.25">
      <c r="B340" s="30" t="s">
        <v>2869</v>
      </c>
      <c r="C340" s="30" t="s">
        <v>2870</v>
      </c>
      <c r="D340" s="97"/>
      <c r="E340" s="58"/>
      <c r="F340" s="58"/>
      <c r="G340" s="30"/>
      <c r="H340" s="30" t="s">
        <v>83</v>
      </c>
      <c r="I340" s="35">
        <v>255</v>
      </c>
      <c r="J340" s="58"/>
      <c r="K340" s="35">
        <v>240</v>
      </c>
      <c r="L340" s="35"/>
      <c r="M340" s="30"/>
      <c r="N340" s="30"/>
      <c r="O340" s="30"/>
      <c r="P340" s="30"/>
      <c r="Q340" s="30"/>
      <c r="R340" s="30" t="s">
        <v>2871</v>
      </c>
      <c r="S340" s="30" t="s">
        <v>2872</v>
      </c>
      <c r="T340" s="30" t="s">
        <v>1284</v>
      </c>
      <c r="U340" s="30" t="s">
        <v>103</v>
      </c>
      <c r="V340" s="58"/>
      <c r="W340" s="58"/>
      <c r="X340" s="58"/>
      <c r="Y340" s="58"/>
      <c r="Z340" s="33">
        <v>45611</v>
      </c>
      <c r="AA340" s="33">
        <v>45611</v>
      </c>
      <c r="AB340" s="58"/>
      <c r="AC340" s="30"/>
      <c r="AD340" s="30"/>
      <c r="AE340" s="30"/>
      <c r="AF340" s="30"/>
      <c r="AG340" s="30"/>
      <c r="AH340" s="30"/>
      <c r="AI340" s="30"/>
      <c r="AJ340" s="31">
        <f t="shared" si="34"/>
        <v>255</v>
      </c>
      <c r="AK340" s="34">
        <f>6222000000/AJ340</f>
        <v>24400000</v>
      </c>
      <c r="AL340" s="31">
        <f t="shared" si="35"/>
        <v>240</v>
      </c>
      <c r="AM340" s="34">
        <f>629500000/AL340</f>
        <v>2622916.6666666665</v>
      </c>
      <c r="AN340" s="34"/>
      <c r="AO340" s="34">
        <f t="shared" si="29"/>
        <v>6851500000</v>
      </c>
      <c r="AP340" s="30" t="s">
        <v>2873</v>
      </c>
      <c r="AQ340" s="30" t="s">
        <v>83</v>
      </c>
      <c r="AR340" s="30"/>
      <c r="AS340" s="30"/>
      <c r="AT340" s="30"/>
      <c r="AU340" s="30"/>
      <c r="AV340" s="35">
        <v>187</v>
      </c>
      <c r="AW340" s="34">
        <v>24779037</v>
      </c>
      <c r="AX340" s="35">
        <v>200</v>
      </c>
      <c r="AY340" s="34"/>
      <c r="AZ340" s="34">
        <v>6000000</v>
      </c>
      <c r="BA340" s="32">
        <f>AV340*AW340+(2331600*AX340)</f>
        <v>5099999919</v>
      </c>
      <c r="BB340" s="30" t="s">
        <v>2874</v>
      </c>
      <c r="BC340" s="30" t="s">
        <v>81</v>
      </c>
      <c r="BD340" s="30" t="s">
        <v>2875</v>
      </c>
      <c r="BE340" s="30" t="s">
        <v>83</v>
      </c>
      <c r="BF340" s="30"/>
      <c r="BG340" s="30"/>
      <c r="BH340" s="30"/>
      <c r="BI340" s="30"/>
      <c r="BJ340" s="36">
        <v>463</v>
      </c>
      <c r="BK340" s="34">
        <v>23832806</v>
      </c>
      <c r="BL340" s="36">
        <v>419</v>
      </c>
      <c r="BM340" s="34"/>
      <c r="BN340" s="34">
        <v>15000000000</v>
      </c>
      <c r="BO340" s="32">
        <f>BJ340*BK340+(3497400*BL340)</f>
        <v>12499999778</v>
      </c>
      <c r="BP340" s="30" t="s">
        <v>2876</v>
      </c>
      <c r="BQ340" s="30" t="s">
        <v>81</v>
      </c>
      <c r="BR340" s="30" t="s">
        <v>2877</v>
      </c>
      <c r="BS340" s="30" t="s">
        <v>97</v>
      </c>
      <c r="BT340" s="30"/>
      <c r="BU340" s="30"/>
      <c r="BV340" s="30"/>
      <c r="BW340" s="30"/>
      <c r="BX340" s="36">
        <v>356</v>
      </c>
      <c r="BY340" s="34">
        <v>23342999</v>
      </c>
      <c r="BZ340" s="36">
        <v>639</v>
      </c>
      <c r="CA340" s="34"/>
      <c r="CB340" s="34">
        <v>11000000000</v>
      </c>
      <c r="CC340" s="32">
        <f>BX340*BY340+(2331600*BZ340)</f>
        <v>9800000044</v>
      </c>
      <c r="CD340" s="30" t="s">
        <v>2878</v>
      </c>
      <c r="CE340" s="57"/>
      <c r="CF340" s="58"/>
      <c r="CG340" s="30"/>
      <c r="CH340" s="30"/>
      <c r="CI340" s="64"/>
      <c r="CJ340" s="64"/>
      <c r="CK340" s="64"/>
      <c r="CL340" s="64"/>
    </row>
    <row r="341" spans="2:90" ht="75" x14ac:dyDescent="0.25">
      <c r="B341" s="54" t="s">
        <v>2879</v>
      </c>
      <c r="C341" s="54" t="s">
        <v>2880</v>
      </c>
      <c r="D341" s="67">
        <v>45616</v>
      </c>
      <c r="E341" s="54" t="s">
        <v>2881</v>
      </c>
      <c r="F341" s="54" t="s">
        <v>2881</v>
      </c>
      <c r="G341" s="30"/>
      <c r="H341" s="54" t="s">
        <v>83</v>
      </c>
      <c r="I341" s="35">
        <v>165</v>
      </c>
      <c r="J341" s="54" t="s">
        <v>70</v>
      </c>
      <c r="K341" s="35">
        <v>140</v>
      </c>
      <c r="L341" s="35"/>
      <c r="M341" s="30"/>
      <c r="N341" s="30"/>
      <c r="O341" s="30"/>
      <c r="P341" s="30"/>
      <c r="Q341" s="30"/>
      <c r="R341" s="30" t="s">
        <v>2882</v>
      </c>
      <c r="S341" s="54" t="s">
        <v>2883</v>
      </c>
      <c r="T341" s="54" t="s">
        <v>2884</v>
      </c>
      <c r="U341" s="54" t="s">
        <v>2618</v>
      </c>
      <c r="V341" s="54" t="s">
        <v>80</v>
      </c>
      <c r="W341" s="54" t="s">
        <v>72</v>
      </c>
      <c r="X341" s="54" t="s">
        <v>131</v>
      </c>
      <c r="Y341" s="54" t="s">
        <v>73</v>
      </c>
      <c r="Z341" s="33">
        <v>45576</v>
      </c>
      <c r="AA341" s="67">
        <v>45576</v>
      </c>
      <c r="AB341" s="54" t="s">
        <v>90</v>
      </c>
      <c r="AC341" s="30"/>
      <c r="AD341" s="30"/>
      <c r="AE341" s="30"/>
      <c r="AF341" s="30"/>
      <c r="AG341" s="30"/>
      <c r="AH341" s="30"/>
      <c r="AI341" s="30"/>
      <c r="AJ341" s="31">
        <f t="shared" si="34"/>
        <v>165</v>
      </c>
      <c r="AK341" s="34">
        <f>379500000/AJ341</f>
        <v>2300000</v>
      </c>
      <c r="AL341" s="31">
        <f t="shared" si="35"/>
        <v>140</v>
      </c>
      <c r="AM341" s="34">
        <f>121700000/AL341</f>
        <v>869285.71428571432</v>
      </c>
      <c r="AN341" s="34"/>
      <c r="AO341" s="34">
        <f t="shared" si="29"/>
        <v>501200000</v>
      </c>
      <c r="AP341" s="54" t="s">
        <v>2885</v>
      </c>
      <c r="AQ341" s="54" t="s">
        <v>83</v>
      </c>
      <c r="AR341" s="30"/>
      <c r="AS341" s="30"/>
      <c r="AT341" s="30"/>
      <c r="AU341" s="30"/>
      <c r="AV341" s="86">
        <v>72</v>
      </c>
      <c r="AW341" s="51">
        <v>2614278</v>
      </c>
      <c r="AX341" s="86">
        <v>65</v>
      </c>
      <c r="AY341" s="51">
        <v>2488800</v>
      </c>
      <c r="AZ341" s="51">
        <v>400000000</v>
      </c>
      <c r="BA341" s="87">
        <f>AV341*AW341+(AY341*AX341)</f>
        <v>350000016</v>
      </c>
      <c r="BB341" s="54" t="s">
        <v>2886</v>
      </c>
      <c r="BC341" s="54" t="s">
        <v>81</v>
      </c>
      <c r="BD341" s="54" t="s">
        <v>2887</v>
      </c>
      <c r="BE341" s="54" t="s">
        <v>83</v>
      </c>
      <c r="BF341" s="30"/>
      <c r="BG341" s="30"/>
      <c r="BH341" s="30"/>
      <c r="BI341" s="30"/>
      <c r="BJ341" s="88">
        <v>249</v>
      </c>
      <c r="BK341" s="51">
        <v>1864739</v>
      </c>
      <c r="BL341" s="88">
        <v>120</v>
      </c>
      <c r="BM341" s="51">
        <v>1464000</v>
      </c>
      <c r="BN341" s="51">
        <v>700000000</v>
      </c>
      <c r="BO341" s="87">
        <f>BJ341*BK341+(BL341*BM341)</f>
        <v>640000011</v>
      </c>
      <c r="BP341" s="54" t="s">
        <v>2888</v>
      </c>
      <c r="BQ341" s="54" t="s">
        <v>81</v>
      </c>
      <c r="BR341" s="54" t="s">
        <v>2887</v>
      </c>
      <c r="BS341" s="54" t="s">
        <v>83</v>
      </c>
      <c r="BT341" s="30"/>
      <c r="BU341" s="30"/>
      <c r="BV341" s="30"/>
      <c r="BW341" s="30"/>
      <c r="BX341" s="88">
        <v>130</v>
      </c>
      <c r="BY341" s="51">
        <v>2335385</v>
      </c>
      <c r="BZ341" s="88">
        <v>100</v>
      </c>
      <c r="CA341" s="51">
        <v>1464000</v>
      </c>
      <c r="CB341" s="51">
        <v>550000000</v>
      </c>
      <c r="CC341" s="87">
        <f>(BX341*BY341)+(BZ341*CA341)</f>
        <v>450000050</v>
      </c>
      <c r="CD341" s="54" t="s">
        <v>2889</v>
      </c>
      <c r="CE341" s="54" t="s">
        <v>81</v>
      </c>
      <c r="CF341" s="54" t="s">
        <v>1701</v>
      </c>
      <c r="CG341" s="30"/>
      <c r="CH341" s="30"/>
      <c r="CI341" s="64"/>
      <c r="CJ341" s="64"/>
      <c r="CK341" s="64"/>
      <c r="CL341" s="64"/>
    </row>
    <row r="342" spans="2:90" ht="75" x14ac:dyDescent="0.25">
      <c r="B342" s="57"/>
      <c r="C342" s="57"/>
      <c r="D342" s="68"/>
      <c r="E342" s="57"/>
      <c r="F342" s="57"/>
      <c r="G342" s="30"/>
      <c r="H342" s="57"/>
      <c r="I342" s="35">
        <v>80</v>
      </c>
      <c r="J342" s="57"/>
      <c r="K342" s="35">
        <v>78</v>
      </c>
      <c r="L342" s="35"/>
      <c r="M342" s="30"/>
      <c r="N342" s="30"/>
      <c r="O342" s="30"/>
      <c r="P342" s="30"/>
      <c r="Q342" s="30"/>
      <c r="R342" s="30" t="s">
        <v>2890</v>
      </c>
      <c r="S342" s="57"/>
      <c r="T342" s="57"/>
      <c r="U342" s="57"/>
      <c r="V342" s="57"/>
      <c r="W342" s="57"/>
      <c r="X342" s="57"/>
      <c r="Y342" s="57"/>
      <c r="Z342" s="67">
        <v>45520</v>
      </c>
      <c r="AA342" s="68"/>
      <c r="AB342" s="57"/>
      <c r="AC342" s="30"/>
      <c r="AD342" s="30"/>
      <c r="AE342" s="30"/>
      <c r="AF342" s="30"/>
      <c r="AG342" s="30"/>
      <c r="AH342" s="30"/>
      <c r="AI342" s="30"/>
      <c r="AJ342" s="31">
        <f t="shared" si="34"/>
        <v>80</v>
      </c>
      <c r="AK342" s="34">
        <f>198400000/AJ342</f>
        <v>2480000</v>
      </c>
      <c r="AL342" s="31">
        <f t="shared" si="35"/>
        <v>78</v>
      </c>
      <c r="AM342" s="34">
        <f>58800000/AL342</f>
        <v>753846.15384615387</v>
      </c>
      <c r="AN342" s="34"/>
      <c r="AO342" s="34">
        <f t="shared" si="29"/>
        <v>257200000</v>
      </c>
      <c r="AP342" s="58"/>
      <c r="AQ342" s="58"/>
      <c r="AR342" s="30"/>
      <c r="AS342" s="30"/>
      <c r="AT342" s="30"/>
      <c r="AU342" s="30"/>
      <c r="AV342" s="89"/>
      <c r="AW342" s="53"/>
      <c r="AX342" s="89"/>
      <c r="AY342" s="53"/>
      <c r="AZ342" s="53"/>
      <c r="BA342" s="90"/>
      <c r="BB342" s="58"/>
      <c r="BC342" s="57"/>
      <c r="BD342" s="58"/>
      <c r="BE342" s="57"/>
      <c r="BF342" s="30"/>
      <c r="BG342" s="30"/>
      <c r="BH342" s="30"/>
      <c r="BI342" s="30"/>
      <c r="BJ342" s="91"/>
      <c r="BK342" s="53"/>
      <c r="BL342" s="91"/>
      <c r="BM342" s="53"/>
      <c r="BN342" s="53"/>
      <c r="BO342" s="90"/>
      <c r="BP342" s="58"/>
      <c r="BQ342" s="57"/>
      <c r="BR342" s="58"/>
      <c r="BS342" s="58"/>
      <c r="BT342" s="30"/>
      <c r="BU342" s="30"/>
      <c r="BV342" s="30"/>
      <c r="BW342" s="30"/>
      <c r="BX342" s="91"/>
      <c r="BY342" s="53"/>
      <c r="BZ342" s="91"/>
      <c r="CA342" s="53"/>
      <c r="CB342" s="53"/>
      <c r="CC342" s="90"/>
      <c r="CD342" s="58"/>
      <c r="CE342" s="57"/>
      <c r="CF342" s="57"/>
      <c r="CG342" s="30"/>
      <c r="CH342" s="30"/>
      <c r="CI342" s="64"/>
      <c r="CJ342" s="64"/>
      <c r="CK342" s="64"/>
      <c r="CL342" s="64"/>
    </row>
    <row r="343" spans="2:90" ht="90" x14ac:dyDescent="0.25">
      <c r="B343" s="57"/>
      <c r="C343" s="57"/>
      <c r="D343" s="68"/>
      <c r="E343" s="57"/>
      <c r="F343" s="57"/>
      <c r="G343" s="30"/>
      <c r="H343" s="57"/>
      <c r="I343" s="35">
        <v>197</v>
      </c>
      <c r="J343" s="57"/>
      <c r="K343" s="35">
        <v>146</v>
      </c>
      <c r="L343" s="35"/>
      <c r="M343" s="30"/>
      <c r="N343" s="30"/>
      <c r="O343" s="30"/>
      <c r="P343" s="30"/>
      <c r="Q343" s="30"/>
      <c r="R343" s="30" t="s">
        <v>2891</v>
      </c>
      <c r="S343" s="57"/>
      <c r="T343" s="57"/>
      <c r="U343" s="57"/>
      <c r="V343" s="57"/>
      <c r="W343" s="57"/>
      <c r="X343" s="57"/>
      <c r="Y343" s="57"/>
      <c r="Z343" s="69"/>
      <c r="AA343" s="68"/>
      <c r="AB343" s="57"/>
      <c r="AC343" s="30"/>
      <c r="AD343" s="30"/>
      <c r="AE343" s="30"/>
      <c r="AF343" s="30"/>
      <c r="AG343" s="30"/>
      <c r="AH343" s="30"/>
      <c r="AI343" s="30"/>
      <c r="AJ343" s="31">
        <f t="shared" si="34"/>
        <v>197</v>
      </c>
      <c r="AK343" s="34">
        <f>1773000000/AJ343</f>
        <v>9000000</v>
      </c>
      <c r="AL343" s="31">
        <f t="shared" si="35"/>
        <v>146</v>
      </c>
      <c r="AM343" s="34">
        <f>132100000/AL343</f>
        <v>904794.52054794517</v>
      </c>
      <c r="AN343" s="34"/>
      <c r="AO343" s="34">
        <f t="shared" si="29"/>
        <v>1905100000</v>
      </c>
      <c r="AP343" s="30" t="s">
        <v>2892</v>
      </c>
      <c r="AQ343" s="30" t="s">
        <v>250</v>
      </c>
      <c r="AR343" s="30"/>
      <c r="AS343" s="30"/>
      <c r="AT343" s="30"/>
      <c r="AU343" s="30"/>
      <c r="AV343" s="35">
        <v>419</v>
      </c>
      <c r="AW343" s="34">
        <v>8949881</v>
      </c>
      <c r="AX343" s="35"/>
      <c r="AY343" s="34"/>
      <c r="AZ343" s="34">
        <v>4190000000</v>
      </c>
      <c r="BA343" s="32">
        <f t="shared" ref="BA343:BA382" si="36">AV343*AW343+(AY343*AX343)</f>
        <v>3750000139</v>
      </c>
      <c r="BB343" s="30" t="s">
        <v>2893</v>
      </c>
      <c r="BC343" s="57"/>
      <c r="BD343" s="30" t="s">
        <v>2894</v>
      </c>
      <c r="BE343" s="57"/>
      <c r="BF343" s="30"/>
      <c r="BG343" s="30"/>
      <c r="BH343" s="30"/>
      <c r="BI343" s="30"/>
      <c r="BJ343" s="36">
        <v>649</v>
      </c>
      <c r="BK343" s="34">
        <v>9142607</v>
      </c>
      <c r="BL343" s="36">
        <v>140</v>
      </c>
      <c r="BM343" s="34">
        <v>1903200</v>
      </c>
      <c r="BN343" s="34">
        <v>8000000000</v>
      </c>
      <c r="BO343" s="32">
        <f t="shared" ref="BO343:BO382" si="37">BJ343*BK343+(BL343*BM343)</f>
        <v>6199999943</v>
      </c>
      <c r="BP343" s="30" t="s">
        <v>2895</v>
      </c>
      <c r="BQ343" s="57"/>
      <c r="BR343" s="30" t="s">
        <v>2894</v>
      </c>
      <c r="BS343" s="30" t="s">
        <v>2896</v>
      </c>
      <c r="BT343" s="30"/>
      <c r="BU343" s="30"/>
      <c r="BV343" s="30"/>
      <c r="BW343" s="30"/>
      <c r="BX343" s="36">
        <v>367</v>
      </c>
      <c r="BY343" s="34">
        <v>8446866</v>
      </c>
      <c r="BZ343" s="36"/>
      <c r="CA343" s="34"/>
      <c r="CB343" s="34">
        <v>3500000000</v>
      </c>
      <c r="CC343" s="32">
        <f t="shared" ref="CC343:CC382" si="38">(BX343*BY343)+(BZ343*CA343)</f>
        <v>3099999822</v>
      </c>
      <c r="CD343" s="30" t="s">
        <v>2897</v>
      </c>
      <c r="CE343" s="57"/>
      <c r="CF343" s="57"/>
      <c r="CG343" s="30"/>
      <c r="CH343" s="30"/>
      <c r="CI343" s="64"/>
      <c r="CJ343" s="64"/>
      <c r="CK343" s="64"/>
      <c r="CL343" s="64"/>
    </row>
    <row r="344" spans="2:90" ht="105" x14ac:dyDescent="0.25">
      <c r="B344" s="57"/>
      <c r="C344" s="57"/>
      <c r="D344" s="68"/>
      <c r="E344" s="57"/>
      <c r="F344" s="57"/>
      <c r="G344" s="30"/>
      <c r="H344" s="57"/>
      <c r="I344" s="35">
        <v>159</v>
      </c>
      <c r="J344" s="57"/>
      <c r="K344" s="35">
        <v>135</v>
      </c>
      <c r="L344" s="35"/>
      <c r="M344" s="30"/>
      <c r="N344" s="30"/>
      <c r="O344" s="30"/>
      <c r="P344" s="30"/>
      <c r="Q344" s="30"/>
      <c r="R344" s="30" t="s">
        <v>2898</v>
      </c>
      <c r="S344" s="57"/>
      <c r="T344" s="57"/>
      <c r="U344" s="57"/>
      <c r="V344" s="57"/>
      <c r="W344" s="57"/>
      <c r="X344" s="57"/>
      <c r="Y344" s="57"/>
      <c r="Z344" s="33">
        <v>45576</v>
      </c>
      <c r="AA344" s="68"/>
      <c r="AB344" s="57"/>
      <c r="AC344" s="30"/>
      <c r="AD344" s="30"/>
      <c r="AE344" s="30"/>
      <c r="AF344" s="30"/>
      <c r="AG344" s="30"/>
      <c r="AH344" s="30"/>
      <c r="AI344" s="30"/>
      <c r="AJ344" s="31">
        <f t="shared" si="34"/>
        <v>159</v>
      </c>
      <c r="AK344" s="34">
        <f>381600000/AJ344</f>
        <v>2400000</v>
      </c>
      <c r="AL344" s="31">
        <f t="shared" si="35"/>
        <v>135</v>
      </c>
      <c r="AM344" s="34">
        <f>56300000/AL344</f>
        <v>417037.03703703702</v>
      </c>
      <c r="AN344" s="34"/>
      <c r="AO344" s="34">
        <f t="shared" si="29"/>
        <v>437900000</v>
      </c>
      <c r="AP344" s="30" t="s">
        <v>2885</v>
      </c>
      <c r="AQ344" s="30" t="s">
        <v>83</v>
      </c>
      <c r="AR344" s="30"/>
      <c r="AS344" s="30"/>
      <c r="AT344" s="30"/>
      <c r="AU344" s="30"/>
      <c r="AV344" s="98">
        <v>72</v>
      </c>
      <c r="AW344" s="99">
        <v>2614278</v>
      </c>
      <c r="AX344" s="98">
        <v>65</v>
      </c>
      <c r="AY344" s="95">
        <v>2488800</v>
      </c>
      <c r="AZ344" s="95">
        <v>400000000</v>
      </c>
      <c r="BA344" s="32">
        <f t="shared" si="36"/>
        <v>350000016</v>
      </c>
      <c r="BB344" s="30" t="s">
        <v>2886</v>
      </c>
      <c r="BC344" s="57"/>
      <c r="BD344" s="30" t="s">
        <v>2887</v>
      </c>
      <c r="BE344" s="57"/>
      <c r="BF344" s="30"/>
      <c r="BG344" s="30"/>
      <c r="BH344" s="30"/>
      <c r="BI344" s="30"/>
      <c r="BJ344" s="36">
        <v>249</v>
      </c>
      <c r="BK344" s="34">
        <v>1864739</v>
      </c>
      <c r="BL344" s="36">
        <v>120</v>
      </c>
      <c r="BM344" s="34">
        <v>1464000</v>
      </c>
      <c r="BN344" s="34">
        <v>700000000</v>
      </c>
      <c r="BO344" s="32">
        <f t="shared" si="37"/>
        <v>640000011</v>
      </c>
      <c r="BP344" s="30" t="s">
        <v>2888</v>
      </c>
      <c r="BQ344" s="57"/>
      <c r="BR344" s="30" t="s">
        <v>2887</v>
      </c>
      <c r="BS344" s="30" t="s">
        <v>83</v>
      </c>
      <c r="BT344" s="30"/>
      <c r="BU344" s="30"/>
      <c r="BV344" s="30"/>
      <c r="BW344" s="30"/>
      <c r="BX344" s="36">
        <v>130</v>
      </c>
      <c r="BY344" s="34">
        <v>2335385</v>
      </c>
      <c r="BZ344" s="36">
        <v>100</v>
      </c>
      <c r="CA344" s="34">
        <v>1464000</v>
      </c>
      <c r="CB344" s="34">
        <v>550000000</v>
      </c>
      <c r="CC344" s="32">
        <f t="shared" si="38"/>
        <v>450000050</v>
      </c>
      <c r="CD344" s="30" t="s">
        <v>2889</v>
      </c>
      <c r="CE344" s="57"/>
      <c r="CF344" s="57"/>
      <c r="CG344" s="30"/>
      <c r="CH344" s="30"/>
      <c r="CI344" s="64"/>
      <c r="CJ344" s="64"/>
      <c r="CK344" s="64"/>
      <c r="CL344" s="64"/>
    </row>
    <row r="345" spans="2:90" ht="45" x14ac:dyDescent="0.25">
      <c r="B345" s="57"/>
      <c r="C345" s="57"/>
      <c r="D345" s="68"/>
      <c r="E345" s="57"/>
      <c r="F345" s="57"/>
      <c r="G345" s="30"/>
      <c r="H345" s="58"/>
      <c r="I345" s="35">
        <v>255</v>
      </c>
      <c r="J345" s="57"/>
      <c r="K345" s="35">
        <v>209</v>
      </c>
      <c r="L345" s="35"/>
      <c r="M345" s="30"/>
      <c r="N345" s="30"/>
      <c r="O345" s="30"/>
      <c r="P345" s="30"/>
      <c r="Q345" s="30"/>
      <c r="R345" s="30" t="s">
        <v>2899</v>
      </c>
      <c r="S345" s="57"/>
      <c r="T345" s="57"/>
      <c r="U345" s="57"/>
      <c r="V345" s="57"/>
      <c r="W345" s="57"/>
      <c r="X345" s="57"/>
      <c r="Y345" s="57"/>
      <c r="Z345" s="67">
        <v>45520</v>
      </c>
      <c r="AA345" s="68"/>
      <c r="AB345" s="57"/>
      <c r="AC345" s="30"/>
      <c r="AD345" s="30"/>
      <c r="AE345" s="30"/>
      <c r="AF345" s="30"/>
      <c r="AG345" s="30"/>
      <c r="AH345" s="30"/>
      <c r="AI345" s="30"/>
      <c r="AJ345" s="31">
        <f t="shared" si="34"/>
        <v>255</v>
      </c>
      <c r="AK345" s="34">
        <f>2269500000/AJ345</f>
        <v>8900000</v>
      </c>
      <c r="AL345" s="31">
        <f t="shared" si="35"/>
        <v>209</v>
      </c>
      <c r="AM345" s="34">
        <f>398900000/AL345</f>
        <v>1908612.4401913877</v>
      </c>
      <c r="AN345" s="34"/>
      <c r="AO345" s="34">
        <f t="shared" si="29"/>
        <v>2668400000</v>
      </c>
      <c r="AP345" s="54" t="s">
        <v>2892</v>
      </c>
      <c r="AQ345" s="54" t="s">
        <v>250</v>
      </c>
      <c r="AR345" s="30"/>
      <c r="AS345" s="30"/>
      <c r="AT345" s="30"/>
      <c r="AU345" s="30"/>
      <c r="AV345" s="86">
        <v>419</v>
      </c>
      <c r="AW345" s="51">
        <v>8949881</v>
      </c>
      <c r="AX345" s="35"/>
      <c r="AY345" s="34"/>
      <c r="AZ345" s="51">
        <v>4190000000</v>
      </c>
      <c r="BA345" s="87">
        <f t="shared" si="36"/>
        <v>3750000139</v>
      </c>
      <c r="BB345" s="54" t="s">
        <v>2893</v>
      </c>
      <c r="BC345" s="57"/>
      <c r="BD345" s="54" t="s">
        <v>2894</v>
      </c>
      <c r="BE345" s="57"/>
      <c r="BF345" s="30"/>
      <c r="BG345" s="30"/>
      <c r="BH345" s="30"/>
      <c r="BI345" s="30"/>
      <c r="BJ345" s="88">
        <v>649</v>
      </c>
      <c r="BK345" s="51">
        <v>9142607</v>
      </c>
      <c r="BL345" s="88">
        <v>140</v>
      </c>
      <c r="BM345" s="51">
        <v>1903200</v>
      </c>
      <c r="BN345" s="51">
        <v>8000000000</v>
      </c>
      <c r="BO345" s="87">
        <f t="shared" si="37"/>
        <v>6199999943</v>
      </c>
      <c r="BP345" s="54" t="s">
        <v>2895</v>
      </c>
      <c r="BQ345" s="57"/>
      <c r="BR345" s="54" t="s">
        <v>2894</v>
      </c>
      <c r="BS345" s="54" t="s">
        <v>2896</v>
      </c>
      <c r="BT345" s="30"/>
      <c r="BU345" s="30"/>
      <c r="BV345" s="30"/>
      <c r="BW345" s="30"/>
      <c r="BX345" s="88">
        <v>367</v>
      </c>
      <c r="BY345" s="51">
        <v>8446866</v>
      </c>
      <c r="BZ345" s="36"/>
      <c r="CA345" s="34"/>
      <c r="CB345" s="51">
        <v>3500000000</v>
      </c>
      <c r="CC345" s="87">
        <f t="shared" si="38"/>
        <v>3099999822</v>
      </c>
      <c r="CD345" s="54" t="s">
        <v>2897</v>
      </c>
      <c r="CE345" s="57"/>
      <c r="CF345" s="57"/>
      <c r="CG345" s="30"/>
      <c r="CH345" s="30"/>
      <c r="CI345" s="64"/>
      <c r="CJ345" s="64"/>
      <c r="CK345" s="64"/>
      <c r="CL345" s="64"/>
    </row>
    <row r="346" spans="2:90" ht="60" x14ac:dyDescent="0.25">
      <c r="B346" s="57"/>
      <c r="C346" s="57"/>
      <c r="D346" s="68"/>
      <c r="E346" s="57"/>
      <c r="F346" s="57"/>
      <c r="G346" s="30"/>
      <c r="H346" s="30" t="s">
        <v>2900</v>
      </c>
      <c r="I346" s="35">
        <v>268</v>
      </c>
      <c r="J346" s="57"/>
      <c r="K346" s="35">
        <v>162</v>
      </c>
      <c r="L346" s="35"/>
      <c r="M346" s="30"/>
      <c r="N346" s="30"/>
      <c r="O346" s="30"/>
      <c r="P346" s="30"/>
      <c r="Q346" s="30"/>
      <c r="R346" s="30" t="s">
        <v>2901</v>
      </c>
      <c r="S346" s="57"/>
      <c r="T346" s="57"/>
      <c r="U346" s="57"/>
      <c r="V346" s="57"/>
      <c r="W346" s="57"/>
      <c r="X346" s="57"/>
      <c r="Y346" s="57"/>
      <c r="Z346" s="69"/>
      <c r="AA346" s="68"/>
      <c r="AB346" s="57"/>
      <c r="AC346" s="30"/>
      <c r="AD346" s="30"/>
      <c r="AE346" s="30"/>
      <c r="AF346" s="30"/>
      <c r="AG346" s="30"/>
      <c r="AH346" s="30"/>
      <c r="AI346" s="30"/>
      <c r="AJ346" s="31">
        <f t="shared" si="34"/>
        <v>268</v>
      </c>
      <c r="AK346" s="34">
        <f>2385200000/AJ346</f>
        <v>8900000</v>
      </c>
      <c r="AL346" s="31">
        <f t="shared" si="35"/>
        <v>162</v>
      </c>
      <c r="AM346" s="34">
        <f>135800000/AL346</f>
        <v>838271.60493827157</v>
      </c>
      <c r="AN346" s="34"/>
      <c r="AO346" s="34">
        <f t="shared" si="29"/>
        <v>2521000000</v>
      </c>
      <c r="AP346" s="58"/>
      <c r="AQ346" s="58"/>
      <c r="AR346" s="30"/>
      <c r="AS346" s="30"/>
      <c r="AT346" s="30"/>
      <c r="AU346" s="30"/>
      <c r="AV346" s="89"/>
      <c r="AW346" s="53"/>
      <c r="AX346" s="35"/>
      <c r="AY346" s="34"/>
      <c r="AZ346" s="53"/>
      <c r="BA346" s="90"/>
      <c r="BB346" s="58"/>
      <c r="BC346" s="57"/>
      <c r="BD346" s="58"/>
      <c r="BE346" s="57"/>
      <c r="BF346" s="30"/>
      <c r="BG346" s="30"/>
      <c r="BH346" s="30"/>
      <c r="BI346" s="30"/>
      <c r="BJ346" s="91"/>
      <c r="BK346" s="53"/>
      <c r="BL346" s="91"/>
      <c r="BM346" s="53"/>
      <c r="BN346" s="53"/>
      <c r="BO346" s="90"/>
      <c r="BP346" s="58"/>
      <c r="BQ346" s="57"/>
      <c r="BR346" s="58"/>
      <c r="BS346" s="58"/>
      <c r="BT346" s="30"/>
      <c r="BU346" s="30"/>
      <c r="BV346" s="30"/>
      <c r="BW346" s="30"/>
      <c r="BX346" s="91"/>
      <c r="BY346" s="53"/>
      <c r="BZ346" s="36"/>
      <c r="CA346" s="34"/>
      <c r="CB346" s="53"/>
      <c r="CC346" s="90"/>
      <c r="CD346" s="58"/>
      <c r="CE346" s="57"/>
      <c r="CF346" s="57"/>
      <c r="CG346" s="30"/>
      <c r="CH346" s="30"/>
      <c r="CI346" s="64"/>
      <c r="CJ346" s="64"/>
      <c r="CK346" s="64"/>
      <c r="CL346" s="64"/>
    </row>
    <row r="347" spans="2:90" ht="105" x14ac:dyDescent="0.25">
      <c r="B347" s="57"/>
      <c r="C347" s="57"/>
      <c r="D347" s="68"/>
      <c r="E347" s="57"/>
      <c r="F347" s="57"/>
      <c r="G347" s="30"/>
      <c r="H347" s="30" t="s">
        <v>83</v>
      </c>
      <c r="I347" s="35">
        <v>161</v>
      </c>
      <c r="J347" s="57"/>
      <c r="K347" s="35">
        <v>139</v>
      </c>
      <c r="L347" s="35"/>
      <c r="M347" s="30"/>
      <c r="N347" s="30"/>
      <c r="O347" s="30"/>
      <c r="P347" s="30"/>
      <c r="Q347" s="30"/>
      <c r="R347" s="30" t="s">
        <v>2902</v>
      </c>
      <c r="S347" s="57"/>
      <c r="T347" s="57"/>
      <c r="U347" s="57"/>
      <c r="V347" s="57"/>
      <c r="W347" s="57"/>
      <c r="X347" s="57"/>
      <c r="Y347" s="57"/>
      <c r="Z347" s="33">
        <v>45576</v>
      </c>
      <c r="AA347" s="68"/>
      <c r="AB347" s="57"/>
      <c r="AC347" s="30"/>
      <c r="AD347" s="30"/>
      <c r="AE347" s="30"/>
      <c r="AF347" s="30"/>
      <c r="AG347" s="30"/>
      <c r="AH347" s="30"/>
      <c r="AI347" s="30"/>
      <c r="AJ347" s="31">
        <f t="shared" si="34"/>
        <v>161</v>
      </c>
      <c r="AK347" s="34">
        <f>322000000/AJ347</f>
        <v>2000000</v>
      </c>
      <c r="AL347" s="31">
        <f t="shared" si="35"/>
        <v>139</v>
      </c>
      <c r="AM347" s="34">
        <f>107900000/AL347</f>
        <v>776258.99280575535</v>
      </c>
      <c r="AN347" s="34"/>
      <c r="AO347" s="34">
        <f t="shared" si="29"/>
        <v>429900000</v>
      </c>
      <c r="AP347" s="30" t="s">
        <v>2885</v>
      </c>
      <c r="AQ347" s="30" t="s">
        <v>83</v>
      </c>
      <c r="AR347" s="30"/>
      <c r="AS347" s="30"/>
      <c r="AT347" s="30"/>
      <c r="AU347" s="30"/>
      <c r="AV347" s="100">
        <v>72</v>
      </c>
      <c r="AW347" s="60">
        <v>2614278</v>
      </c>
      <c r="AX347" s="100">
        <v>65</v>
      </c>
      <c r="AY347" s="34">
        <v>2488800</v>
      </c>
      <c r="AZ347" s="34">
        <v>400000000</v>
      </c>
      <c r="BA347" s="32">
        <f t="shared" ref="BA347" si="39">AV347*AW347+(AY347*AX347)</f>
        <v>350000016</v>
      </c>
      <c r="BB347" s="30" t="s">
        <v>2886</v>
      </c>
      <c r="BC347" s="57"/>
      <c r="BD347" s="30" t="s">
        <v>2887</v>
      </c>
      <c r="BE347" s="57"/>
      <c r="BF347" s="30"/>
      <c r="BG347" s="30"/>
      <c r="BH347" s="30"/>
      <c r="BI347" s="30"/>
      <c r="BJ347" s="36">
        <v>249</v>
      </c>
      <c r="BK347" s="34">
        <v>1864739</v>
      </c>
      <c r="BL347" s="36">
        <v>120</v>
      </c>
      <c r="BM347" s="34">
        <v>1464000</v>
      </c>
      <c r="BN347" s="34">
        <v>700000000</v>
      </c>
      <c r="BO347" s="32">
        <f t="shared" ref="BO347" si="40">BJ347*BK347+(BL347*BM347)</f>
        <v>640000011</v>
      </c>
      <c r="BP347" s="30" t="s">
        <v>2888</v>
      </c>
      <c r="BQ347" s="57"/>
      <c r="BR347" s="30" t="s">
        <v>2887</v>
      </c>
      <c r="BS347" s="30" t="s">
        <v>83</v>
      </c>
      <c r="BT347" s="30"/>
      <c r="BU347" s="30"/>
      <c r="BV347" s="30"/>
      <c r="BW347" s="30"/>
      <c r="BX347" s="36">
        <v>130</v>
      </c>
      <c r="BY347" s="34">
        <v>2335385</v>
      </c>
      <c r="BZ347" s="36">
        <v>100</v>
      </c>
      <c r="CA347" s="34">
        <v>1464000</v>
      </c>
      <c r="CB347" s="34">
        <v>550000000</v>
      </c>
      <c r="CC347" s="32">
        <f t="shared" ref="CC347" si="41">(BX347*BY347)+(BZ347*CA347)</f>
        <v>450000050</v>
      </c>
      <c r="CD347" s="30" t="s">
        <v>2889</v>
      </c>
      <c r="CE347" s="57"/>
      <c r="CF347" s="57"/>
      <c r="CG347" s="30"/>
      <c r="CH347" s="30"/>
      <c r="CI347" s="64"/>
      <c r="CJ347" s="64"/>
      <c r="CK347" s="64"/>
      <c r="CL347" s="64"/>
    </row>
    <row r="348" spans="2:90" ht="90" x14ac:dyDescent="0.25">
      <c r="B348" s="57"/>
      <c r="C348" s="57"/>
      <c r="D348" s="68"/>
      <c r="E348" s="57"/>
      <c r="F348" s="57"/>
      <c r="G348" s="30"/>
      <c r="H348" s="54" t="s">
        <v>97</v>
      </c>
      <c r="I348" s="35">
        <v>166</v>
      </c>
      <c r="J348" s="57"/>
      <c r="K348" s="35">
        <v>122</v>
      </c>
      <c r="L348" s="35"/>
      <c r="M348" s="30"/>
      <c r="N348" s="30"/>
      <c r="O348" s="30"/>
      <c r="P348" s="30"/>
      <c r="Q348" s="30"/>
      <c r="R348" s="30" t="s">
        <v>2903</v>
      </c>
      <c r="S348" s="57"/>
      <c r="T348" s="57"/>
      <c r="U348" s="57"/>
      <c r="V348" s="57"/>
      <c r="W348" s="57"/>
      <c r="X348" s="57"/>
      <c r="Y348" s="57"/>
      <c r="Z348" s="67">
        <v>45520</v>
      </c>
      <c r="AA348" s="68"/>
      <c r="AB348" s="57"/>
      <c r="AC348" s="30"/>
      <c r="AD348" s="30"/>
      <c r="AE348" s="30"/>
      <c r="AF348" s="30"/>
      <c r="AG348" s="30"/>
      <c r="AH348" s="30"/>
      <c r="AI348" s="30"/>
      <c r="AJ348" s="31">
        <f t="shared" si="34"/>
        <v>166</v>
      </c>
      <c r="AK348" s="34">
        <f>1494000000/AJ348</f>
        <v>9000000</v>
      </c>
      <c r="AL348" s="31">
        <f t="shared" si="35"/>
        <v>122</v>
      </c>
      <c r="AM348" s="34">
        <f>125100000/AL348</f>
        <v>1025409.8360655737</v>
      </c>
      <c r="AN348" s="34"/>
      <c r="AO348" s="34">
        <f t="shared" si="29"/>
        <v>1619100000</v>
      </c>
      <c r="AP348" s="30" t="s">
        <v>2892</v>
      </c>
      <c r="AQ348" s="30" t="s">
        <v>250</v>
      </c>
      <c r="AR348" s="30"/>
      <c r="AS348" s="30"/>
      <c r="AT348" s="30"/>
      <c r="AU348" s="30"/>
      <c r="AV348" s="35">
        <v>419</v>
      </c>
      <c r="AW348" s="34">
        <v>8949881</v>
      </c>
      <c r="AX348" s="35"/>
      <c r="AY348" s="34"/>
      <c r="AZ348" s="34">
        <v>4190000000</v>
      </c>
      <c r="BA348" s="32">
        <f t="shared" si="36"/>
        <v>3750000139</v>
      </c>
      <c r="BB348" s="30" t="s">
        <v>2893</v>
      </c>
      <c r="BC348" s="57"/>
      <c r="BD348" s="30" t="s">
        <v>2894</v>
      </c>
      <c r="BE348" s="57"/>
      <c r="BF348" s="30"/>
      <c r="BG348" s="30"/>
      <c r="BH348" s="30"/>
      <c r="BI348" s="30"/>
      <c r="BJ348" s="36">
        <v>649</v>
      </c>
      <c r="BK348" s="34">
        <v>9142607</v>
      </c>
      <c r="BL348" s="36">
        <v>140</v>
      </c>
      <c r="BM348" s="34">
        <v>1903200</v>
      </c>
      <c r="BN348" s="34">
        <v>8000000000</v>
      </c>
      <c r="BO348" s="32">
        <f t="shared" si="37"/>
        <v>6199999943</v>
      </c>
      <c r="BP348" s="30" t="s">
        <v>2895</v>
      </c>
      <c r="BQ348" s="57"/>
      <c r="BR348" s="30" t="s">
        <v>2894</v>
      </c>
      <c r="BS348" s="30" t="s">
        <v>2896</v>
      </c>
      <c r="BT348" s="30"/>
      <c r="BU348" s="30"/>
      <c r="BV348" s="30"/>
      <c r="BW348" s="30"/>
      <c r="BX348" s="36">
        <v>367</v>
      </c>
      <c r="BY348" s="34">
        <v>8446866</v>
      </c>
      <c r="BZ348" s="36"/>
      <c r="CA348" s="34"/>
      <c r="CB348" s="34">
        <v>3500000000</v>
      </c>
      <c r="CC348" s="32">
        <f t="shared" si="38"/>
        <v>3099999822</v>
      </c>
      <c r="CD348" s="30" t="s">
        <v>2897</v>
      </c>
      <c r="CE348" s="57"/>
      <c r="CF348" s="57"/>
      <c r="CG348" s="30"/>
      <c r="CH348" s="30"/>
      <c r="CI348" s="64"/>
      <c r="CJ348" s="64"/>
      <c r="CK348" s="64"/>
      <c r="CL348" s="64"/>
    </row>
    <row r="349" spans="2:90" ht="60" x14ac:dyDescent="0.25">
      <c r="B349" s="57"/>
      <c r="C349" s="57"/>
      <c r="D349" s="68"/>
      <c r="E349" s="57"/>
      <c r="F349" s="57"/>
      <c r="G349" s="30"/>
      <c r="H349" s="57"/>
      <c r="I349" s="35">
        <v>93</v>
      </c>
      <c r="J349" s="57"/>
      <c r="K349" s="35">
        <v>80</v>
      </c>
      <c r="L349" s="35"/>
      <c r="M349" s="30"/>
      <c r="N349" s="30"/>
      <c r="O349" s="30"/>
      <c r="P349" s="30"/>
      <c r="Q349" s="30"/>
      <c r="R349" s="30" t="s">
        <v>2904</v>
      </c>
      <c r="S349" s="57"/>
      <c r="T349" s="57"/>
      <c r="U349" s="57"/>
      <c r="V349" s="57"/>
      <c r="W349" s="57"/>
      <c r="X349" s="57"/>
      <c r="Y349" s="57"/>
      <c r="Z349" s="68"/>
      <c r="AA349" s="68"/>
      <c r="AB349" s="57"/>
      <c r="AC349" s="30"/>
      <c r="AD349" s="30"/>
      <c r="AE349" s="30"/>
      <c r="AF349" s="30"/>
      <c r="AG349" s="30"/>
      <c r="AH349" s="30"/>
      <c r="AI349" s="30"/>
      <c r="AJ349" s="31">
        <f t="shared" si="34"/>
        <v>93</v>
      </c>
      <c r="AK349" s="34">
        <f>232500000/AJ349</f>
        <v>2500000</v>
      </c>
      <c r="AL349" s="31">
        <f t="shared" si="35"/>
        <v>80</v>
      </c>
      <c r="AM349" s="34">
        <f>72400000/AL349</f>
        <v>905000</v>
      </c>
      <c r="AN349" s="34"/>
      <c r="AO349" s="34">
        <f t="shared" si="29"/>
        <v>304900000</v>
      </c>
      <c r="AP349" s="54" t="s">
        <v>2885</v>
      </c>
      <c r="AQ349" s="54" t="s">
        <v>83</v>
      </c>
      <c r="AR349" s="30"/>
      <c r="AS349" s="30"/>
      <c r="AT349" s="30"/>
      <c r="AU349" s="30"/>
      <c r="AV349" s="86">
        <v>72</v>
      </c>
      <c r="AW349" s="51">
        <v>2614278</v>
      </c>
      <c r="AX349" s="86">
        <v>65</v>
      </c>
      <c r="AY349" s="51">
        <v>2488800</v>
      </c>
      <c r="AZ349" s="51">
        <v>400000000</v>
      </c>
      <c r="BA349" s="87">
        <f>AV349*AW349+(AY349*AX349)</f>
        <v>350000016</v>
      </c>
      <c r="BB349" s="54" t="s">
        <v>2886</v>
      </c>
      <c r="BC349" s="57"/>
      <c r="BD349" s="54" t="s">
        <v>2887</v>
      </c>
      <c r="BE349" s="57"/>
      <c r="BF349" s="30"/>
      <c r="BG349" s="30"/>
      <c r="BH349" s="30"/>
      <c r="BI349" s="30"/>
      <c r="BJ349" s="88">
        <v>249</v>
      </c>
      <c r="BK349" s="51">
        <v>1864739</v>
      </c>
      <c r="BL349" s="88">
        <v>120</v>
      </c>
      <c r="BM349" s="51">
        <v>1464000</v>
      </c>
      <c r="BN349" s="51">
        <v>700000000</v>
      </c>
      <c r="BO349" s="87">
        <f t="shared" si="37"/>
        <v>640000011</v>
      </c>
      <c r="BP349" s="54" t="s">
        <v>2888</v>
      </c>
      <c r="BQ349" s="57"/>
      <c r="BR349" s="54" t="s">
        <v>2887</v>
      </c>
      <c r="BS349" s="54" t="s">
        <v>83</v>
      </c>
      <c r="BT349" s="30"/>
      <c r="BU349" s="30"/>
      <c r="BV349" s="30"/>
      <c r="BW349" s="30"/>
      <c r="BX349" s="88">
        <v>130</v>
      </c>
      <c r="BY349" s="51">
        <v>2335385</v>
      </c>
      <c r="BZ349" s="88">
        <v>100</v>
      </c>
      <c r="CA349" s="51">
        <v>1464000</v>
      </c>
      <c r="CB349" s="51">
        <v>550000000</v>
      </c>
      <c r="CC349" s="87">
        <f t="shared" si="38"/>
        <v>450000050</v>
      </c>
      <c r="CD349" s="54" t="s">
        <v>2889</v>
      </c>
      <c r="CE349" s="57"/>
      <c r="CF349" s="57"/>
      <c r="CG349" s="30"/>
      <c r="CH349" s="30"/>
      <c r="CI349" s="64"/>
      <c r="CJ349" s="64"/>
      <c r="CK349" s="64"/>
      <c r="CL349" s="64"/>
    </row>
    <row r="350" spans="2:90" ht="60" x14ac:dyDescent="0.25">
      <c r="B350" s="58"/>
      <c r="C350" s="58"/>
      <c r="D350" s="69"/>
      <c r="E350" s="58"/>
      <c r="F350" s="58"/>
      <c r="G350" s="30"/>
      <c r="H350" s="58"/>
      <c r="I350" s="35">
        <v>234</v>
      </c>
      <c r="J350" s="58"/>
      <c r="K350" s="35">
        <v>178</v>
      </c>
      <c r="L350" s="35"/>
      <c r="M350" s="30"/>
      <c r="N350" s="30"/>
      <c r="O350" s="30"/>
      <c r="P350" s="30"/>
      <c r="Q350" s="30"/>
      <c r="R350" s="30" t="s">
        <v>2905</v>
      </c>
      <c r="S350" s="58"/>
      <c r="T350" s="58"/>
      <c r="U350" s="58"/>
      <c r="V350" s="58"/>
      <c r="W350" s="58"/>
      <c r="X350" s="58"/>
      <c r="Y350" s="58"/>
      <c r="Z350" s="69"/>
      <c r="AA350" s="69"/>
      <c r="AB350" s="58"/>
      <c r="AC350" s="30"/>
      <c r="AD350" s="30"/>
      <c r="AE350" s="30"/>
      <c r="AF350" s="30"/>
      <c r="AG350" s="30"/>
      <c r="AH350" s="30"/>
      <c r="AI350" s="30"/>
      <c r="AJ350" s="31">
        <f t="shared" si="34"/>
        <v>234</v>
      </c>
      <c r="AK350" s="34">
        <f>491400000/AJ350</f>
        <v>2100000</v>
      </c>
      <c r="AL350" s="31">
        <f t="shared" si="35"/>
        <v>178</v>
      </c>
      <c r="AM350" s="34">
        <f>216900000/AL350</f>
        <v>1218539.3258426967</v>
      </c>
      <c r="AN350" s="34"/>
      <c r="AO350" s="34">
        <f t="shared" si="29"/>
        <v>708300000</v>
      </c>
      <c r="AP350" s="58"/>
      <c r="AQ350" s="58"/>
      <c r="AR350" s="30"/>
      <c r="AS350" s="30"/>
      <c r="AT350" s="30"/>
      <c r="AU350" s="30"/>
      <c r="AV350" s="89"/>
      <c r="AW350" s="53"/>
      <c r="AX350" s="89"/>
      <c r="AY350" s="53"/>
      <c r="AZ350" s="53"/>
      <c r="BA350" s="90"/>
      <c r="BB350" s="58"/>
      <c r="BC350" s="58"/>
      <c r="BD350" s="58"/>
      <c r="BE350" s="58"/>
      <c r="BF350" s="30"/>
      <c r="BG350" s="30"/>
      <c r="BH350" s="30"/>
      <c r="BI350" s="30"/>
      <c r="BJ350" s="91"/>
      <c r="BK350" s="53"/>
      <c r="BL350" s="91"/>
      <c r="BM350" s="53"/>
      <c r="BN350" s="53"/>
      <c r="BO350" s="90"/>
      <c r="BP350" s="58"/>
      <c r="BQ350" s="58"/>
      <c r="BR350" s="58"/>
      <c r="BS350" s="58"/>
      <c r="BT350" s="30"/>
      <c r="BU350" s="30"/>
      <c r="BV350" s="30"/>
      <c r="BW350" s="30"/>
      <c r="BX350" s="91"/>
      <c r="BY350" s="53"/>
      <c r="BZ350" s="91"/>
      <c r="CA350" s="53"/>
      <c r="CB350" s="53"/>
      <c r="CC350" s="90"/>
      <c r="CD350" s="58"/>
      <c r="CE350" s="58"/>
      <c r="CF350" s="58"/>
      <c r="CG350" s="30"/>
      <c r="CH350" s="30"/>
      <c r="CI350" s="64"/>
      <c r="CJ350" s="64"/>
      <c r="CK350" s="64"/>
      <c r="CL350" s="64"/>
    </row>
    <row r="351" spans="2:90" ht="105" x14ac:dyDescent="0.25">
      <c r="B351" s="30" t="s">
        <v>2906</v>
      </c>
      <c r="C351" s="30" t="s">
        <v>2907</v>
      </c>
      <c r="D351" s="33">
        <v>45616</v>
      </c>
      <c r="E351" s="30" t="s">
        <v>2908</v>
      </c>
      <c r="F351" s="30" t="s">
        <v>2908</v>
      </c>
      <c r="G351" s="30"/>
      <c r="H351" s="30" t="s">
        <v>97</v>
      </c>
      <c r="I351" s="35">
        <v>12935</v>
      </c>
      <c r="J351" s="30" t="s">
        <v>70</v>
      </c>
      <c r="K351" s="35">
        <v>1236</v>
      </c>
      <c r="L351" s="35"/>
      <c r="M351" s="30"/>
      <c r="N351" s="30"/>
      <c r="O351" s="30"/>
      <c r="P351" s="30"/>
      <c r="Q351" s="30"/>
      <c r="R351" s="30" t="s">
        <v>2909</v>
      </c>
      <c r="S351" s="30" t="s">
        <v>2910</v>
      </c>
      <c r="T351" s="30" t="s">
        <v>2911</v>
      </c>
      <c r="U351" s="30" t="s">
        <v>164</v>
      </c>
      <c r="V351" s="30" t="s">
        <v>84</v>
      </c>
      <c r="W351" s="30" t="s">
        <v>72</v>
      </c>
      <c r="X351" s="30" t="s">
        <v>131</v>
      </c>
      <c r="Y351" s="30" t="s">
        <v>73</v>
      </c>
      <c r="Z351" s="33">
        <v>45573</v>
      </c>
      <c r="AA351" s="33">
        <v>45573</v>
      </c>
      <c r="AB351" s="30" t="s">
        <v>90</v>
      </c>
      <c r="AC351" s="30"/>
      <c r="AD351" s="30"/>
      <c r="AE351" s="30"/>
      <c r="AF351" s="30"/>
      <c r="AG351" s="30"/>
      <c r="AH351" s="30"/>
      <c r="AI351" s="30"/>
      <c r="AJ351" s="31">
        <f t="shared" si="34"/>
        <v>12935</v>
      </c>
      <c r="AK351" s="34">
        <f>113828000000/AJ351</f>
        <v>8800000</v>
      </c>
      <c r="AL351" s="31">
        <f t="shared" si="35"/>
        <v>1236</v>
      </c>
      <c r="AM351" s="34">
        <f>4560300000/AL351</f>
        <v>3689563.1067961166</v>
      </c>
      <c r="AN351" s="34"/>
      <c r="AO351" s="34">
        <f t="shared" si="29"/>
        <v>118388300000</v>
      </c>
      <c r="AP351" s="30" t="s">
        <v>2912</v>
      </c>
      <c r="AQ351" s="30" t="s">
        <v>77</v>
      </c>
      <c r="AR351" s="30"/>
      <c r="AS351" s="30"/>
      <c r="AT351" s="30"/>
      <c r="AU351" s="30"/>
      <c r="AV351" s="35">
        <v>2990</v>
      </c>
      <c r="AW351" s="34">
        <v>10000000</v>
      </c>
      <c r="AX351" s="35"/>
      <c r="AY351" s="34"/>
      <c r="AZ351" s="34">
        <v>32890000000</v>
      </c>
      <c r="BA351" s="32">
        <f t="shared" si="36"/>
        <v>29900000000</v>
      </c>
      <c r="BB351" s="30" t="s">
        <v>2913</v>
      </c>
      <c r="BC351" s="30" t="s">
        <v>81</v>
      </c>
      <c r="BD351" s="30" t="s">
        <v>2914</v>
      </c>
      <c r="BE351" s="30" t="s">
        <v>245</v>
      </c>
      <c r="BF351" s="30"/>
      <c r="BG351" s="30"/>
      <c r="BH351" s="30"/>
      <c r="BI351" s="30"/>
      <c r="BJ351" s="36">
        <v>18815</v>
      </c>
      <c r="BK351" s="34">
        <v>7000967</v>
      </c>
      <c r="BL351" s="36">
        <v>8000</v>
      </c>
      <c r="BM351" s="34">
        <v>1409600</v>
      </c>
      <c r="BN351" s="34">
        <v>160000000000</v>
      </c>
      <c r="BO351" s="32">
        <f t="shared" si="37"/>
        <v>142999994105</v>
      </c>
      <c r="BP351" s="30" t="s">
        <v>2915</v>
      </c>
      <c r="BQ351" s="30" t="s">
        <v>81</v>
      </c>
      <c r="BR351" s="30" t="s">
        <v>2916</v>
      </c>
      <c r="BS351" s="30" t="s">
        <v>77</v>
      </c>
      <c r="BT351" s="30"/>
      <c r="BU351" s="30"/>
      <c r="BV351" s="30"/>
      <c r="BW351" s="30"/>
      <c r="BX351" s="36">
        <v>870</v>
      </c>
      <c r="BY351" s="34">
        <v>13793103</v>
      </c>
      <c r="BZ351" s="36"/>
      <c r="CA351" s="34"/>
      <c r="CB351" s="34">
        <v>15000000000</v>
      </c>
      <c r="CC351" s="32">
        <f t="shared" si="38"/>
        <v>11999999610</v>
      </c>
      <c r="CD351" s="30" t="s">
        <v>2917</v>
      </c>
      <c r="CE351" s="30" t="s">
        <v>81</v>
      </c>
      <c r="CF351" s="30" t="s">
        <v>196</v>
      </c>
      <c r="CG351" s="30"/>
      <c r="CH351" s="30"/>
      <c r="CI351" s="64"/>
      <c r="CJ351" s="64"/>
      <c r="CK351" s="64"/>
      <c r="CL351" s="64"/>
    </row>
    <row r="352" spans="2:90" ht="75" x14ac:dyDescent="0.25">
      <c r="B352" s="54" t="s">
        <v>2918</v>
      </c>
      <c r="C352" s="54" t="s">
        <v>2919</v>
      </c>
      <c r="D352" s="67">
        <v>45616</v>
      </c>
      <c r="E352" s="54" t="s">
        <v>2920</v>
      </c>
      <c r="F352" s="54" t="s">
        <v>93</v>
      </c>
      <c r="G352" s="30"/>
      <c r="H352" s="30" t="s">
        <v>2921</v>
      </c>
      <c r="I352" s="35">
        <v>3203</v>
      </c>
      <c r="J352" s="54" t="s">
        <v>70</v>
      </c>
      <c r="K352" s="35">
        <v>8608</v>
      </c>
      <c r="L352" s="35"/>
      <c r="M352" s="54" t="s">
        <v>397</v>
      </c>
      <c r="N352" s="30"/>
      <c r="O352" s="30"/>
      <c r="P352" s="30"/>
      <c r="Q352" s="30"/>
      <c r="R352" s="30" t="s">
        <v>2922</v>
      </c>
      <c r="S352" s="54" t="s">
        <v>2923</v>
      </c>
      <c r="T352" s="54" t="s">
        <v>2924</v>
      </c>
      <c r="U352" s="54" t="s">
        <v>171</v>
      </c>
      <c r="V352" s="54" t="s">
        <v>172</v>
      </c>
      <c r="W352" s="54" t="s">
        <v>72</v>
      </c>
      <c r="X352" s="54" t="s">
        <v>85</v>
      </c>
      <c r="Y352" s="54" t="s">
        <v>2925</v>
      </c>
      <c r="Z352" s="67" t="s">
        <v>2926</v>
      </c>
      <c r="AA352" s="67">
        <v>45511</v>
      </c>
      <c r="AB352" s="54" t="s">
        <v>90</v>
      </c>
      <c r="AC352" s="30"/>
      <c r="AD352" s="30"/>
      <c r="AE352" s="30"/>
      <c r="AF352" s="30"/>
      <c r="AG352" s="30"/>
      <c r="AH352" s="30"/>
      <c r="AI352" s="30"/>
      <c r="AJ352" s="31">
        <f t="shared" si="34"/>
        <v>3203</v>
      </c>
      <c r="AK352" s="34">
        <f>22421000000/AJ352</f>
        <v>7000000</v>
      </c>
      <c r="AL352" s="31">
        <f t="shared" si="35"/>
        <v>8608</v>
      </c>
      <c r="AM352" s="34">
        <f>51195300000/AL352</f>
        <v>5947409.3866171008</v>
      </c>
      <c r="AN352" s="34">
        <v>2481342000</v>
      </c>
      <c r="AO352" s="34">
        <f t="shared" si="29"/>
        <v>76097642000</v>
      </c>
      <c r="AP352" s="54" t="s">
        <v>2927</v>
      </c>
      <c r="AQ352" s="54" t="s">
        <v>1483</v>
      </c>
      <c r="AR352" s="30"/>
      <c r="AS352" s="30"/>
      <c r="AT352" s="30"/>
      <c r="AU352" s="30"/>
      <c r="AV352" s="86">
        <v>932</v>
      </c>
      <c r="AW352" s="51">
        <v>8583691</v>
      </c>
      <c r="AX352" s="35"/>
      <c r="AY352" s="34"/>
      <c r="AZ352" s="51">
        <v>9320000000</v>
      </c>
      <c r="BA352" s="87">
        <f t="shared" si="36"/>
        <v>8000000012</v>
      </c>
      <c r="BB352" s="54" t="s">
        <v>2928</v>
      </c>
      <c r="BC352" s="54" t="s">
        <v>81</v>
      </c>
      <c r="BD352" s="54" t="s">
        <v>2927</v>
      </c>
      <c r="BE352" s="54" t="s">
        <v>97</v>
      </c>
      <c r="BF352" s="30"/>
      <c r="BG352" s="30"/>
      <c r="BH352" s="30"/>
      <c r="BI352" s="30"/>
      <c r="BJ352" s="86">
        <v>720</v>
      </c>
      <c r="BK352" s="51">
        <v>8363965</v>
      </c>
      <c r="BL352" s="86">
        <v>390</v>
      </c>
      <c r="BM352" s="51">
        <v>1225500</v>
      </c>
      <c r="BN352" s="51">
        <v>8000000000</v>
      </c>
      <c r="BO352" s="87">
        <f t="shared" ref="BO352" si="42">BJ352*BK352+(BM352*BL352)</f>
        <v>6499999800</v>
      </c>
      <c r="BP352" s="54" t="s">
        <v>2377</v>
      </c>
      <c r="BQ352" s="54" t="s">
        <v>81</v>
      </c>
      <c r="BR352" s="54" t="s">
        <v>2929</v>
      </c>
      <c r="BS352" s="54" t="s">
        <v>1483</v>
      </c>
      <c r="BT352" s="30"/>
      <c r="BU352" s="30"/>
      <c r="BV352" s="30"/>
      <c r="BW352" s="30"/>
      <c r="BX352" s="88">
        <v>1000</v>
      </c>
      <c r="BY352" s="51">
        <v>8000000</v>
      </c>
      <c r="BZ352" s="36"/>
      <c r="CA352" s="34"/>
      <c r="CB352" s="51">
        <v>9500000000</v>
      </c>
      <c r="CC352" s="87">
        <f t="shared" si="38"/>
        <v>8000000000</v>
      </c>
      <c r="CD352" s="54" t="s">
        <v>2930</v>
      </c>
      <c r="CE352" s="54" t="s">
        <v>81</v>
      </c>
      <c r="CF352" s="54" t="s">
        <v>597</v>
      </c>
      <c r="CG352" s="30"/>
      <c r="CH352" s="30"/>
      <c r="CI352" s="64"/>
      <c r="CJ352" s="64"/>
      <c r="CK352" s="64"/>
      <c r="CL352" s="64"/>
    </row>
    <row r="353" spans="2:90" ht="30" x14ac:dyDescent="0.25">
      <c r="B353" s="58"/>
      <c r="C353" s="58"/>
      <c r="D353" s="69"/>
      <c r="E353" s="58"/>
      <c r="F353" s="58"/>
      <c r="G353" s="30"/>
      <c r="H353" s="30" t="s">
        <v>2931</v>
      </c>
      <c r="I353" s="35">
        <v>755</v>
      </c>
      <c r="J353" s="58"/>
      <c r="K353" s="35"/>
      <c r="L353" s="35"/>
      <c r="M353" s="58"/>
      <c r="N353" s="30"/>
      <c r="O353" s="30"/>
      <c r="P353" s="30"/>
      <c r="Q353" s="30"/>
      <c r="R353" s="30" t="s">
        <v>2932</v>
      </c>
      <c r="S353" s="58"/>
      <c r="T353" s="58"/>
      <c r="U353" s="58"/>
      <c r="V353" s="58"/>
      <c r="W353" s="58"/>
      <c r="X353" s="58"/>
      <c r="Y353" s="58"/>
      <c r="Z353" s="69"/>
      <c r="AA353" s="69"/>
      <c r="AB353" s="58"/>
      <c r="AC353" s="30"/>
      <c r="AD353" s="30"/>
      <c r="AE353" s="30"/>
      <c r="AF353" s="30"/>
      <c r="AG353" s="30"/>
      <c r="AH353" s="30"/>
      <c r="AI353" s="30"/>
      <c r="AJ353" s="31">
        <f t="shared" si="34"/>
        <v>755</v>
      </c>
      <c r="AK353" s="34">
        <f>6191000000/AJ353</f>
        <v>8200000</v>
      </c>
      <c r="AL353" s="31">
        <f t="shared" si="35"/>
        <v>0</v>
      </c>
      <c r="AM353" s="34"/>
      <c r="AN353" s="34">
        <v>100184000</v>
      </c>
      <c r="AO353" s="34">
        <f t="shared" si="29"/>
        <v>6291184000</v>
      </c>
      <c r="AP353" s="58"/>
      <c r="AQ353" s="58"/>
      <c r="AR353" s="30"/>
      <c r="AS353" s="30"/>
      <c r="AT353" s="30"/>
      <c r="AU353" s="30"/>
      <c r="AV353" s="89"/>
      <c r="AW353" s="53"/>
      <c r="AX353" s="35"/>
      <c r="AY353" s="34"/>
      <c r="AZ353" s="53"/>
      <c r="BA353" s="90"/>
      <c r="BB353" s="58"/>
      <c r="BC353" s="58"/>
      <c r="BD353" s="58"/>
      <c r="BE353" s="58"/>
      <c r="BF353" s="30"/>
      <c r="BG353" s="30"/>
      <c r="BH353" s="30"/>
      <c r="BI353" s="30"/>
      <c r="BJ353" s="89"/>
      <c r="BK353" s="53"/>
      <c r="BL353" s="89"/>
      <c r="BM353" s="53"/>
      <c r="BN353" s="53"/>
      <c r="BO353" s="90"/>
      <c r="BP353" s="58"/>
      <c r="BQ353" s="58"/>
      <c r="BR353" s="58"/>
      <c r="BS353" s="58"/>
      <c r="BT353" s="30"/>
      <c r="BU353" s="30"/>
      <c r="BV353" s="30"/>
      <c r="BW353" s="30"/>
      <c r="BX353" s="91"/>
      <c r="BY353" s="53"/>
      <c r="BZ353" s="36"/>
      <c r="CA353" s="34"/>
      <c r="CB353" s="53"/>
      <c r="CC353" s="90"/>
      <c r="CD353" s="58"/>
      <c r="CE353" s="58"/>
      <c r="CF353" s="58"/>
      <c r="CG353" s="30"/>
      <c r="CH353" s="30"/>
      <c r="CI353" s="64"/>
      <c r="CJ353" s="64"/>
      <c r="CK353" s="64"/>
      <c r="CL353" s="64"/>
    </row>
    <row r="354" spans="2:90" ht="105" x14ac:dyDescent="0.25">
      <c r="B354" s="30" t="s">
        <v>2933</v>
      </c>
      <c r="C354" s="30" t="s">
        <v>2934</v>
      </c>
      <c r="D354" s="33">
        <v>45616</v>
      </c>
      <c r="E354" s="30" t="s">
        <v>2935</v>
      </c>
      <c r="F354" s="30" t="s">
        <v>93</v>
      </c>
      <c r="G354" s="30"/>
      <c r="H354" s="30" t="s">
        <v>2936</v>
      </c>
      <c r="I354" s="35">
        <v>16259</v>
      </c>
      <c r="J354" s="30" t="s">
        <v>70</v>
      </c>
      <c r="K354" s="35">
        <v>8872</v>
      </c>
      <c r="L354" s="35"/>
      <c r="M354" s="30" t="s">
        <v>397</v>
      </c>
      <c r="N354" s="30"/>
      <c r="O354" s="30"/>
      <c r="P354" s="30"/>
      <c r="Q354" s="30"/>
      <c r="R354" s="30" t="s">
        <v>2937</v>
      </c>
      <c r="S354" s="30" t="s">
        <v>2938</v>
      </c>
      <c r="T354" s="30" t="s">
        <v>2939</v>
      </c>
      <c r="U354" s="30" t="s">
        <v>2940</v>
      </c>
      <c r="V354" s="30" t="s">
        <v>92</v>
      </c>
      <c r="W354" s="30" t="s">
        <v>72</v>
      </c>
      <c r="X354" s="30" t="s">
        <v>85</v>
      </c>
      <c r="Y354" s="30" t="s">
        <v>73</v>
      </c>
      <c r="Z354" s="33">
        <v>45590</v>
      </c>
      <c r="AA354" s="33">
        <v>45590</v>
      </c>
      <c r="AB354" s="30" t="s">
        <v>90</v>
      </c>
      <c r="AC354" s="30"/>
      <c r="AD354" s="30"/>
      <c r="AE354" s="30"/>
      <c r="AF354" s="30"/>
      <c r="AG354" s="30"/>
      <c r="AH354" s="30"/>
      <c r="AI354" s="30"/>
      <c r="AJ354" s="31">
        <f t="shared" si="34"/>
        <v>16259</v>
      </c>
      <c r="AK354" s="34">
        <f>73165500000/AJ354</f>
        <v>4500000</v>
      </c>
      <c r="AL354" s="31">
        <f t="shared" si="35"/>
        <v>8872</v>
      </c>
      <c r="AM354" s="34">
        <f>54680600000/AL354</f>
        <v>6163277.727682597</v>
      </c>
      <c r="AN354" s="34">
        <v>4895840000</v>
      </c>
      <c r="AO354" s="34">
        <f t="shared" si="29"/>
        <v>132741940000</v>
      </c>
      <c r="AP354" s="30" t="s">
        <v>2941</v>
      </c>
      <c r="AQ354" s="30" t="s">
        <v>319</v>
      </c>
      <c r="AR354" s="30"/>
      <c r="AS354" s="30"/>
      <c r="AT354" s="30"/>
      <c r="AU354" s="30"/>
      <c r="AV354" s="35">
        <v>19000</v>
      </c>
      <c r="AW354" s="34">
        <v>4750000</v>
      </c>
      <c r="AX354" s="35"/>
      <c r="AY354" s="34"/>
      <c r="AZ354" s="34">
        <v>114000000000</v>
      </c>
      <c r="BA354" s="32">
        <f t="shared" si="36"/>
        <v>90250000000</v>
      </c>
      <c r="BB354" s="30" t="s">
        <v>2942</v>
      </c>
      <c r="BC354" s="30" t="s">
        <v>81</v>
      </c>
      <c r="BD354" s="30" t="s">
        <v>2943</v>
      </c>
      <c r="BE354" s="30" t="s">
        <v>319</v>
      </c>
      <c r="BF354" s="30"/>
      <c r="BG354" s="30"/>
      <c r="BH354" s="30"/>
      <c r="BI354" s="30"/>
      <c r="BJ354" s="36">
        <v>6608</v>
      </c>
      <c r="BK354" s="34">
        <v>5050000</v>
      </c>
      <c r="BL354" s="36"/>
      <c r="BM354" s="34"/>
      <c r="BN354" s="34">
        <v>37004800000</v>
      </c>
      <c r="BO354" s="32">
        <f t="shared" si="37"/>
        <v>33370400000</v>
      </c>
      <c r="BP354" s="30" t="s">
        <v>2944</v>
      </c>
      <c r="BQ354" s="30" t="s">
        <v>81</v>
      </c>
      <c r="BR354" s="30" t="s">
        <v>2941</v>
      </c>
      <c r="BS354" s="30" t="s">
        <v>319</v>
      </c>
      <c r="BT354" s="30"/>
      <c r="BU354" s="30"/>
      <c r="BV354" s="30"/>
      <c r="BW354" s="30"/>
      <c r="BX354" s="36">
        <v>7600</v>
      </c>
      <c r="BY354" s="34">
        <v>4900000</v>
      </c>
      <c r="BZ354" s="36"/>
      <c r="CA354" s="34"/>
      <c r="CB354" s="34">
        <v>41800000000</v>
      </c>
      <c r="CC354" s="32">
        <f t="shared" si="38"/>
        <v>37240000000</v>
      </c>
      <c r="CD354" s="30" t="s">
        <v>2945</v>
      </c>
      <c r="CE354" s="30" t="s">
        <v>81</v>
      </c>
      <c r="CF354" s="30" t="s">
        <v>379</v>
      </c>
      <c r="CG354" s="30"/>
      <c r="CH354" s="30"/>
      <c r="CI354" s="64"/>
      <c r="CJ354" s="64"/>
      <c r="CK354" s="64"/>
      <c r="CL354" s="64"/>
    </row>
    <row r="355" spans="2:90" ht="165" x14ac:dyDescent="0.25">
      <c r="B355" s="30" t="s">
        <v>2946</v>
      </c>
      <c r="C355" s="30" t="s">
        <v>2947</v>
      </c>
      <c r="D355" s="33">
        <v>45617</v>
      </c>
      <c r="E355" s="30" t="s">
        <v>2948</v>
      </c>
      <c r="F355" s="30" t="s">
        <v>93</v>
      </c>
      <c r="G355" s="30"/>
      <c r="H355" s="30" t="s">
        <v>2949</v>
      </c>
      <c r="I355" s="35">
        <v>11314</v>
      </c>
      <c r="J355" s="30" t="s">
        <v>70</v>
      </c>
      <c r="K355" s="35">
        <v>21327</v>
      </c>
      <c r="L355" s="35"/>
      <c r="M355" s="30" t="s">
        <v>397</v>
      </c>
      <c r="N355" s="30"/>
      <c r="O355" s="30"/>
      <c r="P355" s="30"/>
      <c r="Q355" s="30" t="s">
        <v>2950</v>
      </c>
      <c r="R355" s="30" t="s">
        <v>2951</v>
      </c>
      <c r="S355" s="30" t="s">
        <v>2952</v>
      </c>
      <c r="T355" s="30" t="s">
        <v>190</v>
      </c>
      <c r="U355" s="30" t="s">
        <v>107</v>
      </c>
      <c r="V355" s="30" t="s">
        <v>92</v>
      </c>
      <c r="W355" s="30" t="s">
        <v>72</v>
      </c>
      <c r="X355" s="30" t="s">
        <v>85</v>
      </c>
      <c r="Y355" s="30" t="s">
        <v>73</v>
      </c>
      <c r="Z355" s="33">
        <v>45588</v>
      </c>
      <c r="AA355" s="33">
        <v>45588</v>
      </c>
      <c r="AB355" s="30" t="s">
        <v>90</v>
      </c>
      <c r="AC355" s="30"/>
      <c r="AD355" s="30"/>
      <c r="AE355" s="30"/>
      <c r="AF355" s="30"/>
      <c r="AG355" s="30"/>
      <c r="AH355" s="30"/>
      <c r="AI355" s="30"/>
      <c r="AJ355" s="31">
        <f t="shared" si="34"/>
        <v>11314</v>
      </c>
      <c r="AK355" s="34">
        <f>179892600000/AJ355</f>
        <v>15900000</v>
      </c>
      <c r="AL355" s="31">
        <f t="shared" si="35"/>
        <v>21327</v>
      </c>
      <c r="AM355" s="34">
        <f>127852300000/AL355</f>
        <v>5994856.2854597457</v>
      </c>
      <c r="AN355" s="34">
        <v>5484362000</v>
      </c>
      <c r="AO355" s="34">
        <f t="shared" si="29"/>
        <v>313229262000</v>
      </c>
      <c r="AP355" s="30" t="s">
        <v>2953</v>
      </c>
      <c r="AQ355" s="30" t="s">
        <v>77</v>
      </c>
      <c r="AR355" s="30"/>
      <c r="AS355" s="30"/>
      <c r="AT355" s="30"/>
      <c r="AU355" s="30"/>
      <c r="AV355" s="35">
        <v>2618</v>
      </c>
      <c r="AW355" s="34">
        <v>16500000</v>
      </c>
      <c r="AX355" s="35"/>
      <c r="AY355" s="34"/>
      <c r="AZ355" s="34">
        <v>52360000000</v>
      </c>
      <c r="BA355" s="32">
        <f t="shared" si="36"/>
        <v>43197000000</v>
      </c>
      <c r="BB355" s="30" t="s">
        <v>2954</v>
      </c>
      <c r="BC355" s="30" t="s">
        <v>81</v>
      </c>
      <c r="BD355" s="30" t="s">
        <v>2955</v>
      </c>
      <c r="BE355" s="30" t="s">
        <v>77</v>
      </c>
      <c r="BF355" s="30"/>
      <c r="BG355" s="30"/>
      <c r="BH355" s="30"/>
      <c r="BI355" s="30"/>
      <c r="BJ355" s="36">
        <v>1590</v>
      </c>
      <c r="BK355" s="34">
        <v>16500000</v>
      </c>
      <c r="BL355" s="36"/>
      <c r="BM355" s="34"/>
      <c r="BN355" s="34">
        <v>31800000000</v>
      </c>
      <c r="BO355" s="32">
        <f t="shared" si="37"/>
        <v>26235000000</v>
      </c>
      <c r="BP355" s="30" t="s">
        <v>2954</v>
      </c>
      <c r="BQ355" s="30" t="s">
        <v>81</v>
      </c>
      <c r="BR355" s="30" t="s">
        <v>2956</v>
      </c>
      <c r="BS355" s="30" t="s">
        <v>77</v>
      </c>
      <c r="BT355" s="30"/>
      <c r="BU355" s="30"/>
      <c r="BV355" s="30"/>
      <c r="BW355" s="30"/>
      <c r="BX355" s="36">
        <v>6360</v>
      </c>
      <c r="BY355" s="34">
        <v>15500000</v>
      </c>
      <c r="BZ355" s="36"/>
      <c r="CA355" s="34"/>
      <c r="CB355" s="34">
        <v>108120000000</v>
      </c>
      <c r="CC355" s="32">
        <f t="shared" si="38"/>
        <v>98580000000</v>
      </c>
      <c r="CD355" s="30" t="s">
        <v>2957</v>
      </c>
      <c r="CE355" s="30" t="s">
        <v>81</v>
      </c>
      <c r="CF355" s="30" t="s">
        <v>2958</v>
      </c>
      <c r="CG355" s="30"/>
      <c r="CH355" s="30"/>
      <c r="CI355" s="64"/>
      <c r="CJ355" s="64"/>
      <c r="CK355" s="64"/>
      <c r="CL355" s="64"/>
    </row>
    <row r="356" spans="2:90" ht="45" x14ac:dyDescent="0.25">
      <c r="B356" s="54" t="s">
        <v>2959</v>
      </c>
      <c r="C356" s="54" t="s">
        <v>2960</v>
      </c>
      <c r="D356" s="67">
        <v>45621</v>
      </c>
      <c r="E356" s="54" t="s">
        <v>585</v>
      </c>
      <c r="F356" s="54" t="s">
        <v>200</v>
      </c>
      <c r="G356" s="30"/>
      <c r="H356" s="30" t="s">
        <v>2961</v>
      </c>
      <c r="I356" s="35"/>
      <c r="J356" s="30"/>
      <c r="K356" s="35"/>
      <c r="L356" s="35"/>
      <c r="M356" s="30"/>
      <c r="N356" s="30"/>
      <c r="O356" s="30"/>
      <c r="P356" s="30"/>
      <c r="Q356" s="54" t="s">
        <v>2962</v>
      </c>
      <c r="R356" s="30"/>
      <c r="S356" s="54" t="s">
        <v>2963</v>
      </c>
      <c r="T356" s="54" t="s">
        <v>2964</v>
      </c>
      <c r="U356" s="54" t="s">
        <v>2965</v>
      </c>
      <c r="V356" s="54" t="s">
        <v>126</v>
      </c>
      <c r="W356" s="54" t="s">
        <v>72</v>
      </c>
      <c r="X356" s="54" t="s">
        <v>85</v>
      </c>
      <c r="Y356" s="54" t="s">
        <v>73</v>
      </c>
      <c r="Z356" s="33">
        <v>45604</v>
      </c>
      <c r="AA356" s="67">
        <v>45605</v>
      </c>
      <c r="AB356" s="54" t="s">
        <v>90</v>
      </c>
      <c r="AC356" s="30"/>
      <c r="AD356" s="30">
        <v>2011</v>
      </c>
      <c r="AE356" s="30" t="s">
        <v>2966</v>
      </c>
      <c r="AF356" s="30" t="s">
        <v>2967</v>
      </c>
      <c r="AG356" s="30">
        <v>1980994</v>
      </c>
      <c r="AH356" s="30"/>
      <c r="AI356" s="30"/>
      <c r="AJ356" s="31">
        <f t="shared" si="34"/>
        <v>0</v>
      </c>
      <c r="AK356" s="34"/>
      <c r="AL356" s="31">
        <f t="shared" si="35"/>
        <v>0</v>
      </c>
      <c r="AM356" s="34"/>
      <c r="AN356" s="34"/>
      <c r="AO356" s="34">
        <v>29911190000</v>
      </c>
      <c r="AP356" s="54" t="s">
        <v>2968</v>
      </c>
      <c r="AQ356" s="54" t="s">
        <v>2969</v>
      </c>
      <c r="AR356" s="54">
        <v>92</v>
      </c>
      <c r="AS356" s="54" t="s">
        <v>1510</v>
      </c>
      <c r="AT356" s="30"/>
      <c r="AU356" s="54">
        <v>2013</v>
      </c>
      <c r="AV356" s="35"/>
      <c r="AW356" s="34"/>
      <c r="AX356" s="35"/>
      <c r="AY356" s="34"/>
      <c r="AZ356" s="101">
        <v>2600000</v>
      </c>
      <c r="BA356" s="102">
        <f>AZ356-300000</f>
        <v>2300000</v>
      </c>
      <c r="BB356" s="30"/>
      <c r="BC356" s="30"/>
      <c r="BD356" s="54" t="s">
        <v>1506</v>
      </c>
      <c r="BE356" s="54" t="s">
        <v>2969</v>
      </c>
      <c r="BF356" s="54">
        <v>90</v>
      </c>
      <c r="BG356" s="54" t="s">
        <v>1508</v>
      </c>
      <c r="BH356" s="30"/>
      <c r="BI356" s="54">
        <v>2007</v>
      </c>
      <c r="BJ356" s="36"/>
      <c r="BK356" s="34"/>
      <c r="BL356" s="36"/>
      <c r="BM356" s="34"/>
      <c r="BN356" s="101">
        <v>1900000</v>
      </c>
      <c r="BO356" s="102">
        <f>BN356-150000</f>
        <v>1750000</v>
      </c>
      <c r="BP356" s="30"/>
      <c r="BQ356" s="30"/>
      <c r="BR356" s="54" t="s">
        <v>1509</v>
      </c>
      <c r="BS356" s="54" t="s">
        <v>2969</v>
      </c>
      <c r="BT356" s="54">
        <v>210</v>
      </c>
      <c r="BU356" s="54" t="s">
        <v>1510</v>
      </c>
      <c r="BV356" s="30"/>
      <c r="BW356" s="54">
        <v>2007</v>
      </c>
      <c r="BX356" s="36"/>
      <c r="BY356" s="34"/>
      <c r="BZ356" s="36"/>
      <c r="CA356" s="34"/>
      <c r="CB356" s="101">
        <v>1800000</v>
      </c>
      <c r="CC356" s="102">
        <f>CB356-100000</f>
        <v>1700000</v>
      </c>
      <c r="CD356" s="30"/>
      <c r="CE356" s="30"/>
      <c r="CF356" s="54" t="s">
        <v>1154</v>
      </c>
      <c r="CG356" s="30"/>
      <c r="CH356" s="30"/>
      <c r="CI356" s="64"/>
      <c r="CJ356" s="64"/>
      <c r="CK356" s="64"/>
      <c r="CL356" s="64"/>
    </row>
    <row r="357" spans="2:90" ht="60" x14ac:dyDescent="0.25">
      <c r="B357" s="57"/>
      <c r="C357" s="57"/>
      <c r="D357" s="68"/>
      <c r="E357" s="57"/>
      <c r="F357" s="57"/>
      <c r="G357" s="30"/>
      <c r="H357" s="30" t="s">
        <v>2970</v>
      </c>
      <c r="I357" s="35"/>
      <c r="J357" s="30"/>
      <c r="K357" s="35"/>
      <c r="L357" s="35"/>
      <c r="M357" s="30"/>
      <c r="N357" s="30"/>
      <c r="O357" s="30"/>
      <c r="P357" s="30"/>
      <c r="Q357" s="58"/>
      <c r="R357" s="30"/>
      <c r="S357" s="58"/>
      <c r="T357" s="58"/>
      <c r="U357" s="58"/>
      <c r="V357" s="58"/>
      <c r="W357" s="57"/>
      <c r="X357" s="57"/>
      <c r="Y357" s="57"/>
      <c r="Z357" s="33">
        <v>45605</v>
      </c>
      <c r="AA357" s="68"/>
      <c r="AB357" s="57"/>
      <c r="AC357" s="30"/>
      <c r="AD357" s="30">
        <v>2014</v>
      </c>
      <c r="AE357" s="30" t="s">
        <v>2966</v>
      </c>
      <c r="AF357" s="30" t="s">
        <v>2971</v>
      </c>
      <c r="AG357" s="30">
        <v>5646893</v>
      </c>
      <c r="AH357" s="30"/>
      <c r="AI357" s="30"/>
      <c r="AJ357" s="31">
        <f t="shared" si="34"/>
        <v>0</v>
      </c>
      <c r="AK357" s="34"/>
      <c r="AL357" s="31">
        <f t="shared" si="35"/>
        <v>0</v>
      </c>
      <c r="AM357" s="34"/>
      <c r="AN357" s="34"/>
      <c r="AO357" s="34">
        <v>11306456000</v>
      </c>
      <c r="AP357" s="58"/>
      <c r="AQ357" s="58"/>
      <c r="AR357" s="58"/>
      <c r="AS357" s="58"/>
      <c r="AT357" s="30"/>
      <c r="AU357" s="58"/>
      <c r="AV357" s="35"/>
      <c r="AW357" s="34"/>
      <c r="AX357" s="35"/>
      <c r="AY357" s="34"/>
      <c r="AZ357" s="103"/>
      <c r="BA357" s="104"/>
      <c r="BB357" s="30"/>
      <c r="BC357" s="30"/>
      <c r="BD357" s="58"/>
      <c r="BE357" s="58"/>
      <c r="BF357" s="58"/>
      <c r="BG357" s="58"/>
      <c r="BH357" s="30"/>
      <c r="BI357" s="58"/>
      <c r="BJ357" s="36"/>
      <c r="BK357" s="34"/>
      <c r="BL357" s="36"/>
      <c r="BM357" s="34"/>
      <c r="BN357" s="103"/>
      <c r="BO357" s="104"/>
      <c r="BP357" s="30"/>
      <c r="BQ357" s="30"/>
      <c r="BR357" s="58"/>
      <c r="BS357" s="58"/>
      <c r="BT357" s="58"/>
      <c r="BU357" s="58"/>
      <c r="BV357" s="30"/>
      <c r="BW357" s="58"/>
      <c r="BX357" s="36"/>
      <c r="BY357" s="34"/>
      <c r="BZ357" s="36"/>
      <c r="CA357" s="34"/>
      <c r="CB357" s="103"/>
      <c r="CC357" s="104"/>
      <c r="CD357" s="30"/>
      <c r="CE357" s="30"/>
      <c r="CF357" s="58"/>
      <c r="CG357" s="30"/>
      <c r="CH357" s="30"/>
      <c r="CI357" s="64"/>
      <c r="CJ357" s="64"/>
      <c r="CK357" s="64"/>
      <c r="CL357" s="64"/>
    </row>
    <row r="358" spans="2:90" ht="135" x14ac:dyDescent="0.25">
      <c r="B358" s="58"/>
      <c r="C358" s="58"/>
      <c r="D358" s="69"/>
      <c r="E358" s="58"/>
      <c r="F358" s="58"/>
      <c r="G358" s="30"/>
      <c r="H358" s="30" t="s">
        <v>234</v>
      </c>
      <c r="I358" s="35">
        <v>713.33</v>
      </c>
      <c r="J358" s="30" t="s">
        <v>70</v>
      </c>
      <c r="K358" s="35"/>
      <c r="L358" s="35"/>
      <c r="M358" s="30"/>
      <c r="N358" s="30"/>
      <c r="O358" s="30"/>
      <c r="P358" s="30"/>
      <c r="Q358" s="30" t="s">
        <v>2972</v>
      </c>
      <c r="R358" s="30" t="s">
        <v>2973</v>
      </c>
      <c r="S358" s="30" t="s">
        <v>161</v>
      </c>
      <c r="T358" s="30" t="s">
        <v>117</v>
      </c>
      <c r="U358" s="30" t="s">
        <v>116</v>
      </c>
      <c r="V358" s="30" t="s">
        <v>84</v>
      </c>
      <c r="W358" s="58"/>
      <c r="X358" s="58"/>
      <c r="Y358" s="58"/>
      <c r="Z358" s="33">
        <v>45595</v>
      </c>
      <c r="AA358" s="69"/>
      <c r="AB358" s="58"/>
      <c r="AC358" s="30"/>
      <c r="AD358" s="30"/>
      <c r="AE358" s="30"/>
      <c r="AF358" s="30"/>
      <c r="AG358" s="30"/>
      <c r="AH358" s="30"/>
      <c r="AI358" s="30"/>
      <c r="AJ358" s="31">
        <f t="shared" si="34"/>
        <v>713.33</v>
      </c>
      <c r="AK358" s="34">
        <f>47597584474/AJ358</f>
        <v>66725897.514474362</v>
      </c>
      <c r="AL358" s="31">
        <f t="shared" si="35"/>
        <v>0</v>
      </c>
      <c r="AM358" s="34"/>
      <c r="AN358" s="34"/>
      <c r="AO358" s="34">
        <f>(AJ358*AK358)+(AL358*AM358)+AN358</f>
        <v>47597584474</v>
      </c>
      <c r="AP358" s="30" t="s">
        <v>2974</v>
      </c>
      <c r="AQ358" s="30" t="s">
        <v>234</v>
      </c>
      <c r="AR358" s="30"/>
      <c r="AS358" s="30"/>
      <c r="AT358" s="30"/>
      <c r="AU358" s="30"/>
      <c r="AV358" s="35">
        <v>808</v>
      </c>
      <c r="AW358" s="34">
        <v>65576204</v>
      </c>
      <c r="AX358" s="35">
        <v>808</v>
      </c>
      <c r="AY358" s="34"/>
      <c r="AZ358" s="34">
        <v>60616500000</v>
      </c>
      <c r="BA358" s="32">
        <f t="shared" si="36"/>
        <v>52985572832</v>
      </c>
      <c r="BB358" s="30" t="s">
        <v>2975</v>
      </c>
      <c r="BC358" s="30" t="s">
        <v>81</v>
      </c>
      <c r="BD358" s="30" t="s">
        <v>2974</v>
      </c>
      <c r="BE358" s="30" t="s">
        <v>234</v>
      </c>
      <c r="BF358" s="30"/>
      <c r="BG358" s="30"/>
      <c r="BH358" s="30"/>
      <c r="BI358" s="30"/>
      <c r="BJ358" s="36">
        <v>1427</v>
      </c>
      <c r="BK358" s="34">
        <v>56762439</v>
      </c>
      <c r="BL358" s="36"/>
      <c r="BM358" s="34"/>
      <c r="BN358" s="34">
        <v>90000000000</v>
      </c>
      <c r="BO358" s="32">
        <f t="shared" si="37"/>
        <v>81000000453</v>
      </c>
      <c r="BP358" s="30" t="s">
        <v>2976</v>
      </c>
      <c r="BQ358" s="30" t="s">
        <v>81</v>
      </c>
      <c r="BR358" s="30" t="s">
        <v>2977</v>
      </c>
      <c r="BS358" s="30" t="s">
        <v>234</v>
      </c>
      <c r="BT358" s="30"/>
      <c r="BU358" s="30"/>
      <c r="BV358" s="30"/>
      <c r="BW358" s="30"/>
      <c r="BX358" s="36">
        <v>829</v>
      </c>
      <c r="BY358" s="34">
        <v>64562843</v>
      </c>
      <c r="BZ358" s="36"/>
      <c r="CA358" s="34"/>
      <c r="CB358" s="34">
        <v>57500000000</v>
      </c>
      <c r="CC358" s="32">
        <f t="shared" si="38"/>
        <v>53522596847</v>
      </c>
      <c r="CD358" s="30" t="s">
        <v>2978</v>
      </c>
      <c r="CE358" s="30" t="s">
        <v>81</v>
      </c>
      <c r="CF358" s="30" t="s">
        <v>2979</v>
      </c>
      <c r="CG358" s="30"/>
      <c r="CH358" s="30"/>
      <c r="CI358" s="64"/>
      <c r="CJ358" s="64"/>
      <c r="CK358" s="64"/>
      <c r="CL358" s="64"/>
    </row>
    <row r="359" spans="2:90" ht="60" x14ac:dyDescent="0.25">
      <c r="B359" s="54" t="s">
        <v>2980</v>
      </c>
      <c r="C359" s="54" t="s">
        <v>2981</v>
      </c>
      <c r="D359" s="67">
        <v>45624</v>
      </c>
      <c r="E359" s="54" t="s">
        <v>2908</v>
      </c>
      <c r="F359" s="54" t="s">
        <v>2908</v>
      </c>
      <c r="G359" s="30"/>
      <c r="H359" s="30" t="s">
        <v>211</v>
      </c>
      <c r="I359" s="35">
        <v>2200</v>
      </c>
      <c r="J359" s="30" t="s">
        <v>70</v>
      </c>
      <c r="K359" s="35">
        <v>272</v>
      </c>
      <c r="L359" s="35"/>
      <c r="M359" s="30"/>
      <c r="N359" s="30"/>
      <c r="O359" s="30"/>
      <c r="P359" s="30"/>
      <c r="Q359" s="54" t="s">
        <v>2982</v>
      </c>
      <c r="R359" s="30" t="s">
        <v>2983</v>
      </c>
      <c r="S359" s="54" t="s">
        <v>2984</v>
      </c>
      <c r="T359" s="54" t="s">
        <v>2985</v>
      </c>
      <c r="U359" s="54" t="s">
        <v>129</v>
      </c>
      <c r="V359" s="54" t="s">
        <v>92</v>
      </c>
      <c r="W359" s="54" t="s">
        <v>72</v>
      </c>
      <c r="X359" s="54" t="s">
        <v>131</v>
      </c>
      <c r="Y359" s="54" t="s">
        <v>73</v>
      </c>
      <c r="Z359" s="67">
        <v>45569</v>
      </c>
      <c r="AA359" s="67">
        <v>45569</v>
      </c>
      <c r="AB359" s="54" t="s">
        <v>90</v>
      </c>
      <c r="AC359" s="30"/>
      <c r="AD359" s="30"/>
      <c r="AE359" s="30"/>
      <c r="AF359" s="30"/>
      <c r="AG359" s="30"/>
      <c r="AH359" s="30"/>
      <c r="AI359" s="30"/>
      <c r="AJ359" s="31">
        <f t="shared" si="34"/>
        <v>2200</v>
      </c>
      <c r="AK359" s="34">
        <f>28160000000/AJ359</f>
        <v>12800000</v>
      </c>
      <c r="AL359" s="31">
        <f t="shared" si="35"/>
        <v>272</v>
      </c>
      <c r="AM359" s="34">
        <f>1207600000/AL359</f>
        <v>4439705.8823529407</v>
      </c>
      <c r="AN359" s="34"/>
      <c r="AO359" s="34">
        <f t="shared" ref="AO359:AO382" si="43">(AJ359*AK359)+(AL359*AM359)+AN359</f>
        <v>29367600000</v>
      </c>
      <c r="AP359" s="54" t="s">
        <v>2986</v>
      </c>
      <c r="AQ359" s="54" t="s">
        <v>77</v>
      </c>
      <c r="AR359" s="30"/>
      <c r="AS359" s="30"/>
      <c r="AT359" s="30"/>
      <c r="AU359" s="30"/>
      <c r="AV359" s="86">
        <v>9525</v>
      </c>
      <c r="AW359" s="51">
        <v>11500000</v>
      </c>
      <c r="AX359" s="35"/>
      <c r="AY359" s="34"/>
      <c r="AZ359" s="51">
        <v>133350000000</v>
      </c>
      <c r="BA359" s="87">
        <f t="shared" si="36"/>
        <v>109537500000</v>
      </c>
      <c r="BB359" s="54" t="s">
        <v>2987</v>
      </c>
      <c r="BC359" s="54" t="s">
        <v>81</v>
      </c>
      <c r="BD359" s="54" t="s">
        <v>2988</v>
      </c>
      <c r="BE359" s="54" t="s">
        <v>77</v>
      </c>
      <c r="BF359" s="30"/>
      <c r="BG359" s="30"/>
      <c r="BH359" s="30"/>
      <c r="BI359" s="30"/>
      <c r="BJ359" s="88">
        <v>5145</v>
      </c>
      <c r="BK359" s="51">
        <v>12500000</v>
      </c>
      <c r="BL359" s="36"/>
      <c r="BM359" s="34"/>
      <c r="BN359" s="51">
        <v>82320000000</v>
      </c>
      <c r="BO359" s="87">
        <f t="shared" si="37"/>
        <v>64312500000</v>
      </c>
      <c r="BP359" s="54" t="s">
        <v>2989</v>
      </c>
      <c r="BQ359" s="54" t="s">
        <v>81</v>
      </c>
      <c r="BR359" s="54" t="s">
        <v>2990</v>
      </c>
      <c r="BS359" s="54" t="s">
        <v>77</v>
      </c>
      <c r="BT359" s="30"/>
      <c r="BU359" s="30"/>
      <c r="BV359" s="30"/>
      <c r="BW359" s="30"/>
      <c r="BX359" s="88">
        <v>7166</v>
      </c>
      <c r="BY359" s="51">
        <v>12500000</v>
      </c>
      <c r="BZ359" s="36"/>
      <c r="CA359" s="34"/>
      <c r="CB359" s="51">
        <v>114656000000</v>
      </c>
      <c r="CC359" s="87">
        <f t="shared" si="38"/>
        <v>89575000000</v>
      </c>
      <c r="CD359" s="54" t="s">
        <v>2991</v>
      </c>
      <c r="CE359" s="54" t="s">
        <v>81</v>
      </c>
      <c r="CF359" s="54" t="s">
        <v>225</v>
      </c>
      <c r="CG359" s="30"/>
      <c r="CH359" s="30"/>
      <c r="CI359" s="64"/>
      <c r="CJ359" s="64"/>
      <c r="CK359" s="64"/>
      <c r="CL359" s="64"/>
    </row>
    <row r="360" spans="2:90" ht="45" x14ac:dyDescent="0.25">
      <c r="B360" s="58"/>
      <c r="C360" s="58"/>
      <c r="D360" s="69"/>
      <c r="E360" s="58"/>
      <c r="F360" s="58"/>
      <c r="G360" s="30"/>
      <c r="H360" s="30" t="s">
        <v>77</v>
      </c>
      <c r="I360" s="35">
        <v>4208</v>
      </c>
      <c r="J360" s="30" t="s">
        <v>70</v>
      </c>
      <c r="K360" s="35"/>
      <c r="L360" s="35"/>
      <c r="M360" s="30"/>
      <c r="N360" s="30"/>
      <c r="O360" s="30"/>
      <c r="P360" s="30"/>
      <c r="Q360" s="58"/>
      <c r="R360" s="30" t="s">
        <v>2992</v>
      </c>
      <c r="S360" s="58"/>
      <c r="T360" s="58"/>
      <c r="U360" s="58"/>
      <c r="V360" s="58"/>
      <c r="W360" s="58"/>
      <c r="X360" s="58"/>
      <c r="Y360" s="58"/>
      <c r="Z360" s="69"/>
      <c r="AA360" s="69"/>
      <c r="AB360" s="58"/>
      <c r="AC360" s="30"/>
      <c r="AD360" s="30"/>
      <c r="AE360" s="30"/>
      <c r="AF360" s="30"/>
      <c r="AG360" s="30"/>
      <c r="AH360" s="30"/>
      <c r="AI360" s="30"/>
      <c r="AJ360" s="31">
        <f t="shared" si="34"/>
        <v>4208</v>
      </c>
      <c r="AK360" s="34">
        <f>46288000000/AJ360</f>
        <v>11000000</v>
      </c>
      <c r="AL360" s="31">
        <f t="shared" si="35"/>
        <v>0</v>
      </c>
      <c r="AM360" s="34"/>
      <c r="AN360" s="34"/>
      <c r="AO360" s="34">
        <f t="shared" si="43"/>
        <v>46288000000</v>
      </c>
      <c r="AP360" s="58"/>
      <c r="AQ360" s="58"/>
      <c r="AR360" s="30"/>
      <c r="AS360" s="30"/>
      <c r="AT360" s="30"/>
      <c r="AU360" s="30"/>
      <c r="AV360" s="89"/>
      <c r="AW360" s="53"/>
      <c r="AX360" s="35"/>
      <c r="AY360" s="34"/>
      <c r="AZ360" s="53"/>
      <c r="BA360" s="90"/>
      <c r="BB360" s="58"/>
      <c r="BC360" s="58"/>
      <c r="BD360" s="58"/>
      <c r="BE360" s="58"/>
      <c r="BF360" s="30"/>
      <c r="BG360" s="30"/>
      <c r="BH360" s="30"/>
      <c r="BI360" s="30"/>
      <c r="BJ360" s="91"/>
      <c r="BK360" s="53"/>
      <c r="BL360" s="36"/>
      <c r="BM360" s="34"/>
      <c r="BN360" s="53"/>
      <c r="BO360" s="90"/>
      <c r="BP360" s="58"/>
      <c r="BQ360" s="58"/>
      <c r="BR360" s="58"/>
      <c r="BS360" s="58"/>
      <c r="BT360" s="30"/>
      <c r="BU360" s="30"/>
      <c r="BV360" s="30"/>
      <c r="BW360" s="30"/>
      <c r="BX360" s="91"/>
      <c r="BY360" s="53"/>
      <c r="BZ360" s="36"/>
      <c r="CA360" s="34"/>
      <c r="CB360" s="53"/>
      <c r="CC360" s="90"/>
      <c r="CD360" s="58"/>
      <c r="CE360" s="58"/>
      <c r="CF360" s="58"/>
      <c r="CG360" s="30"/>
      <c r="CH360" s="30"/>
      <c r="CI360" s="64"/>
      <c r="CJ360" s="64"/>
      <c r="CK360" s="64"/>
      <c r="CL360" s="64"/>
    </row>
    <row r="361" spans="2:90" ht="165" x14ac:dyDescent="0.25">
      <c r="B361" s="30" t="s">
        <v>2993</v>
      </c>
      <c r="C361" s="30" t="s">
        <v>2994</v>
      </c>
      <c r="D361" s="33">
        <v>45625</v>
      </c>
      <c r="E361" s="30" t="s">
        <v>2948</v>
      </c>
      <c r="F361" s="30" t="s">
        <v>2948</v>
      </c>
      <c r="G361" s="30"/>
      <c r="H361" s="30" t="s">
        <v>77</v>
      </c>
      <c r="I361" s="35">
        <v>1323</v>
      </c>
      <c r="J361" s="30" t="s">
        <v>70</v>
      </c>
      <c r="K361" s="35"/>
      <c r="L361" s="35"/>
      <c r="M361" s="30"/>
      <c r="N361" s="30"/>
      <c r="O361" s="30"/>
      <c r="P361" s="30"/>
      <c r="Q361" s="30"/>
      <c r="R361" s="30" t="s">
        <v>2995</v>
      </c>
      <c r="S361" s="30" t="s">
        <v>2952</v>
      </c>
      <c r="T361" s="30" t="s">
        <v>190</v>
      </c>
      <c r="U361" s="30" t="s">
        <v>107</v>
      </c>
      <c r="V361" s="30" t="s">
        <v>92</v>
      </c>
      <c r="W361" s="30" t="s">
        <v>72</v>
      </c>
      <c r="X361" s="30" t="s">
        <v>131</v>
      </c>
      <c r="Y361" s="30" t="s">
        <v>73</v>
      </c>
      <c r="Z361" s="33">
        <v>45588</v>
      </c>
      <c r="AA361" s="33">
        <v>45588</v>
      </c>
      <c r="AB361" s="30" t="s">
        <v>90</v>
      </c>
      <c r="AC361" s="30"/>
      <c r="AD361" s="30"/>
      <c r="AE361" s="30"/>
      <c r="AF361" s="30"/>
      <c r="AG361" s="30"/>
      <c r="AH361" s="30"/>
      <c r="AI361" s="30"/>
      <c r="AJ361" s="31">
        <f t="shared" si="34"/>
        <v>1323</v>
      </c>
      <c r="AK361" s="34">
        <f>22491000000/AJ361</f>
        <v>17000000</v>
      </c>
      <c r="AL361" s="31">
        <f t="shared" si="35"/>
        <v>0</v>
      </c>
      <c r="AM361" s="34"/>
      <c r="AN361" s="34"/>
      <c r="AO361" s="34">
        <f t="shared" si="43"/>
        <v>22491000000</v>
      </c>
      <c r="AP361" s="30" t="s">
        <v>2953</v>
      </c>
      <c r="AQ361" s="30" t="s">
        <v>77</v>
      </c>
      <c r="AR361" s="30"/>
      <c r="AS361" s="30"/>
      <c r="AT361" s="30"/>
      <c r="AU361" s="30"/>
      <c r="AV361" s="35">
        <v>2618</v>
      </c>
      <c r="AW361" s="34">
        <v>16500000</v>
      </c>
      <c r="AX361" s="35"/>
      <c r="AY361" s="34"/>
      <c r="AZ361" s="34">
        <v>52360000000</v>
      </c>
      <c r="BA361" s="32">
        <f t="shared" si="36"/>
        <v>43197000000</v>
      </c>
      <c r="BB361" s="30" t="s">
        <v>2954</v>
      </c>
      <c r="BC361" s="30" t="s">
        <v>81</v>
      </c>
      <c r="BD361" s="30" t="s">
        <v>2955</v>
      </c>
      <c r="BE361" s="30" t="s">
        <v>77</v>
      </c>
      <c r="BF361" s="30"/>
      <c r="BG361" s="30"/>
      <c r="BH361" s="30"/>
      <c r="BI361" s="30"/>
      <c r="BJ361" s="36">
        <v>1590</v>
      </c>
      <c r="BK361" s="34">
        <v>16500000</v>
      </c>
      <c r="BL361" s="36"/>
      <c r="BM361" s="34"/>
      <c r="BN361" s="34">
        <v>31800000000</v>
      </c>
      <c r="BO361" s="32">
        <f t="shared" si="37"/>
        <v>26235000000</v>
      </c>
      <c r="BP361" s="30" t="s">
        <v>2954</v>
      </c>
      <c r="BQ361" s="30" t="s">
        <v>81</v>
      </c>
      <c r="BR361" s="30" t="s">
        <v>2956</v>
      </c>
      <c r="BS361" s="30" t="s">
        <v>77</v>
      </c>
      <c r="BT361" s="30"/>
      <c r="BU361" s="30"/>
      <c r="BV361" s="30"/>
      <c r="BW361" s="30"/>
      <c r="BX361" s="36">
        <v>6300</v>
      </c>
      <c r="BY361" s="34">
        <v>15500000</v>
      </c>
      <c r="BZ361" s="36"/>
      <c r="CA361" s="34"/>
      <c r="CB361" s="34">
        <v>108120000000</v>
      </c>
      <c r="CC361" s="32">
        <f t="shared" si="38"/>
        <v>97650000000</v>
      </c>
      <c r="CD361" s="30" t="s">
        <v>2957</v>
      </c>
      <c r="CE361" s="30" t="s">
        <v>81</v>
      </c>
      <c r="CF361" s="30" t="s">
        <v>2979</v>
      </c>
      <c r="CG361" s="30"/>
      <c r="CH361" s="30"/>
      <c r="CI361" s="64"/>
      <c r="CJ361" s="64"/>
      <c r="CK361" s="64"/>
      <c r="CL361" s="64"/>
    </row>
    <row r="362" spans="2:90" ht="135" x14ac:dyDescent="0.25">
      <c r="B362" s="30" t="s">
        <v>2996</v>
      </c>
      <c r="C362" s="30" t="s">
        <v>2997</v>
      </c>
      <c r="D362" s="33">
        <v>45625</v>
      </c>
      <c r="E362" s="30" t="s">
        <v>2998</v>
      </c>
      <c r="F362" s="30" t="s">
        <v>93</v>
      </c>
      <c r="G362" s="30"/>
      <c r="H362" s="30" t="s">
        <v>2999</v>
      </c>
      <c r="I362" s="35">
        <v>7166</v>
      </c>
      <c r="J362" s="30" t="s">
        <v>70</v>
      </c>
      <c r="K362" s="35">
        <v>9147</v>
      </c>
      <c r="L362" s="35"/>
      <c r="M362" s="30" t="s">
        <v>397</v>
      </c>
      <c r="N362" s="30"/>
      <c r="O362" s="30"/>
      <c r="P362" s="30"/>
      <c r="Q362" s="30"/>
      <c r="R362" s="30" t="s">
        <v>3000</v>
      </c>
      <c r="S362" s="30" t="s">
        <v>3001</v>
      </c>
      <c r="T362" s="30" t="s">
        <v>3002</v>
      </c>
      <c r="U362" s="30" t="s">
        <v>1386</v>
      </c>
      <c r="V362" s="30" t="s">
        <v>71</v>
      </c>
      <c r="W362" s="30" t="s">
        <v>72</v>
      </c>
      <c r="X362" s="30" t="s">
        <v>85</v>
      </c>
      <c r="Y362" s="30" t="s">
        <v>73</v>
      </c>
      <c r="Z362" s="33">
        <v>45601</v>
      </c>
      <c r="AA362" s="33">
        <v>45601</v>
      </c>
      <c r="AB362" s="30" t="s">
        <v>90</v>
      </c>
      <c r="AC362" s="30"/>
      <c r="AD362" s="30"/>
      <c r="AE362" s="30"/>
      <c r="AF362" s="30"/>
      <c r="AG362" s="30"/>
      <c r="AH362" s="30"/>
      <c r="AI362" s="30"/>
      <c r="AJ362" s="31">
        <f t="shared" si="34"/>
        <v>7166</v>
      </c>
      <c r="AK362" s="34">
        <f>30813800000/AJ362</f>
        <v>4300000</v>
      </c>
      <c r="AL362" s="31">
        <f t="shared" si="35"/>
        <v>9147</v>
      </c>
      <c r="AM362" s="34">
        <f>46626900000/AL362</f>
        <v>5097507.3794686785</v>
      </c>
      <c r="AN362" s="34">
        <v>3172140000</v>
      </c>
      <c r="AO362" s="34">
        <f t="shared" si="43"/>
        <v>80612840000</v>
      </c>
      <c r="AP362" s="30" t="s">
        <v>3003</v>
      </c>
      <c r="AQ362" s="30" t="s">
        <v>97</v>
      </c>
      <c r="AR362" s="30"/>
      <c r="AS362" s="30"/>
      <c r="AT362" s="30"/>
      <c r="AU362" s="30"/>
      <c r="AV362" s="35">
        <v>600</v>
      </c>
      <c r="AW362" s="34">
        <v>4836000</v>
      </c>
      <c r="AX362" s="35">
        <v>128</v>
      </c>
      <c r="AY362" s="34">
        <v>1550000</v>
      </c>
      <c r="AZ362" s="34">
        <v>3500000000</v>
      </c>
      <c r="BA362" s="32">
        <f t="shared" si="36"/>
        <v>3100000000</v>
      </c>
      <c r="BB362" s="30" t="s">
        <v>3004</v>
      </c>
      <c r="BC362" s="30" t="s">
        <v>81</v>
      </c>
      <c r="BD362" s="30" t="s">
        <v>3003</v>
      </c>
      <c r="BE362" s="30" t="s">
        <v>97</v>
      </c>
      <c r="BF362" s="30"/>
      <c r="BG362" s="30"/>
      <c r="BH362" s="30"/>
      <c r="BI362" s="30"/>
      <c r="BJ362" s="36">
        <v>1027</v>
      </c>
      <c r="BK362" s="34">
        <v>5413846</v>
      </c>
      <c r="BL362" s="36">
        <v>720</v>
      </c>
      <c r="BM362" s="34">
        <v>2277750</v>
      </c>
      <c r="BN362" s="34">
        <v>9000000000</v>
      </c>
      <c r="BO362" s="32">
        <f t="shared" si="37"/>
        <v>7199999842</v>
      </c>
      <c r="BP362" s="30" t="s">
        <v>3005</v>
      </c>
      <c r="BQ362" s="30" t="s">
        <v>81</v>
      </c>
      <c r="BR362" s="30" t="s">
        <v>3006</v>
      </c>
      <c r="BS362" s="30" t="s">
        <v>97</v>
      </c>
      <c r="BT362" s="30"/>
      <c r="BU362" s="30"/>
      <c r="BV362" s="30"/>
      <c r="BW362" s="30"/>
      <c r="BX362" s="36">
        <v>2000</v>
      </c>
      <c r="BY362" s="34">
        <v>4052920</v>
      </c>
      <c r="BZ362" s="36">
        <v>780</v>
      </c>
      <c r="CA362" s="34">
        <v>2172000</v>
      </c>
      <c r="CB362" s="34">
        <v>11000000000</v>
      </c>
      <c r="CC362" s="32">
        <f t="shared" si="38"/>
        <v>9800000000</v>
      </c>
      <c r="CD362" s="30" t="s">
        <v>3007</v>
      </c>
      <c r="CE362" s="30" t="s">
        <v>81</v>
      </c>
      <c r="CF362" s="30" t="s">
        <v>597</v>
      </c>
      <c r="CG362" s="30"/>
      <c r="CH362" s="30"/>
      <c r="CI362" s="64"/>
      <c r="CJ362" s="64"/>
      <c r="CK362" s="64"/>
      <c r="CL362" s="64"/>
    </row>
    <row r="363" spans="2:90" ht="135" x14ac:dyDescent="0.25">
      <c r="B363" s="30" t="s">
        <v>3008</v>
      </c>
      <c r="C363" s="30" t="s">
        <v>3009</v>
      </c>
      <c r="D363" s="33">
        <v>45625</v>
      </c>
      <c r="E363" s="30" t="s">
        <v>2908</v>
      </c>
      <c r="F363" s="30" t="s">
        <v>2908</v>
      </c>
      <c r="G363" s="30"/>
      <c r="H363" s="30" t="s">
        <v>3010</v>
      </c>
      <c r="I363" s="35">
        <v>6094</v>
      </c>
      <c r="J363" s="30" t="s">
        <v>70</v>
      </c>
      <c r="K363" s="35">
        <v>6896</v>
      </c>
      <c r="L363" s="35"/>
      <c r="M363" s="30" t="s">
        <v>397</v>
      </c>
      <c r="N363" s="30"/>
      <c r="O363" s="30"/>
      <c r="P363" s="30"/>
      <c r="Q363" s="30"/>
      <c r="R363" s="30" t="s">
        <v>3011</v>
      </c>
      <c r="S363" s="30" t="s">
        <v>3012</v>
      </c>
      <c r="T363" s="30" t="s">
        <v>3013</v>
      </c>
      <c r="U363" s="30" t="s">
        <v>1459</v>
      </c>
      <c r="V363" s="30" t="s">
        <v>92</v>
      </c>
      <c r="W363" s="30" t="s">
        <v>72</v>
      </c>
      <c r="X363" s="30" t="s">
        <v>131</v>
      </c>
      <c r="Y363" s="30" t="s">
        <v>73</v>
      </c>
      <c r="Z363" s="33">
        <v>45601</v>
      </c>
      <c r="AA363" s="33">
        <v>45601</v>
      </c>
      <c r="AB363" s="30" t="s">
        <v>90</v>
      </c>
      <c r="AC363" s="30"/>
      <c r="AD363" s="30"/>
      <c r="AE363" s="30"/>
      <c r="AF363" s="30"/>
      <c r="AG363" s="30"/>
      <c r="AH363" s="30"/>
      <c r="AI363" s="30"/>
      <c r="AJ363" s="31">
        <f t="shared" si="34"/>
        <v>6094</v>
      </c>
      <c r="AK363" s="34">
        <f>17367900000/AJ363</f>
        <v>2850000</v>
      </c>
      <c r="AL363" s="31">
        <f t="shared" si="35"/>
        <v>6896</v>
      </c>
      <c r="AM363" s="34">
        <f>42287900000/AL363</f>
        <v>6132236.0788863106</v>
      </c>
      <c r="AN363" s="34">
        <v>2195897000</v>
      </c>
      <c r="AO363" s="34">
        <f t="shared" si="43"/>
        <v>61851697000</v>
      </c>
      <c r="AP363" s="30" t="s">
        <v>3014</v>
      </c>
      <c r="AQ363" s="30" t="s">
        <v>77</v>
      </c>
      <c r="AR363" s="30"/>
      <c r="AS363" s="30"/>
      <c r="AT363" s="30"/>
      <c r="AU363" s="30"/>
      <c r="AV363" s="35">
        <v>8000</v>
      </c>
      <c r="AW363" s="34">
        <v>2670000</v>
      </c>
      <c r="AX363" s="35"/>
      <c r="AY363" s="34"/>
      <c r="AZ363" s="34">
        <v>24000000000</v>
      </c>
      <c r="BA363" s="32">
        <f t="shared" si="36"/>
        <v>21360000000</v>
      </c>
      <c r="BB363" s="30" t="s">
        <v>3015</v>
      </c>
      <c r="BC363" s="30" t="s">
        <v>81</v>
      </c>
      <c r="BD363" s="30" t="s">
        <v>3016</v>
      </c>
      <c r="BE363" s="30" t="s">
        <v>77</v>
      </c>
      <c r="BF363" s="30"/>
      <c r="BG363" s="30"/>
      <c r="BH363" s="30"/>
      <c r="BI363" s="30"/>
      <c r="BJ363" s="36">
        <v>2155</v>
      </c>
      <c r="BK363" s="34">
        <v>2700000</v>
      </c>
      <c r="BL363" s="36"/>
      <c r="BM363" s="34"/>
      <c r="BN363" s="34">
        <v>6465000000</v>
      </c>
      <c r="BO363" s="32">
        <f t="shared" si="37"/>
        <v>5818500000</v>
      </c>
      <c r="BP363" s="30" t="s">
        <v>3017</v>
      </c>
      <c r="BQ363" s="30" t="s">
        <v>81</v>
      </c>
      <c r="BR363" s="30" t="s">
        <v>3018</v>
      </c>
      <c r="BS363" s="30" t="s">
        <v>97</v>
      </c>
      <c r="BT363" s="30"/>
      <c r="BU363" s="30"/>
      <c r="BV363" s="30"/>
      <c r="BW363" s="30"/>
      <c r="BX363" s="36">
        <v>3309</v>
      </c>
      <c r="BY363" s="34">
        <v>2859142</v>
      </c>
      <c r="BZ363" s="36">
        <v>300</v>
      </c>
      <c r="CA363" s="34">
        <v>797000</v>
      </c>
      <c r="CB363" s="34">
        <v>11000000000</v>
      </c>
      <c r="CC363" s="32">
        <f t="shared" si="38"/>
        <v>9700000878</v>
      </c>
      <c r="CD363" s="30" t="s">
        <v>3019</v>
      </c>
      <c r="CE363" s="30" t="s">
        <v>81</v>
      </c>
      <c r="CF363" s="30" t="s">
        <v>761</v>
      </c>
      <c r="CG363" s="30"/>
      <c r="CH363" s="30"/>
      <c r="CI363" s="64"/>
      <c r="CJ363" s="64"/>
      <c r="CK363" s="64"/>
      <c r="CL363" s="64"/>
    </row>
    <row r="364" spans="2:90" ht="45" x14ac:dyDescent="0.25">
      <c r="B364" s="37" t="s">
        <v>2996</v>
      </c>
      <c r="C364" s="37" t="s">
        <v>3020</v>
      </c>
      <c r="D364" s="38"/>
      <c r="E364" s="37"/>
      <c r="F364" s="37"/>
      <c r="G364" s="37"/>
      <c r="H364" s="37"/>
      <c r="I364" s="39"/>
      <c r="J364" s="37"/>
      <c r="K364" s="39"/>
      <c r="L364" s="39"/>
      <c r="M364" s="37"/>
      <c r="N364" s="37"/>
      <c r="O364" s="37"/>
      <c r="P364" s="37"/>
      <c r="Q364" s="37"/>
      <c r="R364" s="37"/>
      <c r="S364" s="37"/>
      <c r="T364" s="37"/>
      <c r="U364" s="37"/>
      <c r="V364" s="37"/>
      <c r="W364" s="37"/>
      <c r="X364" s="37"/>
      <c r="Y364" s="37"/>
      <c r="Z364" s="38"/>
      <c r="AA364" s="38"/>
      <c r="AB364" s="37"/>
      <c r="AC364" s="37"/>
      <c r="AD364" s="37"/>
      <c r="AE364" s="37"/>
      <c r="AF364" s="37"/>
      <c r="AG364" s="37"/>
      <c r="AH364" s="37"/>
      <c r="AI364" s="37"/>
      <c r="AJ364" s="105">
        <f t="shared" si="34"/>
        <v>0</v>
      </c>
      <c r="AK364" s="40"/>
      <c r="AL364" s="105">
        <f t="shared" si="35"/>
        <v>0</v>
      </c>
      <c r="AM364" s="40"/>
      <c r="AN364" s="40"/>
      <c r="AO364" s="40">
        <f t="shared" si="43"/>
        <v>0</v>
      </c>
      <c r="AP364" s="37"/>
      <c r="AQ364" s="37"/>
      <c r="AR364" s="37"/>
      <c r="AS364" s="37"/>
      <c r="AT364" s="37"/>
      <c r="AU364" s="37"/>
      <c r="AV364" s="39"/>
      <c r="AW364" s="40"/>
      <c r="AX364" s="39"/>
      <c r="AY364" s="40"/>
      <c r="AZ364" s="40"/>
      <c r="BA364" s="84">
        <f t="shared" si="36"/>
        <v>0</v>
      </c>
      <c r="BB364" s="37"/>
      <c r="BC364" s="37"/>
      <c r="BD364" s="37"/>
      <c r="BE364" s="37"/>
      <c r="BF364" s="37"/>
      <c r="BG364" s="37"/>
      <c r="BH364" s="37"/>
      <c r="BI364" s="37"/>
      <c r="BJ364" s="41"/>
      <c r="BK364" s="40"/>
      <c r="BL364" s="41"/>
      <c r="BM364" s="40"/>
      <c r="BN364" s="40"/>
      <c r="BO364" s="84">
        <f t="shared" si="37"/>
        <v>0</v>
      </c>
      <c r="BP364" s="37"/>
      <c r="BQ364" s="37"/>
      <c r="BR364" s="37"/>
      <c r="BS364" s="37"/>
      <c r="BT364" s="37"/>
      <c r="BU364" s="37"/>
      <c r="BV364" s="37"/>
      <c r="BW364" s="37"/>
      <c r="BX364" s="41"/>
      <c r="BY364" s="40"/>
      <c r="BZ364" s="41"/>
      <c r="CA364" s="40"/>
      <c r="CB364" s="40"/>
      <c r="CC364" s="84">
        <f t="shared" si="38"/>
        <v>0</v>
      </c>
      <c r="CD364" s="37"/>
      <c r="CE364" s="37"/>
      <c r="CF364" s="37"/>
      <c r="CG364" s="37"/>
      <c r="CH364" s="37"/>
      <c r="CI364" s="49"/>
      <c r="CJ364" s="49"/>
      <c r="CK364" s="49"/>
      <c r="CL364" s="49"/>
    </row>
    <row r="365" spans="2:90" ht="120" x14ac:dyDescent="0.25">
      <c r="B365" s="54" t="s">
        <v>3021</v>
      </c>
      <c r="C365" s="54" t="s">
        <v>3022</v>
      </c>
      <c r="D365" s="67">
        <v>45631</v>
      </c>
      <c r="E365" s="54" t="s">
        <v>3023</v>
      </c>
      <c r="F365" s="54" t="s">
        <v>93</v>
      </c>
      <c r="G365" s="30"/>
      <c r="H365" s="30" t="s">
        <v>3024</v>
      </c>
      <c r="I365" s="35">
        <v>8494</v>
      </c>
      <c r="J365" s="30" t="s">
        <v>70</v>
      </c>
      <c r="K365" s="35">
        <v>17132</v>
      </c>
      <c r="L365" s="35"/>
      <c r="M365" s="30" t="s">
        <v>3025</v>
      </c>
      <c r="N365" s="30"/>
      <c r="O365" s="30"/>
      <c r="P365" s="30"/>
      <c r="Q365" s="30"/>
      <c r="R365" s="54" t="s">
        <v>3026</v>
      </c>
      <c r="S365" s="54" t="s">
        <v>3027</v>
      </c>
      <c r="T365" s="54" t="s">
        <v>3028</v>
      </c>
      <c r="U365" s="54" t="s">
        <v>110</v>
      </c>
      <c r="V365" s="54" t="s">
        <v>111</v>
      </c>
      <c r="W365" s="54" t="s">
        <v>72</v>
      </c>
      <c r="X365" s="54" t="s">
        <v>3029</v>
      </c>
      <c r="Y365" s="54" t="s">
        <v>73</v>
      </c>
      <c r="Z365" s="67" t="s">
        <v>3030</v>
      </c>
      <c r="AA365" s="67">
        <v>45589</v>
      </c>
      <c r="AB365" s="54" t="s">
        <v>90</v>
      </c>
      <c r="AC365" s="30"/>
      <c r="AD365" s="30"/>
      <c r="AE365" s="30"/>
      <c r="AF365" s="30"/>
      <c r="AG365" s="30"/>
      <c r="AH365" s="30"/>
      <c r="AI365" s="30"/>
      <c r="AJ365" s="31">
        <f t="shared" si="34"/>
        <v>8494</v>
      </c>
      <c r="AK365" s="34">
        <f>48840500000/AJ365</f>
        <v>5750000</v>
      </c>
      <c r="AL365" s="31">
        <f t="shared" si="35"/>
        <v>17132</v>
      </c>
      <c r="AM365" s="34">
        <f>87617600000/AL365</f>
        <v>5114265.7016110206</v>
      </c>
      <c r="AN365" s="34">
        <f>576700000+146224993000+1407999000+32171990000</f>
        <v>180381682000</v>
      </c>
      <c r="AO365" s="51">
        <f>(AJ365*AK365)+(AL365*AM365)+AN365+AN366</f>
        <v>318181682000</v>
      </c>
      <c r="AP365" s="30" t="s">
        <v>3031</v>
      </c>
      <c r="AQ365" s="30" t="s">
        <v>3032</v>
      </c>
      <c r="AR365" s="30"/>
      <c r="AS365" s="30"/>
      <c r="AT365" s="30"/>
      <c r="AU365" s="30"/>
      <c r="AV365" s="35">
        <v>10993</v>
      </c>
      <c r="AW365" s="34">
        <v>5402253</v>
      </c>
      <c r="AX365" s="35">
        <v>19684</v>
      </c>
      <c r="AY365" s="34">
        <v>1098000</v>
      </c>
      <c r="AZ365" s="34">
        <v>90000000000</v>
      </c>
      <c r="BA365" s="32">
        <f t="shared" si="36"/>
        <v>80999999229</v>
      </c>
      <c r="BB365" s="30" t="s">
        <v>3033</v>
      </c>
      <c r="BC365" s="30" t="s">
        <v>81</v>
      </c>
      <c r="BD365" s="30" t="s">
        <v>3034</v>
      </c>
      <c r="BE365" s="30" t="s">
        <v>3035</v>
      </c>
      <c r="BF365" s="30"/>
      <c r="BG365" s="30"/>
      <c r="BH365" s="30"/>
      <c r="BI365" s="30"/>
      <c r="BJ365" s="36">
        <v>1127</v>
      </c>
      <c r="BK365" s="34">
        <v>7004004</v>
      </c>
      <c r="BL365" s="36">
        <v>1420</v>
      </c>
      <c r="BM365" s="34">
        <v>1976400</v>
      </c>
      <c r="BN365" s="34">
        <v>12000000000</v>
      </c>
      <c r="BO365" s="32">
        <f t="shared" si="37"/>
        <v>10700000508</v>
      </c>
      <c r="BP365" s="30" t="s">
        <v>3036</v>
      </c>
      <c r="BQ365" s="30" t="s">
        <v>81</v>
      </c>
      <c r="BR365" s="30" t="s">
        <v>3037</v>
      </c>
      <c r="BS365" s="30" t="s">
        <v>77</v>
      </c>
      <c r="BT365" s="30"/>
      <c r="BU365" s="30"/>
      <c r="BV365" s="30"/>
      <c r="BW365" s="30"/>
      <c r="BX365" s="36">
        <v>12300</v>
      </c>
      <c r="BY365" s="34">
        <v>5800000</v>
      </c>
      <c r="BZ365" s="36"/>
      <c r="CA365" s="34"/>
      <c r="CB365" s="34">
        <v>79950000000</v>
      </c>
      <c r="CC365" s="32">
        <f t="shared" si="38"/>
        <v>71340000000</v>
      </c>
      <c r="CD365" s="30" t="s">
        <v>3038</v>
      </c>
      <c r="CE365" s="30" t="s">
        <v>81</v>
      </c>
      <c r="CF365" s="54" t="s">
        <v>225</v>
      </c>
      <c r="CG365" s="30"/>
      <c r="CH365" s="30"/>
      <c r="CI365" s="64"/>
      <c r="CJ365" s="64"/>
      <c r="CK365" s="64"/>
      <c r="CL365" s="64"/>
    </row>
    <row r="366" spans="2:90" ht="270" x14ac:dyDescent="0.25">
      <c r="B366" s="57"/>
      <c r="C366" s="57"/>
      <c r="D366" s="68"/>
      <c r="E366" s="57"/>
      <c r="F366" s="57"/>
      <c r="G366" s="30"/>
      <c r="H366" s="30" t="s">
        <v>130</v>
      </c>
      <c r="I366" s="35"/>
      <c r="J366" s="30"/>
      <c r="K366" s="35"/>
      <c r="L366" s="35"/>
      <c r="M366" s="30"/>
      <c r="N366" s="30"/>
      <c r="O366" s="30"/>
      <c r="P366" s="30"/>
      <c r="Q366" s="30"/>
      <c r="R366" s="58"/>
      <c r="S366" s="58"/>
      <c r="T366" s="57"/>
      <c r="U366" s="57"/>
      <c r="V366" s="57"/>
      <c r="W366" s="57"/>
      <c r="X366" s="57"/>
      <c r="Y366" s="57"/>
      <c r="Z366" s="68"/>
      <c r="AA366" s="68"/>
      <c r="AB366" s="57"/>
      <c r="AC366" s="30" t="s">
        <v>3039</v>
      </c>
      <c r="AD366" s="30" t="s">
        <v>3040</v>
      </c>
      <c r="AE366" s="30" t="s">
        <v>3041</v>
      </c>
      <c r="AF366" s="30"/>
      <c r="AG366" s="30"/>
      <c r="AH366" s="30"/>
      <c r="AI366" s="30"/>
      <c r="AJ366" s="31">
        <f t="shared" si="34"/>
        <v>0</v>
      </c>
      <c r="AK366" s="34"/>
      <c r="AL366" s="31">
        <f t="shared" si="35"/>
        <v>0</v>
      </c>
      <c r="AM366" s="34"/>
      <c r="AN366" s="34">
        <f>532200000+257100000+64200000+189900000+189000000+104400000+5100000</f>
        <v>1341900000</v>
      </c>
      <c r="AO366" s="53"/>
      <c r="AP366" s="30" t="s">
        <v>3042</v>
      </c>
      <c r="AQ366" s="30" t="s">
        <v>130</v>
      </c>
      <c r="AR366" s="30"/>
      <c r="AS366" s="30"/>
      <c r="AT366" s="30" t="s">
        <v>3043</v>
      </c>
      <c r="AU366" s="30">
        <v>2022</v>
      </c>
      <c r="AV366" s="35"/>
      <c r="AW366" s="34"/>
      <c r="AX366" s="35"/>
      <c r="AY366" s="34"/>
      <c r="AZ366" s="34">
        <v>190000000</v>
      </c>
      <c r="BA366" s="32">
        <f>AZ366-7500000</f>
        <v>182500000</v>
      </c>
      <c r="BB366" s="30" t="s">
        <v>3044</v>
      </c>
      <c r="BC366" s="30" t="s">
        <v>81</v>
      </c>
      <c r="BD366" s="30" t="s">
        <v>1914</v>
      </c>
      <c r="BE366" s="30" t="s">
        <v>130</v>
      </c>
      <c r="BF366" s="30"/>
      <c r="BG366" s="30"/>
      <c r="BH366" s="30" t="s">
        <v>3043</v>
      </c>
      <c r="BI366" s="30">
        <v>2022</v>
      </c>
      <c r="BJ366" s="36"/>
      <c r="BK366" s="34"/>
      <c r="BL366" s="36"/>
      <c r="BM366" s="34"/>
      <c r="BN366" s="34">
        <v>190000000</v>
      </c>
      <c r="BO366" s="32">
        <f>BN366-9000000</f>
        <v>181000000</v>
      </c>
      <c r="BP366" s="30" t="s">
        <v>3045</v>
      </c>
      <c r="BQ366" s="30" t="s">
        <v>81</v>
      </c>
      <c r="BR366" s="30" t="s">
        <v>1998</v>
      </c>
      <c r="BS366" s="30" t="s">
        <v>130</v>
      </c>
      <c r="BT366" s="30"/>
      <c r="BU366" s="30"/>
      <c r="BV366" s="30" t="s">
        <v>3043</v>
      </c>
      <c r="BW366" s="30">
        <v>2021</v>
      </c>
      <c r="BX366" s="36"/>
      <c r="BY366" s="34"/>
      <c r="BZ366" s="36"/>
      <c r="CA366" s="34"/>
      <c r="CB366" s="34">
        <v>188000000</v>
      </c>
      <c r="CC366" s="32">
        <f>CB366-8000000</f>
        <v>180000000</v>
      </c>
      <c r="CD366" s="30" t="s">
        <v>3046</v>
      </c>
      <c r="CE366" s="30" t="s">
        <v>81</v>
      </c>
      <c r="CF366" s="57"/>
      <c r="CG366" s="30"/>
      <c r="CH366" s="30"/>
      <c r="CI366" s="64"/>
      <c r="CJ366" s="64"/>
      <c r="CK366" s="64"/>
      <c r="CL366" s="64"/>
    </row>
    <row r="367" spans="2:90" ht="120" x14ac:dyDescent="0.25">
      <c r="B367" s="58"/>
      <c r="C367" s="58"/>
      <c r="D367" s="69"/>
      <c r="E367" s="58"/>
      <c r="F367" s="58"/>
      <c r="G367" s="30"/>
      <c r="H367" s="30" t="s">
        <v>77</v>
      </c>
      <c r="I367" s="35">
        <v>8162</v>
      </c>
      <c r="J367" s="30" t="s">
        <v>70</v>
      </c>
      <c r="K367" s="35"/>
      <c r="L367" s="35"/>
      <c r="M367" s="30"/>
      <c r="N367" s="30"/>
      <c r="O367" s="30"/>
      <c r="P367" s="30"/>
      <c r="Q367" s="30"/>
      <c r="R367" s="30" t="s">
        <v>3047</v>
      </c>
      <c r="S367" s="30" t="s">
        <v>3048</v>
      </c>
      <c r="T367" s="58"/>
      <c r="U367" s="58"/>
      <c r="V367" s="58"/>
      <c r="W367" s="58"/>
      <c r="X367" s="58"/>
      <c r="Y367" s="58"/>
      <c r="Z367" s="69"/>
      <c r="AA367" s="69"/>
      <c r="AB367" s="58"/>
      <c r="AC367" s="30"/>
      <c r="AD367" s="30"/>
      <c r="AE367" s="30"/>
      <c r="AF367" s="30"/>
      <c r="AG367" s="30"/>
      <c r="AH367" s="30"/>
      <c r="AI367" s="30"/>
      <c r="AJ367" s="31">
        <f t="shared" si="34"/>
        <v>8162</v>
      </c>
      <c r="AK367" s="34">
        <f>46115300000/AJ367</f>
        <v>5650000</v>
      </c>
      <c r="AL367" s="31">
        <f t="shared" si="35"/>
        <v>0</v>
      </c>
      <c r="AM367" s="34"/>
      <c r="AN367" s="34"/>
      <c r="AO367" s="34">
        <f t="shared" si="43"/>
        <v>46115300000</v>
      </c>
      <c r="AP367" s="30" t="s">
        <v>3031</v>
      </c>
      <c r="AQ367" s="30" t="s">
        <v>3032</v>
      </c>
      <c r="AR367" s="30"/>
      <c r="AS367" s="30"/>
      <c r="AT367" s="30"/>
      <c r="AU367" s="30"/>
      <c r="AV367" s="35">
        <v>10993</v>
      </c>
      <c r="AW367" s="34">
        <v>5402253</v>
      </c>
      <c r="AX367" s="35">
        <v>19684</v>
      </c>
      <c r="AY367" s="34">
        <v>1098000</v>
      </c>
      <c r="AZ367" s="34">
        <v>90000000000</v>
      </c>
      <c r="BA367" s="32">
        <f t="shared" ref="BA367" si="44">AV367*AW367+(AY367*AX367)</f>
        <v>80999999229</v>
      </c>
      <c r="BB367" s="30" t="s">
        <v>3033</v>
      </c>
      <c r="BC367" s="30" t="s">
        <v>81</v>
      </c>
      <c r="BD367" s="30" t="s">
        <v>3034</v>
      </c>
      <c r="BE367" s="30" t="s">
        <v>3035</v>
      </c>
      <c r="BF367" s="30"/>
      <c r="BG367" s="30"/>
      <c r="BH367" s="30"/>
      <c r="BI367" s="30"/>
      <c r="BJ367" s="36">
        <v>1127</v>
      </c>
      <c r="BK367" s="34">
        <v>7004004</v>
      </c>
      <c r="BL367" s="36">
        <v>1420</v>
      </c>
      <c r="BM367" s="34">
        <v>1976400</v>
      </c>
      <c r="BN367" s="34">
        <v>12000000000</v>
      </c>
      <c r="BO367" s="32">
        <f t="shared" ref="BO367" si="45">BJ367*BK367+(BL367*BM367)</f>
        <v>10700000508</v>
      </c>
      <c r="BP367" s="30" t="s">
        <v>3036</v>
      </c>
      <c r="BQ367" s="30" t="s">
        <v>81</v>
      </c>
      <c r="BR367" s="30" t="s">
        <v>3037</v>
      </c>
      <c r="BS367" s="30" t="s">
        <v>77</v>
      </c>
      <c r="BT367" s="30"/>
      <c r="BU367" s="30"/>
      <c r="BV367" s="30"/>
      <c r="BW367" s="30"/>
      <c r="BX367" s="36">
        <v>12300</v>
      </c>
      <c r="BY367" s="34">
        <v>5800000</v>
      </c>
      <c r="BZ367" s="36"/>
      <c r="CA367" s="34"/>
      <c r="CB367" s="34">
        <v>79950000000</v>
      </c>
      <c r="CC367" s="32">
        <f t="shared" ref="CC367" si="46">(BX367*BY367)+(BZ367*CA367)</f>
        <v>71340000000</v>
      </c>
      <c r="CD367" s="30" t="s">
        <v>3038</v>
      </c>
      <c r="CE367" s="30" t="s">
        <v>81</v>
      </c>
      <c r="CF367" s="58"/>
      <c r="CG367" s="30"/>
      <c r="CH367" s="30"/>
      <c r="CI367" s="64"/>
      <c r="CJ367" s="64"/>
      <c r="CK367" s="64"/>
      <c r="CL367" s="64"/>
    </row>
    <row r="368" spans="2:90" ht="105" x14ac:dyDescent="0.25">
      <c r="B368" s="30" t="s">
        <v>3049</v>
      </c>
      <c r="C368" s="30" t="s">
        <v>3050</v>
      </c>
      <c r="D368" s="33">
        <v>45636</v>
      </c>
      <c r="E368" s="30" t="s">
        <v>200</v>
      </c>
      <c r="F368" s="30" t="s">
        <v>200</v>
      </c>
      <c r="G368" s="30"/>
      <c r="H368" s="30" t="s">
        <v>211</v>
      </c>
      <c r="I368" s="35">
        <v>22453</v>
      </c>
      <c r="J368" s="30" t="s">
        <v>70</v>
      </c>
      <c r="K368" s="35">
        <v>8497</v>
      </c>
      <c r="L368" s="35"/>
      <c r="M368" s="30" t="s">
        <v>397</v>
      </c>
      <c r="N368" s="30"/>
      <c r="O368" s="30"/>
      <c r="P368" s="30"/>
      <c r="Q368" s="30"/>
      <c r="R368" s="30" t="s">
        <v>3051</v>
      </c>
      <c r="S368" s="30" t="s">
        <v>3052</v>
      </c>
      <c r="T368" s="30" t="s">
        <v>3053</v>
      </c>
      <c r="U368" s="30" t="s">
        <v>188</v>
      </c>
      <c r="V368" s="30" t="s">
        <v>92</v>
      </c>
      <c r="W368" s="30" t="s">
        <v>72</v>
      </c>
      <c r="X368" s="30" t="s">
        <v>3029</v>
      </c>
      <c r="Y368" s="30" t="s">
        <v>73</v>
      </c>
      <c r="Z368" s="33">
        <v>45629</v>
      </c>
      <c r="AA368" s="33">
        <v>45629</v>
      </c>
      <c r="AB368" s="30" t="s">
        <v>90</v>
      </c>
      <c r="AC368" s="30"/>
      <c r="AD368" s="30"/>
      <c r="AE368" s="30"/>
      <c r="AF368" s="30"/>
      <c r="AG368" s="30"/>
      <c r="AH368" s="30"/>
      <c r="AI368" s="30"/>
      <c r="AJ368" s="31">
        <f t="shared" si="34"/>
        <v>22453</v>
      </c>
      <c r="AK368" s="34">
        <f>92057300000/AJ368</f>
        <v>4100000</v>
      </c>
      <c r="AL368" s="31">
        <f t="shared" si="35"/>
        <v>8497</v>
      </c>
      <c r="AM368" s="34">
        <f>19724600000/AL368</f>
        <v>2321360.4801694714</v>
      </c>
      <c r="AN368" s="34">
        <v>1353189000</v>
      </c>
      <c r="AO368" s="34">
        <f t="shared" si="43"/>
        <v>113135089000</v>
      </c>
      <c r="AP368" s="30" t="s">
        <v>3054</v>
      </c>
      <c r="AQ368" s="30" t="s">
        <v>77</v>
      </c>
      <c r="AR368" s="30"/>
      <c r="AS368" s="30"/>
      <c r="AT368" s="30"/>
      <c r="AU368" s="30"/>
      <c r="AV368" s="35">
        <v>10000</v>
      </c>
      <c r="AW368" s="34">
        <v>5000000</v>
      </c>
      <c r="AX368" s="35"/>
      <c r="AY368" s="34"/>
      <c r="AZ368" s="34">
        <v>60000000000</v>
      </c>
      <c r="BA368" s="32">
        <f t="shared" si="36"/>
        <v>50000000000</v>
      </c>
      <c r="BB368" s="30" t="s">
        <v>3055</v>
      </c>
      <c r="BC368" s="30" t="s">
        <v>81</v>
      </c>
      <c r="BD368" s="30" t="s">
        <v>3056</v>
      </c>
      <c r="BE368" s="30" t="s">
        <v>97</v>
      </c>
      <c r="BF368" s="30"/>
      <c r="BG368" s="30"/>
      <c r="BH368" s="30"/>
      <c r="BI368" s="30"/>
      <c r="BJ368" s="36">
        <v>10286</v>
      </c>
      <c r="BK368" s="34">
        <v>4904117</v>
      </c>
      <c r="BL368" s="36">
        <v>5000</v>
      </c>
      <c r="BM368" s="34">
        <v>1911250</v>
      </c>
      <c r="BN368" s="34">
        <v>70000000000</v>
      </c>
      <c r="BO368" s="32">
        <f t="shared" si="37"/>
        <v>59999997462</v>
      </c>
      <c r="BP368" s="30" t="s">
        <v>3057</v>
      </c>
      <c r="BQ368" s="30" t="s">
        <v>81</v>
      </c>
      <c r="BR368" s="30" t="s">
        <v>3056</v>
      </c>
      <c r="BS368" s="30" t="s">
        <v>77</v>
      </c>
      <c r="BT368" s="30"/>
      <c r="BU368" s="30"/>
      <c r="BV368" s="30"/>
      <c r="BW368" s="30"/>
      <c r="BX368" s="36">
        <v>5000</v>
      </c>
      <c r="BY368" s="34">
        <v>6000000</v>
      </c>
      <c r="BZ368" s="36"/>
      <c r="CA368" s="34"/>
      <c r="CB368" s="34">
        <v>35000000000</v>
      </c>
      <c r="CC368" s="32">
        <f t="shared" si="38"/>
        <v>30000000000</v>
      </c>
      <c r="CD368" s="30" t="s">
        <v>3058</v>
      </c>
      <c r="CE368" s="30" t="s">
        <v>81</v>
      </c>
      <c r="CF368" s="30" t="s">
        <v>3059</v>
      </c>
      <c r="CG368" s="30"/>
      <c r="CH368" s="30"/>
      <c r="CI368" s="64"/>
      <c r="CJ368" s="64"/>
      <c r="CK368" s="64"/>
      <c r="CL368" s="64"/>
    </row>
    <row r="369" spans="2:90" ht="60" x14ac:dyDescent="0.25">
      <c r="B369" s="54" t="s">
        <v>3060</v>
      </c>
      <c r="C369" s="54" t="s">
        <v>3061</v>
      </c>
      <c r="D369" s="67">
        <v>45639</v>
      </c>
      <c r="E369" s="54" t="s">
        <v>3062</v>
      </c>
      <c r="F369" s="54" t="s">
        <v>93</v>
      </c>
      <c r="G369" s="30"/>
      <c r="H369" s="54" t="s">
        <v>3063</v>
      </c>
      <c r="I369" s="35">
        <v>7744.81</v>
      </c>
      <c r="J369" s="54" t="s">
        <v>70</v>
      </c>
      <c r="K369" s="35"/>
      <c r="L369" s="35"/>
      <c r="M369" s="30"/>
      <c r="N369" s="30"/>
      <c r="O369" s="30"/>
      <c r="P369" s="30"/>
      <c r="Q369" s="54" t="s">
        <v>3064</v>
      </c>
      <c r="R369" s="30" t="s">
        <v>3065</v>
      </c>
      <c r="S369" s="54" t="s">
        <v>3066</v>
      </c>
      <c r="T369" s="54" t="s">
        <v>361</v>
      </c>
      <c r="U369" s="54" t="s">
        <v>116</v>
      </c>
      <c r="V369" s="54" t="s">
        <v>84</v>
      </c>
      <c r="W369" s="54" t="s">
        <v>72</v>
      </c>
      <c r="X369" s="54" t="s">
        <v>3029</v>
      </c>
      <c r="Y369" s="54" t="s">
        <v>73</v>
      </c>
      <c r="Z369" s="67">
        <v>45495</v>
      </c>
      <c r="AA369" s="67">
        <v>45495</v>
      </c>
      <c r="AB369" s="54" t="s">
        <v>90</v>
      </c>
      <c r="AC369" s="30"/>
      <c r="AD369" s="30"/>
      <c r="AE369" s="30"/>
      <c r="AF369" s="30"/>
      <c r="AG369" s="30"/>
      <c r="AH369" s="30"/>
      <c r="AI369" s="30"/>
      <c r="AJ369" s="31">
        <f t="shared" si="34"/>
        <v>7744.81</v>
      </c>
      <c r="AK369" s="34">
        <f>160519000000/AJ369</f>
        <v>20726008.772326242</v>
      </c>
      <c r="AL369" s="31">
        <f t="shared" si="35"/>
        <v>0</v>
      </c>
      <c r="AM369" s="34"/>
      <c r="AN369" s="34"/>
      <c r="AO369" s="34">
        <f t="shared" si="43"/>
        <v>160519000000</v>
      </c>
      <c r="AP369" s="54" t="s">
        <v>3067</v>
      </c>
      <c r="AQ369" s="54" t="s">
        <v>3068</v>
      </c>
      <c r="AR369" s="30"/>
      <c r="AS369" s="30"/>
      <c r="AT369" s="30"/>
      <c r="AU369" s="30"/>
      <c r="AV369" s="86">
        <v>957</v>
      </c>
      <c r="AW369" s="51">
        <v>24451411</v>
      </c>
      <c r="AX369" s="35"/>
      <c r="AY369" s="34"/>
      <c r="AZ369" s="51">
        <v>26000000000</v>
      </c>
      <c r="BA369" s="87">
        <f t="shared" si="36"/>
        <v>23400000327</v>
      </c>
      <c r="BB369" s="54" t="s">
        <v>268</v>
      </c>
      <c r="BC369" s="54" t="s">
        <v>81</v>
      </c>
      <c r="BD369" s="54" t="s">
        <v>3069</v>
      </c>
      <c r="BE369" s="54" t="s">
        <v>3070</v>
      </c>
      <c r="BF369" s="30"/>
      <c r="BG369" s="30"/>
      <c r="BH369" s="30"/>
      <c r="BI369" s="30"/>
      <c r="BJ369" s="88">
        <v>651</v>
      </c>
      <c r="BK369" s="51">
        <v>25345622</v>
      </c>
      <c r="BL369" s="36"/>
      <c r="BM369" s="34"/>
      <c r="BN369" s="51">
        <v>21157500000</v>
      </c>
      <c r="BO369" s="87">
        <f t="shared" si="37"/>
        <v>16499999922</v>
      </c>
      <c r="BP369" s="54" t="s">
        <v>3071</v>
      </c>
      <c r="BQ369" s="54" t="s">
        <v>81</v>
      </c>
      <c r="BR369" s="54" t="s">
        <v>3072</v>
      </c>
      <c r="BS369" s="54" t="s">
        <v>3070</v>
      </c>
      <c r="BT369" s="30"/>
      <c r="BU369" s="30"/>
      <c r="BV369" s="30"/>
      <c r="BW369" s="30"/>
      <c r="BX369" s="88">
        <v>1188</v>
      </c>
      <c r="BY369" s="51">
        <v>24400000</v>
      </c>
      <c r="BZ369" s="36"/>
      <c r="CA369" s="34"/>
      <c r="CB369" s="51">
        <v>35000000000</v>
      </c>
      <c r="CC369" s="87">
        <f t="shared" si="38"/>
        <v>28987200000</v>
      </c>
      <c r="CD369" s="54" t="s">
        <v>3073</v>
      </c>
      <c r="CE369" s="54" t="s">
        <v>81</v>
      </c>
      <c r="CF369" s="54" t="s">
        <v>981</v>
      </c>
      <c r="CG369" s="30"/>
      <c r="CH369" s="30"/>
      <c r="CI369" s="64"/>
      <c r="CJ369" s="64"/>
      <c r="CK369" s="64"/>
      <c r="CL369" s="64"/>
    </row>
    <row r="370" spans="2:90" ht="75" x14ac:dyDescent="0.25">
      <c r="B370" s="57"/>
      <c r="C370" s="57"/>
      <c r="D370" s="68"/>
      <c r="E370" s="57"/>
      <c r="F370" s="57"/>
      <c r="G370" s="30"/>
      <c r="H370" s="57"/>
      <c r="I370" s="35">
        <v>1637.88</v>
      </c>
      <c r="J370" s="57"/>
      <c r="K370" s="35"/>
      <c r="L370" s="35"/>
      <c r="M370" s="30"/>
      <c r="N370" s="30"/>
      <c r="O370" s="30"/>
      <c r="P370" s="30"/>
      <c r="Q370" s="57"/>
      <c r="R370" s="30" t="s">
        <v>3074</v>
      </c>
      <c r="S370" s="57"/>
      <c r="T370" s="57"/>
      <c r="U370" s="57"/>
      <c r="V370" s="57"/>
      <c r="W370" s="57"/>
      <c r="X370" s="57"/>
      <c r="Y370" s="57"/>
      <c r="Z370" s="68"/>
      <c r="AA370" s="68"/>
      <c r="AB370" s="57"/>
      <c r="AC370" s="30"/>
      <c r="AD370" s="30"/>
      <c r="AE370" s="30"/>
      <c r="AF370" s="30"/>
      <c r="AG370" s="30"/>
      <c r="AH370" s="30"/>
      <c r="AI370" s="30"/>
      <c r="AJ370" s="31">
        <f t="shared" si="34"/>
        <v>1637.88</v>
      </c>
      <c r="AK370" s="34">
        <f>39252000000/AJ370</f>
        <v>23965125.650230784</v>
      </c>
      <c r="AL370" s="31">
        <f t="shared" si="35"/>
        <v>0</v>
      </c>
      <c r="AM370" s="34"/>
      <c r="AN370" s="34"/>
      <c r="AO370" s="34">
        <f t="shared" si="43"/>
        <v>39252000000</v>
      </c>
      <c r="AP370" s="57"/>
      <c r="AQ370" s="57"/>
      <c r="AR370" s="30"/>
      <c r="AS370" s="30"/>
      <c r="AT370" s="30"/>
      <c r="AU370" s="30"/>
      <c r="AV370" s="92"/>
      <c r="AW370" s="52"/>
      <c r="AX370" s="35"/>
      <c r="AY370" s="34"/>
      <c r="AZ370" s="52"/>
      <c r="BA370" s="93"/>
      <c r="BB370" s="57"/>
      <c r="BC370" s="57"/>
      <c r="BD370" s="57"/>
      <c r="BE370" s="57"/>
      <c r="BF370" s="30"/>
      <c r="BG370" s="30"/>
      <c r="BH370" s="30"/>
      <c r="BI370" s="30"/>
      <c r="BJ370" s="94"/>
      <c r="BK370" s="52"/>
      <c r="BL370" s="36"/>
      <c r="BM370" s="34"/>
      <c r="BN370" s="52"/>
      <c r="BO370" s="93"/>
      <c r="BP370" s="57"/>
      <c r="BQ370" s="57"/>
      <c r="BR370" s="57"/>
      <c r="BS370" s="57"/>
      <c r="BT370" s="30"/>
      <c r="BU370" s="30"/>
      <c r="BV370" s="30"/>
      <c r="BW370" s="30"/>
      <c r="BX370" s="94"/>
      <c r="BY370" s="52"/>
      <c r="BZ370" s="36"/>
      <c r="CA370" s="34"/>
      <c r="CB370" s="52"/>
      <c r="CC370" s="93"/>
      <c r="CD370" s="57"/>
      <c r="CE370" s="57"/>
      <c r="CF370" s="57"/>
      <c r="CG370" s="30"/>
      <c r="CH370" s="30"/>
      <c r="CI370" s="64"/>
      <c r="CJ370" s="64"/>
      <c r="CK370" s="64"/>
      <c r="CL370" s="64"/>
    </row>
    <row r="371" spans="2:90" ht="75" x14ac:dyDescent="0.25">
      <c r="B371" s="57"/>
      <c r="C371" s="57"/>
      <c r="D371" s="68"/>
      <c r="E371" s="57"/>
      <c r="F371" s="57"/>
      <c r="G371" s="30"/>
      <c r="H371" s="57"/>
      <c r="I371" s="35">
        <v>799.14</v>
      </c>
      <c r="J371" s="57"/>
      <c r="K371" s="35"/>
      <c r="L371" s="35"/>
      <c r="M371" s="30"/>
      <c r="N371" s="30"/>
      <c r="O371" s="30"/>
      <c r="P371" s="30"/>
      <c r="Q371" s="57"/>
      <c r="R371" s="30" t="s">
        <v>3075</v>
      </c>
      <c r="S371" s="57"/>
      <c r="T371" s="57"/>
      <c r="U371" s="57"/>
      <c r="V371" s="57"/>
      <c r="W371" s="57"/>
      <c r="X371" s="57"/>
      <c r="Y371" s="57"/>
      <c r="Z371" s="68"/>
      <c r="AA371" s="68"/>
      <c r="AB371" s="57"/>
      <c r="AC371" s="30"/>
      <c r="AD371" s="30"/>
      <c r="AE371" s="30"/>
      <c r="AF371" s="30"/>
      <c r="AG371" s="30"/>
      <c r="AH371" s="30"/>
      <c r="AI371" s="30"/>
      <c r="AJ371" s="31">
        <f t="shared" si="34"/>
        <v>799.14</v>
      </c>
      <c r="AK371" s="34">
        <f>19891000000/AJ371</f>
        <v>24890507.295342494</v>
      </c>
      <c r="AL371" s="31">
        <f t="shared" si="35"/>
        <v>0</v>
      </c>
      <c r="AM371" s="34"/>
      <c r="AN371" s="34"/>
      <c r="AO371" s="34">
        <f t="shared" si="43"/>
        <v>19891000000</v>
      </c>
      <c r="AP371" s="57"/>
      <c r="AQ371" s="57"/>
      <c r="AR371" s="30"/>
      <c r="AS371" s="30"/>
      <c r="AT371" s="30"/>
      <c r="AU371" s="30"/>
      <c r="AV371" s="92"/>
      <c r="AW371" s="52"/>
      <c r="AX371" s="35"/>
      <c r="AY371" s="34"/>
      <c r="AZ371" s="52"/>
      <c r="BA371" s="93"/>
      <c r="BB371" s="57"/>
      <c r="BC371" s="57"/>
      <c r="BD371" s="57"/>
      <c r="BE371" s="57"/>
      <c r="BF371" s="30"/>
      <c r="BG371" s="30"/>
      <c r="BH371" s="30"/>
      <c r="BI371" s="30"/>
      <c r="BJ371" s="94"/>
      <c r="BK371" s="52"/>
      <c r="BL371" s="36"/>
      <c r="BM371" s="34"/>
      <c r="BN371" s="52"/>
      <c r="BO371" s="93"/>
      <c r="BP371" s="57"/>
      <c r="BQ371" s="57"/>
      <c r="BR371" s="57"/>
      <c r="BS371" s="57"/>
      <c r="BT371" s="30"/>
      <c r="BU371" s="30"/>
      <c r="BV371" s="30"/>
      <c r="BW371" s="30"/>
      <c r="BX371" s="94"/>
      <c r="BY371" s="52"/>
      <c r="BZ371" s="36"/>
      <c r="CA371" s="34"/>
      <c r="CB371" s="52"/>
      <c r="CC371" s="93"/>
      <c r="CD371" s="57"/>
      <c r="CE371" s="57"/>
      <c r="CF371" s="57"/>
      <c r="CG371" s="30"/>
      <c r="CH371" s="30"/>
      <c r="CI371" s="64"/>
      <c r="CJ371" s="64"/>
      <c r="CK371" s="64"/>
      <c r="CL371" s="64"/>
    </row>
    <row r="372" spans="2:90" ht="75" x14ac:dyDescent="0.25">
      <c r="B372" s="57"/>
      <c r="C372" s="57"/>
      <c r="D372" s="68"/>
      <c r="E372" s="57"/>
      <c r="F372" s="57"/>
      <c r="G372" s="30"/>
      <c r="H372" s="57"/>
      <c r="I372" s="35">
        <v>836.97</v>
      </c>
      <c r="J372" s="57"/>
      <c r="K372" s="35"/>
      <c r="L372" s="35"/>
      <c r="M372" s="30"/>
      <c r="N372" s="30"/>
      <c r="O372" s="30"/>
      <c r="P372" s="30"/>
      <c r="Q372" s="57"/>
      <c r="R372" s="30" t="s">
        <v>3076</v>
      </c>
      <c r="S372" s="57"/>
      <c r="T372" s="57"/>
      <c r="U372" s="57"/>
      <c r="V372" s="57"/>
      <c r="W372" s="57"/>
      <c r="X372" s="57"/>
      <c r="Y372" s="57"/>
      <c r="Z372" s="68"/>
      <c r="AA372" s="68"/>
      <c r="AB372" s="57"/>
      <c r="AC372" s="30"/>
      <c r="AD372" s="30"/>
      <c r="AE372" s="30"/>
      <c r="AF372" s="30"/>
      <c r="AG372" s="30"/>
      <c r="AH372" s="30"/>
      <c r="AI372" s="30"/>
      <c r="AJ372" s="31">
        <f t="shared" si="34"/>
        <v>836.97</v>
      </c>
      <c r="AK372" s="34">
        <f>20619000000/AJ372</f>
        <v>24635291.587512098</v>
      </c>
      <c r="AL372" s="31">
        <f t="shared" si="35"/>
        <v>0</v>
      </c>
      <c r="AM372" s="34"/>
      <c r="AN372" s="34"/>
      <c r="AO372" s="34">
        <f t="shared" si="43"/>
        <v>20619000000</v>
      </c>
      <c r="AP372" s="57"/>
      <c r="AQ372" s="57"/>
      <c r="AR372" s="30"/>
      <c r="AS372" s="30"/>
      <c r="AT372" s="30"/>
      <c r="AU372" s="30"/>
      <c r="AV372" s="92"/>
      <c r="AW372" s="52"/>
      <c r="AX372" s="35"/>
      <c r="AY372" s="34"/>
      <c r="AZ372" s="52"/>
      <c r="BA372" s="93"/>
      <c r="BB372" s="57"/>
      <c r="BC372" s="57"/>
      <c r="BD372" s="57"/>
      <c r="BE372" s="57"/>
      <c r="BF372" s="30"/>
      <c r="BG372" s="30"/>
      <c r="BH372" s="30"/>
      <c r="BI372" s="30"/>
      <c r="BJ372" s="94"/>
      <c r="BK372" s="52"/>
      <c r="BL372" s="36"/>
      <c r="BM372" s="34"/>
      <c r="BN372" s="52"/>
      <c r="BO372" s="93"/>
      <c r="BP372" s="57"/>
      <c r="BQ372" s="57"/>
      <c r="BR372" s="57"/>
      <c r="BS372" s="57"/>
      <c r="BT372" s="30"/>
      <c r="BU372" s="30"/>
      <c r="BV372" s="30"/>
      <c r="BW372" s="30"/>
      <c r="BX372" s="94"/>
      <c r="BY372" s="52"/>
      <c r="BZ372" s="36"/>
      <c r="CA372" s="34"/>
      <c r="CB372" s="52"/>
      <c r="CC372" s="93"/>
      <c r="CD372" s="57"/>
      <c r="CE372" s="57"/>
      <c r="CF372" s="57"/>
      <c r="CG372" s="30"/>
      <c r="CH372" s="30"/>
      <c r="CI372" s="64"/>
      <c r="CJ372" s="64"/>
      <c r="CK372" s="64"/>
      <c r="CL372" s="64"/>
    </row>
    <row r="373" spans="2:90" ht="75" x14ac:dyDescent="0.25">
      <c r="B373" s="58"/>
      <c r="C373" s="58"/>
      <c r="D373" s="69"/>
      <c r="E373" s="58"/>
      <c r="F373" s="58"/>
      <c r="G373" s="30"/>
      <c r="H373" s="58"/>
      <c r="I373" s="35">
        <v>1637.88</v>
      </c>
      <c r="J373" s="58"/>
      <c r="K373" s="35"/>
      <c r="L373" s="35"/>
      <c r="M373" s="30"/>
      <c r="N373" s="30"/>
      <c r="O373" s="30"/>
      <c r="P373" s="30"/>
      <c r="Q373" s="58"/>
      <c r="R373" s="30" t="s">
        <v>3077</v>
      </c>
      <c r="S373" s="58"/>
      <c r="T373" s="58"/>
      <c r="U373" s="58"/>
      <c r="V373" s="58"/>
      <c r="W373" s="58"/>
      <c r="X373" s="58"/>
      <c r="Y373" s="58"/>
      <c r="Z373" s="69"/>
      <c r="AA373" s="69"/>
      <c r="AB373" s="58"/>
      <c r="AC373" s="30"/>
      <c r="AD373" s="30"/>
      <c r="AE373" s="30"/>
      <c r="AF373" s="30"/>
      <c r="AG373" s="30"/>
      <c r="AH373" s="30"/>
      <c r="AI373" s="30"/>
      <c r="AJ373" s="31">
        <f t="shared" si="34"/>
        <v>1637.88</v>
      </c>
      <c r="AK373" s="34">
        <f>39252000000/AJ373</f>
        <v>23965125.650230784</v>
      </c>
      <c r="AL373" s="31">
        <f t="shared" si="35"/>
        <v>0</v>
      </c>
      <c r="AM373" s="34"/>
      <c r="AN373" s="34"/>
      <c r="AO373" s="34">
        <f t="shared" si="43"/>
        <v>39252000000</v>
      </c>
      <c r="AP373" s="58"/>
      <c r="AQ373" s="58"/>
      <c r="AR373" s="30"/>
      <c r="AS373" s="30"/>
      <c r="AT373" s="30"/>
      <c r="AU373" s="30"/>
      <c r="AV373" s="89"/>
      <c r="AW373" s="53"/>
      <c r="AX373" s="35"/>
      <c r="AY373" s="34"/>
      <c r="AZ373" s="53"/>
      <c r="BA373" s="90"/>
      <c r="BB373" s="58"/>
      <c r="BC373" s="58"/>
      <c r="BD373" s="58"/>
      <c r="BE373" s="58"/>
      <c r="BF373" s="30"/>
      <c r="BG373" s="30"/>
      <c r="BH373" s="30"/>
      <c r="BI373" s="30"/>
      <c r="BJ373" s="91"/>
      <c r="BK373" s="53"/>
      <c r="BL373" s="36"/>
      <c r="BM373" s="34"/>
      <c r="BN373" s="53"/>
      <c r="BO373" s="90"/>
      <c r="BP373" s="58"/>
      <c r="BQ373" s="58"/>
      <c r="BR373" s="58"/>
      <c r="BS373" s="58"/>
      <c r="BT373" s="30"/>
      <c r="BU373" s="30"/>
      <c r="BV373" s="30"/>
      <c r="BW373" s="30"/>
      <c r="BX373" s="91"/>
      <c r="BY373" s="53"/>
      <c r="BZ373" s="36"/>
      <c r="CA373" s="34"/>
      <c r="CB373" s="53"/>
      <c r="CC373" s="90"/>
      <c r="CD373" s="58"/>
      <c r="CE373" s="58"/>
      <c r="CF373" s="58"/>
      <c r="CG373" s="30"/>
      <c r="CH373" s="30"/>
      <c r="CI373" s="64"/>
      <c r="CJ373" s="64"/>
      <c r="CK373" s="64"/>
      <c r="CL373" s="64"/>
    </row>
    <row r="374" spans="2:90" ht="135" x14ac:dyDescent="0.25">
      <c r="B374" s="30" t="s">
        <v>3078</v>
      </c>
      <c r="C374" s="30" t="s">
        <v>3079</v>
      </c>
      <c r="D374" s="33">
        <v>45643</v>
      </c>
      <c r="E374" s="30" t="s">
        <v>93</v>
      </c>
      <c r="F374" s="30" t="s">
        <v>93</v>
      </c>
      <c r="G374" s="30"/>
      <c r="H374" s="30" t="s">
        <v>101</v>
      </c>
      <c r="I374" s="35">
        <v>85</v>
      </c>
      <c r="J374" s="30" t="s">
        <v>70</v>
      </c>
      <c r="K374" s="35">
        <v>150</v>
      </c>
      <c r="L374" s="35"/>
      <c r="M374" s="30"/>
      <c r="N374" s="30"/>
      <c r="O374" s="30"/>
      <c r="P374" s="30"/>
      <c r="Q374" s="30" t="s">
        <v>3080</v>
      </c>
      <c r="R374" s="30" t="s">
        <v>3081</v>
      </c>
      <c r="S374" s="30" t="s">
        <v>134</v>
      </c>
      <c r="T374" s="30" t="s">
        <v>273</v>
      </c>
      <c r="U374" s="30" t="s">
        <v>95</v>
      </c>
      <c r="V374" s="30" t="s">
        <v>80</v>
      </c>
      <c r="W374" s="30" t="s">
        <v>72</v>
      </c>
      <c r="X374" s="30" t="s">
        <v>3029</v>
      </c>
      <c r="Y374" s="30" t="s">
        <v>73</v>
      </c>
      <c r="Z374" s="33">
        <v>45638</v>
      </c>
      <c r="AA374" s="33">
        <v>45638</v>
      </c>
      <c r="AB374" s="30" t="s">
        <v>74</v>
      </c>
      <c r="AC374" s="30"/>
      <c r="AD374" s="30"/>
      <c r="AE374" s="30"/>
      <c r="AF374" s="30"/>
      <c r="AG374" s="30"/>
      <c r="AH374" s="30"/>
      <c r="AI374" s="30"/>
      <c r="AJ374" s="31">
        <f t="shared" si="34"/>
        <v>85</v>
      </c>
      <c r="AK374" s="34"/>
      <c r="AL374" s="31">
        <f t="shared" si="35"/>
        <v>150</v>
      </c>
      <c r="AM374" s="34">
        <f>1971526047/AL374</f>
        <v>13143506.98</v>
      </c>
      <c r="AN374" s="34"/>
      <c r="AO374" s="34">
        <f t="shared" si="43"/>
        <v>1971526047</v>
      </c>
      <c r="AP374" s="30" t="s">
        <v>135</v>
      </c>
      <c r="AQ374" s="30" t="s">
        <v>101</v>
      </c>
      <c r="AR374" s="30"/>
      <c r="AS374" s="30"/>
      <c r="AT374" s="30"/>
      <c r="AU374" s="30"/>
      <c r="AV374" s="35">
        <v>85</v>
      </c>
      <c r="AW374" s="34">
        <v>19881962</v>
      </c>
      <c r="AX374" s="35">
        <v>170</v>
      </c>
      <c r="AY374" s="34">
        <v>2411960</v>
      </c>
      <c r="AZ374" s="34">
        <v>2500000000</v>
      </c>
      <c r="BA374" s="32">
        <f t="shared" si="36"/>
        <v>2099999970</v>
      </c>
      <c r="BB374" s="30" t="s">
        <v>136</v>
      </c>
      <c r="BC374" s="30" t="s">
        <v>81</v>
      </c>
      <c r="BD374" s="30" t="s">
        <v>3082</v>
      </c>
      <c r="BE374" s="30" t="s">
        <v>101</v>
      </c>
      <c r="BF374" s="30"/>
      <c r="BG374" s="30"/>
      <c r="BH374" s="30"/>
      <c r="BI374" s="30"/>
      <c r="BJ374" s="36">
        <v>54</v>
      </c>
      <c r="BK374" s="34">
        <v>21866111</v>
      </c>
      <c r="BL374" s="36">
        <v>90</v>
      </c>
      <c r="BM374" s="34">
        <v>3547000</v>
      </c>
      <c r="BN374" s="34">
        <v>1750000000</v>
      </c>
      <c r="BO374" s="32">
        <f t="shared" si="37"/>
        <v>1499999994</v>
      </c>
      <c r="BP374" s="30" t="s">
        <v>3083</v>
      </c>
      <c r="BQ374" s="30" t="s">
        <v>81</v>
      </c>
      <c r="BR374" s="30" t="s">
        <v>137</v>
      </c>
      <c r="BS374" s="30" t="s">
        <v>101</v>
      </c>
      <c r="BT374" s="30"/>
      <c r="BU374" s="30"/>
      <c r="BV374" s="30"/>
      <c r="BW374" s="30"/>
      <c r="BX374" s="36">
        <v>119</v>
      </c>
      <c r="BY374" s="34">
        <v>14171808</v>
      </c>
      <c r="BZ374" s="36">
        <v>130</v>
      </c>
      <c r="CA374" s="34">
        <v>2411960</v>
      </c>
      <c r="CB374" s="34">
        <v>2250000000</v>
      </c>
      <c r="CC374" s="32">
        <f t="shared" si="38"/>
        <v>1999999952</v>
      </c>
      <c r="CD374" s="30" t="s">
        <v>3084</v>
      </c>
      <c r="CE374" s="30" t="s">
        <v>81</v>
      </c>
      <c r="CF374" s="30" t="s">
        <v>196</v>
      </c>
      <c r="CG374" s="30"/>
      <c r="CH374" s="30"/>
      <c r="CI374" s="64"/>
      <c r="CJ374" s="64"/>
      <c r="CK374" s="64"/>
      <c r="CL374" s="64"/>
    </row>
    <row r="375" spans="2:90" ht="150" x14ac:dyDescent="0.25">
      <c r="B375" s="30" t="s">
        <v>3085</v>
      </c>
      <c r="C375" s="30" t="s">
        <v>3086</v>
      </c>
      <c r="D375" s="33">
        <v>45644</v>
      </c>
      <c r="E375" s="30" t="s">
        <v>3087</v>
      </c>
      <c r="F375" s="30" t="s">
        <v>3088</v>
      </c>
      <c r="G375" s="30"/>
      <c r="H375" s="30" t="s">
        <v>113</v>
      </c>
      <c r="I375" s="35">
        <v>5563</v>
      </c>
      <c r="J375" s="30" t="s">
        <v>70</v>
      </c>
      <c r="K375" s="35">
        <v>468</v>
      </c>
      <c r="L375" s="35"/>
      <c r="M375" s="30"/>
      <c r="N375" s="30"/>
      <c r="O375" s="30"/>
      <c r="P375" s="30"/>
      <c r="Q375" s="30" t="s">
        <v>3089</v>
      </c>
      <c r="R375" s="30" t="s">
        <v>3090</v>
      </c>
      <c r="S375" s="30" t="s">
        <v>3091</v>
      </c>
      <c r="T375" s="30" t="s">
        <v>203</v>
      </c>
      <c r="U375" s="30" t="s">
        <v>104</v>
      </c>
      <c r="V375" s="30" t="s">
        <v>84</v>
      </c>
      <c r="W375" s="30" t="s">
        <v>72</v>
      </c>
      <c r="X375" s="30" t="s">
        <v>3029</v>
      </c>
      <c r="Y375" s="30" t="s">
        <v>73</v>
      </c>
      <c r="Z375" s="33">
        <v>45635</v>
      </c>
      <c r="AA375" s="33">
        <v>45635</v>
      </c>
      <c r="AB375" s="30" t="s">
        <v>90</v>
      </c>
      <c r="AC375" s="30"/>
      <c r="AD375" s="30"/>
      <c r="AE375" s="30"/>
      <c r="AF375" s="30"/>
      <c r="AG375" s="30"/>
      <c r="AH375" s="30"/>
      <c r="AI375" s="30"/>
      <c r="AJ375" s="31">
        <f t="shared" si="34"/>
        <v>5563</v>
      </c>
      <c r="AK375" s="34">
        <f>57855200000/AJ375</f>
        <v>10400000</v>
      </c>
      <c r="AL375" s="31">
        <f t="shared" si="35"/>
        <v>468</v>
      </c>
      <c r="AM375" s="34">
        <f>307100000/AL375</f>
        <v>656196.58119658125</v>
      </c>
      <c r="AN375" s="34"/>
      <c r="AO375" s="34">
        <f t="shared" si="43"/>
        <v>58162300000</v>
      </c>
      <c r="AP375" s="30" t="s">
        <v>3092</v>
      </c>
      <c r="AQ375" s="30" t="s">
        <v>77</v>
      </c>
      <c r="AR375" s="30"/>
      <c r="AS375" s="30"/>
      <c r="AT375" s="30"/>
      <c r="AU375" s="30"/>
      <c r="AV375" s="35">
        <v>7000</v>
      </c>
      <c r="AW375" s="34">
        <v>16000000</v>
      </c>
      <c r="AX375" s="35"/>
      <c r="AY375" s="34"/>
      <c r="AZ375" s="34">
        <v>140000000000</v>
      </c>
      <c r="BA375" s="32">
        <f t="shared" si="36"/>
        <v>112000000000</v>
      </c>
      <c r="BB375" s="30" t="s">
        <v>3093</v>
      </c>
      <c r="BC375" s="30" t="s">
        <v>81</v>
      </c>
      <c r="BD375" s="30" t="s">
        <v>3094</v>
      </c>
      <c r="BE375" s="30" t="s">
        <v>77</v>
      </c>
      <c r="BF375" s="30"/>
      <c r="BG375" s="30"/>
      <c r="BH375" s="30"/>
      <c r="BI375" s="30"/>
      <c r="BJ375" s="36">
        <v>2215</v>
      </c>
      <c r="BK375" s="34">
        <v>13500000</v>
      </c>
      <c r="BL375" s="36"/>
      <c r="BM375" s="34"/>
      <c r="BN375" s="34">
        <v>33225000000</v>
      </c>
      <c r="BO375" s="32">
        <f t="shared" si="37"/>
        <v>29902500000</v>
      </c>
      <c r="BP375" s="30" t="s">
        <v>3095</v>
      </c>
      <c r="BQ375" s="30" t="s">
        <v>81</v>
      </c>
      <c r="BR375" s="30" t="s">
        <v>3096</v>
      </c>
      <c r="BS375" s="30" t="s">
        <v>77</v>
      </c>
      <c r="BT375" s="30"/>
      <c r="BU375" s="30"/>
      <c r="BV375" s="30"/>
      <c r="BW375" s="30"/>
      <c r="BX375" s="36">
        <v>733</v>
      </c>
      <c r="BY375" s="34">
        <v>20000000</v>
      </c>
      <c r="BZ375" s="36"/>
      <c r="CA375" s="34"/>
      <c r="CB375" s="34">
        <v>17592000000</v>
      </c>
      <c r="CC375" s="32">
        <f t="shared" si="38"/>
        <v>14660000000</v>
      </c>
      <c r="CD375" s="30" t="s">
        <v>3095</v>
      </c>
      <c r="CE375" s="30" t="s">
        <v>81</v>
      </c>
      <c r="CF375" s="30" t="s">
        <v>3097</v>
      </c>
      <c r="CG375" s="30"/>
      <c r="CH375" s="30"/>
      <c r="CI375" s="64"/>
      <c r="CJ375" s="64"/>
      <c r="CK375" s="64"/>
      <c r="CL375" s="64"/>
    </row>
    <row r="376" spans="2:90" ht="120" x14ac:dyDescent="0.25">
      <c r="B376" s="30" t="s">
        <v>3098</v>
      </c>
      <c r="C376" s="30" t="s">
        <v>3099</v>
      </c>
      <c r="D376" s="33">
        <v>45645</v>
      </c>
      <c r="E376" s="30" t="s">
        <v>3100</v>
      </c>
      <c r="F376" s="30" t="s">
        <v>3100</v>
      </c>
      <c r="G376" s="30"/>
      <c r="H376" s="30" t="s">
        <v>3101</v>
      </c>
      <c r="I376" s="35">
        <v>6660</v>
      </c>
      <c r="J376" s="30" t="s">
        <v>70</v>
      </c>
      <c r="K376" s="35">
        <v>3042</v>
      </c>
      <c r="L376" s="35"/>
      <c r="M376" s="30" t="s">
        <v>1140</v>
      </c>
      <c r="N376" s="30"/>
      <c r="O376" s="30"/>
      <c r="P376" s="30"/>
      <c r="Q376" s="30"/>
      <c r="R376" s="30"/>
      <c r="S376" s="30" t="s">
        <v>3102</v>
      </c>
      <c r="T376" s="30" t="s">
        <v>3103</v>
      </c>
      <c r="U376" s="30" t="s">
        <v>574</v>
      </c>
      <c r="V376" s="30" t="s">
        <v>92</v>
      </c>
      <c r="W376" s="30" t="s">
        <v>72</v>
      </c>
      <c r="X376" s="30" t="s">
        <v>3029</v>
      </c>
      <c r="Y376" s="30" t="s">
        <v>73</v>
      </c>
      <c r="Z376" s="33">
        <v>45642</v>
      </c>
      <c r="AA376" s="33">
        <v>45642</v>
      </c>
      <c r="AB376" s="30" t="s">
        <v>90</v>
      </c>
      <c r="AC376" s="30"/>
      <c r="AD376" s="30"/>
      <c r="AE376" s="30"/>
      <c r="AF376" s="30"/>
      <c r="AG376" s="30"/>
      <c r="AH376" s="30"/>
      <c r="AI376" s="30"/>
      <c r="AJ376" s="31">
        <f t="shared" si="34"/>
        <v>6660</v>
      </c>
      <c r="AK376" s="34">
        <f>1531800000/AJ376</f>
        <v>230000</v>
      </c>
      <c r="AL376" s="31">
        <f t="shared" si="35"/>
        <v>3042</v>
      </c>
      <c r="AM376" s="34">
        <f>6179600000/AL376</f>
        <v>2031426.6929651545</v>
      </c>
      <c r="AN376" s="34">
        <f>376400000+2509700000+2509700000</f>
        <v>5395800000</v>
      </c>
      <c r="AO376" s="34">
        <f t="shared" si="43"/>
        <v>13107200000</v>
      </c>
      <c r="AP376" s="30" t="s">
        <v>3104</v>
      </c>
      <c r="AQ376" s="30" t="s">
        <v>77</v>
      </c>
      <c r="AR376" s="30"/>
      <c r="AS376" s="30"/>
      <c r="AT376" s="30"/>
      <c r="AU376" s="30"/>
      <c r="AV376" s="35">
        <v>2800</v>
      </c>
      <c r="AW376" s="34">
        <v>240000</v>
      </c>
      <c r="AX376" s="35"/>
      <c r="AY376" s="34"/>
      <c r="AZ376" s="34">
        <v>759500000</v>
      </c>
      <c r="BA376" s="32">
        <f t="shared" si="36"/>
        <v>672000000</v>
      </c>
      <c r="BB376" s="30" t="s">
        <v>3105</v>
      </c>
      <c r="BC376" s="30" t="s">
        <v>81</v>
      </c>
      <c r="BD376" s="30" t="s">
        <v>3104</v>
      </c>
      <c r="BE376" s="30" t="s">
        <v>77</v>
      </c>
      <c r="BF376" s="30"/>
      <c r="BG376" s="30"/>
      <c r="BH376" s="30"/>
      <c r="BI376" s="30"/>
      <c r="BJ376" s="36">
        <v>1400</v>
      </c>
      <c r="BK376" s="34">
        <v>145000</v>
      </c>
      <c r="BL376" s="36"/>
      <c r="BM376" s="34"/>
      <c r="BN376" s="34">
        <v>229750000</v>
      </c>
      <c r="BO376" s="32">
        <f t="shared" si="37"/>
        <v>203000000</v>
      </c>
      <c r="BP376" s="30" t="s">
        <v>3106</v>
      </c>
      <c r="BQ376" s="30" t="s">
        <v>81</v>
      </c>
      <c r="BR376" s="30" t="s">
        <v>3107</v>
      </c>
      <c r="BS376" s="30" t="s">
        <v>77</v>
      </c>
      <c r="BT376" s="30"/>
      <c r="BU376" s="30"/>
      <c r="BV376" s="30"/>
      <c r="BW376" s="30"/>
      <c r="BX376" s="36">
        <v>243</v>
      </c>
      <c r="BY376" s="34">
        <v>520000</v>
      </c>
      <c r="BZ376" s="36"/>
      <c r="CA376" s="34"/>
      <c r="CB376" s="34">
        <v>147501000</v>
      </c>
      <c r="CC376" s="32">
        <f t="shared" si="38"/>
        <v>126360000</v>
      </c>
      <c r="CD376" s="30" t="s">
        <v>3108</v>
      </c>
      <c r="CE376" s="30" t="s">
        <v>81</v>
      </c>
      <c r="CF376" s="30" t="s">
        <v>294</v>
      </c>
      <c r="CG376" s="30"/>
      <c r="CH376" s="30"/>
      <c r="CI376" s="64"/>
      <c r="CJ376" s="64"/>
      <c r="CK376" s="64"/>
      <c r="CL376" s="64"/>
    </row>
    <row r="377" spans="2:90" ht="150" x14ac:dyDescent="0.25">
      <c r="B377" s="54" t="s">
        <v>3109</v>
      </c>
      <c r="C377" s="54" t="s">
        <v>3110</v>
      </c>
      <c r="D377" s="67">
        <v>45650</v>
      </c>
      <c r="E377" s="54" t="s">
        <v>2908</v>
      </c>
      <c r="F377" s="54" t="s">
        <v>2908</v>
      </c>
      <c r="G377" s="30"/>
      <c r="H377" s="30" t="s">
        <v>101</v>
      </c>
      <c r="I377" s="35">
        <v>82</v>
      </c>
      <c r="J377" s="54" t="s">
        <v>70</v>
      </c>
      <c r="K377" s="35">
        <v>150</v>
      </c>
      <c r="L377" s="35"/>
      <c r="M377" s="30"/>
      <c r="N377" s="30"/>
      <c r="O377" s="30"/>
      <c r="P377" s="30"/>
      <c r="Q377" s="30" t="s">
        <v>3111</v>
      </c>
      <c r="R377" s="54" t="s">
        <v>3112</v>
      </c>
      <c r="S377" s="54" t="s">
        <v>3113</v>
      </c>
      <c r="T377" s="54" t="s">
        <v>3114</v>
      </c>
      <c r="U377" s="54" t="s">
        <v>110</v>
      </c>
      <c r="V377" s="54" t="s">
        <v>111</v>
      </c>
      <c r="W377" s="54" t="s">
        <v>72</v>
      </c>
      <c r="X377" s="54" t="s">
        <v>131</v>
      </c>
      <c r="Y377" s="54" t="s">
        <v>73</v>
      </c>
      <c r="Z377" s="67">
        <v>45639</v>
      </c>
      <c r="AA377" s="67">
        <v>45639</v>
      </c>
      <c r="AB377" s="54" t="s">
        <v>90</v>
      </c>
      <c r="AC377" s="30"/>
      <c r="AD377" s="30"/>
      <c r="AE377" s="30"/>
      <c r="AF377" s="30"/>
      <c r="AG377" s="30"/>
      <c r="AH377" s="30"/>
      <c r="AI377" s="30"/>
      <c r="AJ377" s="31">
        <f t="shared" si="34"/>
        <v>82</v>
      </c>
      <c r="AK377" s="34"/>
      <c r="AL377" s="31">
        <f t="shared" si="35"/>
        <v>150</v>
      </c>
      <c r="AM377" s="34">
        <f>852000000/AL377</f>
        <v>5680000</v>
      </c>
      <c r="AN377" s="34"/>
      <c r="AO377" s="51">
        <f>AN378+AN379+(AL377*AM377)</f>
        <v>82148628000</v>
      </c>
      <c r="AP377" s="30" t="s">
        <v>3115</v>
      </c>
      <c r="AQ377" s="30" t="s">
        <v>101</v>
      </c>
      <c r="AR377" s="30"/>
      <c r="AS377" s="30"/>
      <c r="AT377" s="30"/>
      <c r="AU377" s="30"/>
      <c r="AV377" s="35">
        <v>75</v>
      </c>
      <c r="AW377" s="34">
        <v>4015579</v>
      </c>
      <c r="AX377" s="35">
        <v>145</v>
      </c>
      <c r="AY377" s="34">
        <v>3302287</v>
      </c>
      <c r="AZ377" s="34">
        <v>850000000</v>
      </c>
      <c r="BA377" s="32">
        <f t="shared" si="36"/>
        <v>780000040</v>
      </c>
      <c r="BB377" s="30" t="s">
        <v>3116</v>
      </c>
      <c r="BC377" s="30" t="s">
        <v>81</v>
      </c>
      <c r="BD377" s="30" t="s">
        <v>3117</v>
      </c>
      <c r="BE377" s="30" t="s">
        <v>101</v>
      </c>
      <c r="BF377" s="30"/>
      <c r="BG377" s="30"/>
      <c r="BH377" s="30"/>
      <c r="BI377" s="30"/>
      <c r="BJ377" s="36">
        <v>75</v>
      </c>
      <c r="BK377" s="34">
        <v>5615579</v>
      </c>
      <c r="BL377" s="36">
        <v>145</v>
      </c>
      <c r="BM377" s="34">
        <v>3302287</v>
      </c>
      <c r="BN377" s="34">
        <v>980000000</v>
      </c>
      <c r="BO377" s="32">
        <f t="shared" si="37"/>
        <v>900000040</v>
      </c>
      <c r="BP377" s="30" t="s">
        <v>3118</v>
      </c>
      <c r="BQ377" s="30" t="s">
        <v>81</v>
      </c>
      <c r="BR377" s="30" t="s">
        <v>3119</v>
      </c>
      <c r="BS377" s="30" t="s">
        <v>101</v>
      </c>
      <c r="BT377" s="30"/>
      <c r="BU377" s="30"/>
      <c r="BV377" s="30"/>
      <c r="BW377" s="30"/>
      <c r="BX377" s="36">
        <v>75</v>
      </c>
      <c r="BY377" s="34">
        <v>6046540</v>
      </c>
      <c r="BZ377" s="36">
        <v>220</v>
      </c>
      <c r="CA377" s="34">
        <v>3393225</v>
      </c>
      <c r="CB377" s="34">
        <v>1300000000</v>
      </c>
      <c r="CC377" s="32">
        <f t="shared" si="38"/>
        <v>1200000000</v>
      </c>
      <c r="CD377" s="30" t="s">
        <v>3120</v>
      </c>
      <c r="CE377" s="30" t="s">
        <v>81</v>
      </c>
      <c r="CF377" s="54" t="s">
        <v>1242</v>
      </c>
      <c r="CG377" s="30"/>
      <c r="CH377" s="30"/>
      <c r="CI377" s="64"/>
      <c r="CJ377" s="64"/>
      <c r="CK377" s="64"/>
      <c r="CL377" s="64"/>
    </row>
    <row r="378" spans="2:90" ht="150" x14ac:dyDescent="0.25">
      <c r="B378" s="57"/>
      <c r="C378" s="57"/>
      <c r="D378" s="68"/>
      <c r="E378" s="57"/>
      <c r="F378" s="57"/>
      <c r="G378" s="30"/>
      <c r="H378" s="30" t="s">
        <v>3121</v>
      </c>
      <c r="I378" s="35">
        <v>537</v>
      </c>
      <c r="J378" s="58"/>
      <c r="K378" s="35">
        <v>1843</v>
      </c>
      <c r="L378" s="35"/>
      <c r="M378" s="30" t="s">
        <v>3122</v>
      </c>
      <c r="N378" s="30"/>
      <c r="O378" s="30"/>
      <c r="P378" s="30"/>
      <c r="Q378" s="54" t="s">
        <v>3123</v>
      </c>
      <c r="R378" s="57"/>
      <c r="S378" s="57"/>
      <c r="T378" s="57"/>
      <c r="U378" s="57"/>
      <c r="V378" s="57"/>
      <c r="W378" s="57"/>
      <c r="X378" s="57"/>
      <c r="Y378" s="57"/>
      <c r="Z378" s="68"/>
      <c r="AA378" s="68"/>
      <c r="AB378" s="57"/>
      <c r="AC378" s="30"/>
      <c r="AD378" s="30"/>
      <c r="AE378" s="30"/>
      <c r="AF378" s="30"/>
      <c r="AG378" s="30"/>
      <c r="AH378" s="30"/>
      <c r="AI378" s="30"/>
      <c r="AJ378" s="31">
        <f t="shared" si="34"/>
        <v>537</v>
      </c>
      <c r="AK378" s="34">
        <f>9012600000/AJ378</f>
        <v>16783240.223463688</v>
      </c>
      <c r="AL378" s="31">
        <f t="shared" si="35"/>
        <v>1843</v>
      </c>
      <c r="AM378" s="34">
        <f>14057500000/AL378</f>
        <v>7627509.4953879546</v>
      </c>
      <c r="AN378" s="34">
        <f>9864998000+38972691000+4797199000+239627000+4111813000+9021600000+14057500000</f>
        <v>81065428000</v>
      </c>
      <c r="AO378" s="52"/>
      <c r="AP378" s="30" t="s">
        <v>3124</v>
      </c>
      <c r="AQ378" s="30" t="s">
        <v>3125</v>
      </c>
      <c r="AR378" s="30"/>
      <c r="AS378" s="30"/>
      <c r="AT378" s="30"/>
      <c r="AU378" s="30"/>
      <c r="AV378" s="35">
        <v>1000</v>
      </c>
      <c r="AW378" s="34">
        <v>25604106</v>
      </c>
      <c r="AX378" s="35">
        <v>2230</v>
      </c>
      <c r="AY378" s="34">
        <v>7800849</v>
      </c>
      <c r="AZ378" s="34">
        <v>60000000000</v>
      </c>
      <c r="BA378" s="32">
        <f t="shared" si="36"/>
        <v>42999999270</v>
      </c>
      <c r="BB378" s="30"/>
      <c r="BC378" s="30"/>
      <c r="BD378" s="30" t="s">
        <v>3126</v>
      </c>
      <c r="BE378" s="30" t="s">
        <v>281</v>
      </c>
      <c r="BF378" s="30"/>
      <c r="BG378" s="30"/>
      <c r="BH378" s="30"/>
      <c r="BI378" s="30"/>
      <c r="BJ378" s="36">
        <v>380</v>
      </c>
      <c r="BK378" s="34">
        <v>16377984</v>
      </c>
      <c r="BL378" s="36">
        <v>1520</v>
      </c>
      <c r="BM378" s="34">
        <v>2484451</v>
      </c>
      <c r="BN378" s="34">
        <v>12000000000</v>
      </c>
      <c r="BO378" s="32">
        <f t="shared" si="37"/>
        <v>9999999440</v>
      </c>
      <c r="BP378" s="30" t="s">
        <v>3127</v>
      </c>
      <c r="BQ378" s="30" t="s">
        <v>81</v>
      </c>
      <c r="BR378" s="30" t="s">
        <v>3128</v>
      </c>
      <c r="BS378" s="30" t="s">
        <v>3129</v>
      </c>
      <c r="BT378" s="30"/>
      <c r="BU378" s="30"/>
      <c r="BV378" s="30"/>
      <c r="BW378" s="30"/>
      <c r="BX378" s="36">
        <v>351</v>
      </c>
      <c r="BY378" s="34">
        <v>19281326</v>
      </c>
      <c r="BZ378" s="36">
        <v>1404</v>
      </c>
      <c r="CA378" s="34">
        <v>3726677</v>
      </c>
      <c r="CB378" s="34">
        <v>15000000000</v>
      </c>
      <c r="CC378" s="32">
        <f t="shared" si="38"/>
        <v>11999999934</v>
      </c>
      <c r="CD378" s="30" t="s">
        <v>3127</v>
      </c>
      <c r="CE378" s="30" t="s">
        <v>81</v>
      </c>
      <c r="CF378" s="57"/>
      <c r="CG378" s="30"/>
      <c r="CH378" s="30"/>
      <c r="CI378" s="64"/>
      <c r="CJ378" s="64"/>
      <c r="CK378" s="64"/>
      <c r="CL378" s="64"/>
    </row>
    <row r="379" spans="2:90" ht="75" x14ac:dyDescent="0.25">
      <c r="B379" s="58"/>
      <c r="C379" s="58"/>
      <c r="D379" s="69"/>
      <c r="E379" s="58"/>
      <c r="F379" s="58"/>
      <c r="G379" s="30"/>
      <c r="H379" s="30" t="s">
        <v>130</v>
      </c>
      <c r="I379" s="35"/>
      <c r="J379" s="30"/>
      <c r="K379" s="35"/>
      <c r="L379" s="35"/>
      <c r="M379" s="30"/>
      <c r="N379" s="30"/>
      <c r="O379" s="30"/>
      <c r="P379" s="30"/>
      <c r="Q379" s="58"/>
      <c r="R379" s="58"/>
      <c r="S379" s="58"/>
      <c r="T379" s="58"/>
      <c r="U379" s="58"/>
      <c r="V379" s="58"/>
      <c r="W379" s="58"/>
      <c r="X379" s="58"/>
      <c r="Y379" s="58"/>
      <c r="Z379" s="69"/>
      <c r="AA379" s="69"/>
      <c r="AB379" s="58"/>
      <c r="AC379" s="30" t="s">
        <v>3130</v>
      </c>
      <c r="AD379" s="30" t="s">
        <v>3131</v>
      </c>
      <c r="AE379" s="30" t="s">
        <v>3132</v>
      </c>
      <c r="AF379" s="30"/>
      <c r="AG379" s="30"/>
      <c r="AH379" s="30"/>
      <c r="AI379" s="30"/>
      <c r="AJ379" s="31">
        <f t="shared" si="34"/>
        <v>0</v>
      </c>
      <c r="AK379" s="34"/>
      <c r="AL379" s="31">
        <f t="shared" si="35"/>
        <v>0</v>
      </c>
      <c r="AM379" s="34"/>
      <c r="AN379" s="34">
        <f>120300000+110900000</f>
        <v>231200000</v>
      </c>
      <c r="AO379" s="53"/>
      <c r="AP379" s="30" t="s">
        <v>1914</v>
      </c>
      <c r="AQ379" s="30" t="s">
        <v>130</v>
      </c>
      <c r="AR379" s="30"/>
      <c r="AS379" s="30"/>
      <c r="AT379" s="30" t="s">
        <v>3133</v>
      </c>
      <c r="AU379" s="30"/>
      <c r="AV379" s="35"/>
      <c r="AW379" s="34"/>
      <c r="AX379" s="35"/>
      <c r="AY379" s="34"/>
      <c r="AZ379" s="34">
        <v>120000000</v>
      </c>
      <c r="BA379" s="32">
        <f>AZ379-5000000</f>
        <v>115000000</v>
      </c>
      <c r="BB379" s="30" t="s">
        <v>3134</v>
      </c>
      <c r="BC379" s="30" t="s">
        <v>81</v>
      </c>
      <c r="BD379" s="30" t="s">
        <v>3042</v>
      </c>
      <c r="BE379" s="30" t="s">
        <v>130</v>
      </c>
      <c r="BF379" s="30"/>
      <c r="BG379" s="30"/>
      <c r="BH379" s="30" t="s">
        <v>3133</v>
      </c>
      <c r="BI379" s="30">
        <v>2011</v>
      </c>
      <c r="BJ379" s="36"/>
      <c r="BK379" s="34"/>
      <c r="BL379" s="36"/>
      <c r="BM379" s="34"/>
      <c r="BN379" s="34">
        <v>121000000</v>
      </c>
      <c r="BO379" s="32">
        <f>BN379-6000000</f>
        <v>115000000</v>
      </c>
      <c r="BP379" s="30" t="s">
        <v>3135</v>
      </c>
      <c r="BQ379" s="30" t="s">
        <v>81</v>
      </c>
      <c r="BR379" s="30" t="s">
        <v>3042</v>
      </c>
      <c r="BS379" s="30" t="s">
        <v>130</v>
      </c>
      <c r="BT379" s="30"/>
      <c r="BU379" s="30"/>
      <c r="BV379" s="30" t="s">
        <v>3133</v>
      </c>
      <c r="BW379" s="30">
        <v>2011</v>
      </c>
      <c r="BX379" s="36"/>
      <c r="BY379" s="34"/>
      <c r="BZ379" s="36"/>
      <c r="CA379" s="34"/>
      <c r="CB379" s="34">
        <v>128000000</v>
      </c>
      <c r="CC379" s="32">
        <f>CB379-5000000</f>
        <v>123000000</v>
      </c>
      <c r="CD379" s="30" t="s">
        <v>3136</v>
      </c>
      <c r="CE379" s="30" t="s">
        <v>81</v>
      </c>
      <c r="CF379" s="58"/>
      <c r="CG379" s="30"/>
      <c r="CH379" s="30"/>
      <c r="CI379" s="64"/>
      <c r="CJ379" s="64"/>
      <c r="CK379" s="64"/>
      <c r="CL379" s="64"/>
    </row>
    <row r="380" spans="2:90" ht="90" x14ac:dyDescent="0.25">
      <c r="B380" s="30" t="s">
        <v>3137</v>
      </c>
      <c r="C380" s="30" t="s">
        <v>3138</v>
      </c>
      <c r="D380" s="33">
        <v>45650</v>
      </c>
      <c r="E380" s="30" t="s">
        <v>289</v>
      </c>
      <c r="F380" s="30" t="s">
        <v>289</v>
      </c>
      <c r="G380" s="30"/>
      <c r="H380" s="30" t="s">
        <v>274</v>
      </c>
      <c r="I380" s="35">
        <v>353</v>
      </c>
      <c r="J380" s="30" t="s">
        <v>70</v>
      </c>
      <c r="K380" s="35">
        <v>410</v>
      </c>
      <c r="L380" s="35"/>
      <c r="M380" s="30"/>
      <c r="N380" s="30"/>
      <c r="O380" s="30"/>
      <c r="P380" s="30"/>
      <c r="Q380" s="30"/>
      <c r="R380" s="30" t="s">
        <v>3139</v>
      </c>
      <c r="S380" s="30" t="s">
        <v>3140</v>
      </c>
      <c r="T380" s="30" t="s">
        <v>290</v>
      </c>
      <c r="U380" s="30" t="s">
        <v>112</v>
      </c>
      <c r="V380" s="30" t="s">
        <v>92</v>
      </c>
      <c r="W380" s="30" t="s">
        <v>72</v>
      </c>
      <c r="X380" s="30" t="s">
        <v>131</v>
      </c>
      <c r="Y380" s="30" t="s">
        <v>73</v>
      </c>
      <c r="Z380" s="33">
        <v>45635</v>
      </c>
      <c r="AA380" s="33">
        <v>45635</v>
      </c>
      <c r="AB380" s="30" t="s">
        <v>90</v>
      </c>
      <c r="AC380" s="30"/>
      <c r="AD380" s="30"/>
      <c r="AE380" s="30"/>
      <c r="AF380" s="30"/>
      <c r="AG380" s="30"/>
      <c r="AH380" s="30"/>
      <c r="AI380" s="30"/>
      <c r="AJ380" s="31">
        <f t="shared" si="34"/>
        <v>353</v>
      </c>
      <c r="AK380" s="34">
        <f>11366600000/AJ380</f>
        <v>32200000</v>
      </c>
      <c r="AL380" s="31">
        <f t="shared" si="35"/>
        <v>410</v>
      </c>
      <c r="AM380" s="34">
        <f>881400000/AL380</f>
        <v>2149756.0975609757</v>
      </c>
      <c r="AN380" s="34"/>
      <c r="AO380" s="34">
        <f t="shared" si="43"/>
        <v>12248000000</v>
      </c>
      <c r="AP380" s="30" t="s">
        <v>3141</v>
      </c>
      <c r="AQ380" s="30" t="s">
        <v>3142</v>
      </c>
      <c r="AR380" s="30"/>
      <c r="AS380" s="30"/>
      <c r="AT380" s="30"/>
      <c r="AU380" s="30"/>
      <c r="AV380" s="35">
        <v>114</v>
      </c>
      <c r="AW380" s="34">
        <v>34228070</v>
      </c>
      <c r="AX380" s="35">
        <v>250</v>
      </c>
      <c r="AY380" s="34">
        <v>3192000</v>
      </c>
      <c r="AZ380" s="34">
        <v>5700000000</v>
      </c>
      <c r="BA380" s="32">
        <f t="shared" si="36"/>
        <v>4699999980</v>
      </c>
      <c r="BB380" s="30" t="s">
        <v>3143</v>
      </c>
      <c r="BC380" s="30" t="s">
        <v>81</v>
      </c>
      <c r="BD380" s="30" t="s">
        <v>3141</v>
      </c>
      <c r="BE380" s="30" t="s">
        <v>77</v>
      </c>
      <c r="BF380" s="30"/>
      <c r="BG380" s="30"/>
      <c r="BH380" s="30"/>
      <c r="BI380" s="30"/>
      <c r="BJ380" s="36">
        <v>1800</v>
      </c>
      <c r="BK380" s="34">
        <v>30000000</v>
      </c>
      <c r="BL380" s="36"/>
      <c r="BM380" s="34"/>
      <c r="BN380" s="34">
        <v>63000000000</v>
      </c>
      <c r="BO380" s="32">
        <f t="shared" si="37"/>
        <v>54000000000</v>
      </c>
      <c r="BP380" s="30" t="s">
        <v>3144</v>
      </c>
      <c r="BQ380" s="30" t="s">
        <v>81</v>
      </c>
      <c r="BR380" s="30" t="s">
        <v>3141</v>
      </c>
      <c r="BS380" s="30" t="s">
        <v>76</v>
      </c>
      <c r="BT380" s="30"/>
      <c r="BU380" s="30"/>
      <c r="BV380" s="30"/>
      <c r="BW380" s="30"/>
      <c r="BX380" s="36">
        <v>3660</v>
      </c>
      <c r="BY380" s="34">
        <v>27000000</v>
      </c>
      <c r="BZ380" s="36"/>
      <c r="CA380" s="34"/>
      <c r="CB380" s="34">
        <v>109800000000</v>
      </c>
      <c r="CC380" s="32">
        <f t="shared" si="38"/>
        <v>98820000000</v>
      </c>
      <c r="CD380" s="30" t="s">
        <v>3145</v>
      </c>
      <c r="CE380" s="30" t="s">
        <v>81</v>
      </c>
      <c r="CF380" s="30" t="s">
        <v>294</v>
      </c>
      <c r="CG380" s="30"/>
      <c r="CH380" s="30"/>
      <c r="CI380" s="64"/>
      <c r="CJ380" s="64"/>
      <c r="CK380" s="64"/>
      <c r="CL380" s="64"/>
    </row>
    <row r="381" spans="2:90" ht="150" x14ac:dyDescent="0.25">
      <c r="B381" s="54" t="s">
        <v>3146</v>
      </c>
      <c r="C381" s="54" t="s">
        <v>3147</v>
      </c>
      <c r="D381" s="67">
        <v>45656</v>
      </c>
      <c r="E381" s="54" t="s">
        <v>3148</v>
      </c>
      <c r="F381" s="54" t="s">
        <v>332</v>
      </c>
      <c r="G381" s="30"/>
      <c r="H381" s="30" t="s">
        <v>3149</v>
      </c>
      <c r="I381" s="35">
        <v>131692</v>
      </c>
      <c r="J381" s="30" t="s">
        <v>70</v>
      </c>
      <c r="K381" s="35">
        <v>99920</v>
      </c>
      <c r="L381" s="35"/>
      <c r="M381" s="30" t="s">
        <v>3150</v>
      </c>
      <c r="N381" s="30"/>
      <c r="O381" s="30"/>
      <c r="P381" s="30"/>
      <c r="Q381" s="54" t="s">
        <v>3151</v>
      </c>
      <c r="R381" s="54" t="s">
        <v>3152</v>
      </c>
      <c r="S381" s="54" t="s">
        <v>3153</v>
      </c>
      <c r="T381" s="54" t="s">
        <v>2244</v>
      </c>
      <c r="U381" s="54" t="s">
        <v>229</v>
      </c>
      <c r="V381" s="54" t="s">
        <v>92</v>
      </c>
      <c r="W381" s="54" t="s">
        <v>72</v>
      </c>
      <c r="X381" s="54" t="s">
        <v>3029</v>
      </c>
      <c r="Y381" s="54" t="s">
        <v>73</v>
      </c>
      <c r="Z381" s="67" t="s">
        <v>3154</v>
      </c>
      <c r="AA381" s="67">
        <v>45583</v>
      </c>
      <c r="AB381" s="54" t="s">
        <v>90</v>
      </c>
      <c r="AC381" s="47"/>
      <c r="AD381" s="47"/>
      <c r="AE381" s="47"/>
      <c r="AF381" s="30"/>
      <c r="AG381" s="30"/>
      <c r="AH381" s="30"/>
      <c r="AI381" s="30"/>
      <c r="AJ381" s="31">
        <f t="shared" si="34"/>
        <v>131692</v>
      </c>
      <c r="AK381" s="34">
        <f>289722400000/AJ381</f>
        <v>2200000</v>
      </c>
      <c r="AL381" s="31">
        <f t="shared" si="35"/>
        <v>99920</v>
      </c>
      <c r="AM381" s="34">
        <f>128628000000/AL381</f>
        <v>1287309.8478783027</v>
      </c>
      <c r="AN381" s="34">
        <f>8289302000+235068509000+1225132000</f>
        <v>244582943000</v>
      </c>
      <c r="AO381" s="51">
        <f>(AJ381*AK381)+(AL381*AM381)+AN381+AN382</f>
        <v>663079843000</v>
      </c>
      <c r="AP381" s="30" t="s">
        <v>3155</v>
      </c>
      <c r="AQ381" s="30" t="s">
        <v>77</v>
      </c>
      <c r="AR381" s="30"/>
      <c r="AS381" s="30"/>
      <c r="AT381" s="30"/>
      <c r="AU381" s="30"/>
      <c r="AV381" s="35">
        <v>134113</v>
      </c>
      <c r="AW381" s="34">
        <v>2150000</v>
      </c>
      <c r="AX381" s="35"/>
      <c r="AY381" s="34"/>
      <c r="AZ381" s="34">
        <v>335282500000</v>
      </c>
      <c r="BA381" s="32">
        <f t="shared" si="36"/>
        <v>288342950000</v>
      </c>
      <c r="BB381" s="30" t="s">
        <v>3156</v>
      </c>
      <c r="BC381" s="30" t="s">
        <v>81</v>
      </c>
      <c r="BD381" s="30" t="s">
        <v>3157</v>
      </c>
      <c r="BE381" s="30" t="s">
        <v>245</v>
      </c>
      <c r="BF381" s="30"/>
      <c r="BG381" s="30"/>
      <c r="BH381" s="30"/>
      <c r="BI381" s="30"/>
      <c r="BJ381" s="36">
        <v>20000</v>
      </c>
      <c r="BK381" s="34">
        <v>2206559</v>
      </c>
      <c r="BL381" s="36">
        <v>11506</v>
      </c>
      <c r="BM381" s="34">
        <v>2335200</v>
      </c>
      <c r="BN381" s="34">
        <v>80000000000</v>
      </c>
      <c r="BO381" s="32">
        <f t="shared" si="37"/>
        <v>70999991200</v>
      </c>
      <c r="BP381" s="30" t="s">
        <v>3158</v>
      </c>
      <c r="BQ381" s="30" t="s">
        <v>81</v>
      </c>
      <c r="BR381" s="30" t="s">
        <v>3157</v>
      </c>
      <c r="BS381" s="30" t="s">
        <v>77</v>
      </c>
      <c r="BT381" s="30"/>
      <c r="BU381" s="30"/>
      <c r="BV381" s="30"/>
      <c r="BW381" s="30"/>
      <c r="BX381" s="36">
        <v>56419</v>
      </c>
      <c r="BY381" s="34">
        <v>2150000</v>
      </c>
      <c r="BZ381" s="36"/>
      <c r="CA381" s="34"/>
      <c r="CB381" s="34">
        <v>135405600000</v>
      </c>
      <c r="CC381" s="32">
        <f t="shared" si="38"/>
        <v>121300850000</v>
      </c>
      <c r="CD381" s="30" t="s">
        <v>3156</v>
      </c>
      <c r="CE381" s="30" t="s">
        <v>81</v>
      </c>
      <c r="CF381" s="54" t="s">
        <v>3159</v>
      </c>
      <c r="CG381" s="30"/>
      <c r="CH381" s="30"/>
      <c r="CI381" s="64"/>
      <c r="CJ381" s="64"/>
      <c r="CK381" s="64"/>
      <c r="CL381" s="64"/>
    </row>
    <row r="382" spans="2:90" ht="105" x14ac:dyDescent="0.25">
      <c r="B382" s="58"/>
      <c r="C382" s="58"/>
      <c r="D382" s="69"/>
      <c r="E382" s="58"/>
      <c r="F382" s="58"/>
      <c r="G382" s="30"/>
      <c r="H382" s="30" t="s">
        <v>130</v>
      </c>
      <c r="I382" s="35"/>
      <c r="J382" s="30"/>
      <c r="K382" s="35"/>
      <c r="L382" s="35"/>
      <c r="M382" s="30"/>
      <c r="N382" s="30"/>
      <c r="O382" s="30"/>
      <c r="P382" s="30"/>
      <c r="Q382" s="58"/>
      <c r="R382" s="58"/>
      <c r="S382" s="58"/>
      <c r="T382" s="58"/>
      <c r="U382" s="58"/>
      <c r="V382" s="58"/>
      <c r="W382" s="58"/>
      <c r="X382" s="58"/>
      <c r="Y382" s="58"/>
      <c r="Z382" s="69"/>
      <c r="AA382" s="69"/>
      <c r="AB382" s="58"/>
      <c r="AC382" s="30" t="s">
        <v>3160</v>
      </c>
      <c r="AD382" s="30" t="s">
        <v>3161</v>
      </c>
      <c r="AE382" s="30" t="s">
        <v>3162</v>
      </c>
      <c r="AF382" s="30"/>
      <c r="AG382" s="30"/>
      <c r="AH382" s="30"/>
      <c r="AI382" s="30"/>
      <c r="AJ382" s="31">
        <f t="shared" si="34"/>
        <v>0</v>
      </c>
      <c r="AK382" s="34"/>
      <c r="AL382" s="31">
        <f t="shared" si="35"/>
        <v>0</v>
      </c>
      <c r="AM382" s="34"/>
      <c r="AN382" s="34">
        <f>102800000+22700000+21000000</f>
        <v>146500000</v>
      </c>
      <c r="AO382" s="53"/>
      <c r="AP382" s="30" t="s">
        <v>1914</v>
      </c>
      <c r="AQ382" s="30" t="s">
        <v>130</v>
      </c>
      <c r="AR382" s="30"/>
      <c r="AS382" s="30"/>
      <c r="AT382" s="30" t="s">
        <v>3163</v>
      </c>
      <c r="AU382" s="30">
        <v>2022</v>
      </c>
      <c r="AV382" s="35"/>
      <c r="AW382" s="34"/>
      <c r="AX382" s="35"/>
      <c r="AY382" s="34"/>
      <c r="AZ382" s="34">
        <v>108000000</v>
      </c>
      <c r="BA382" s="32">
        <f>AZ382-8000000</f>
        <v>100000000</v>
      </c>
      <c r="BB382" s="30" t="s">
        <v>3164</v>
      </c>
      <c r="BC382" s="30" t="s">
        <v>81</v>
      </c>
      <c r="BD382" s="30" t="s">
        <v>276</v>
      </c>
      <c r="BE382" s="30" t="s">
        <v>130</v>
      </c>
      <c r="BF382" s="30"/>
      <c r="BG382" s="30"/>
      <c r="BH382" s="30" t="s">
        <v>3163</v>
      </c>
      <c r="BI382" s="30">
        <v>2022</v>
      </c>
      <c r="BJ382" s="36"/>
      <c r="BK382" s="34"/>
      <c r="BL382" s="36"/>
      <c r="BM382" s="34"/>
      <c r="BN382" s="34">
        <v>108000000</v>
      </c>
      <c r="BO382" s="32">
        <f>BN382-8000000</f>
        <v>100000000</v>
      </c>
      <c r="BP382" s="30" t="s">
        <v>3165</v>
      </c>
      <c r="BQ382" s="30" t="s">
        <v>81</v>
      </c>
      <c r="BR382" s="30" t="s">
        <v>331</v>
      </c>
      <c r="BS382" s="30" t="s">
        <v>130</v>
      </c>
      <c r="BT382" s="30"/>
      <c r="BU382" s="30"/>
      <c r="BV382" s="30" t="s">
        <v>3163</v>
      </c>
      <c r="BW382" s="30">
        <v>2022</v>
      </c>
      <c r="BX382" s="36"/>
      <c r="BY382" s="34"/>
      <c r="BZ382" s="36"/>
      <c r="CA382" s="34"/>
      <c r="CB382" s="34">
        <v>107000000</v>
      </c>
      <c r="CC382" s="32">
        <f>CB382-3500000</f>
        <v>103500000</v>
      </c>
      <c r="CD382" s="30" t="s">
        <v>3166</v>
      </c>
      <c r="CE382" s="30" t="s">
        <v>81</v>
      </c>
      <c r="CF382" s="58"/>
      <c r="CG382" s="30"/>
      <c r="CH382" s="30"/>
      <c r="CI382" s="64"/>
      <c r="CJ382" s="64"/>
      <c r="CK382" s="64"/>
      <c r="CL382" s="64"/>
    </row>
  </sheetData>
  <mergeCells count="1043">
    <mergeCell ref="AO381:AO382"/>
    <mergeCell ref="CF381:CF382"/>
    <mergeCell ref="W381:W382"/>
    <mergeCell ref="X381:X382"/>
    <mergeCell ref="Y381:Y382"/>
    <mergeCell ref="Z381:Z382"/>
    <mergeCell ref="AA381:AA382"/>
    <mergeCell ref="AB381:AB382"/>
    <mergeCell ref="Q381:Q382"/>
    <mergeCell ref="R381:R382"/>
    <mergeCell ref="S381:S382"/>
    <mergeCell ref="T381:T382"/>
    <mergeCell ref="U381:U382"/>
    <mergeCell ref="V381:V382"/>
    <mergeCell ref="AA377:AA379"/>
    <mergeCell ref="AB377:AB379"/>
    <mergeCell ref="AO377:AO379"/>
    <mergeCell ref="CF377:CF379"/>
    <mergeCell ref="Q378:Q379"/>
    <mergeCell ref="B381:B382"/>
    <mergeCell ref="C381:C382"/>
    <mergeCell ref="D381:D382"/>
    <mergeCell ref="E381:E382"/>
    <mergeCell ref="F381:F382"/>
    <mergeCell ref="U377:U379"/>
    <mergeCell ref="V377:V379"/>
    <mergeCell ref="W377:W379"/>
    <mergeCell ref="X377:X379"/>
    <mergeCell ref="Y377:Y379"/>
    <mergeCell ref="Z377:Z379"/>
    <mergeCell ref="CF369:CF373"/>
    <mergeCell ref="B377:B379"/>
    <mergeCell ref="C377:C379"/>
    <mergeCell ref="D377:D379"/>
    <mergeCell ref="E377:E379"/>
    <mergeCell ref="F377:F379"/>
    <mergeCell ref="J377:J378"/>
    <mergeCell ref="R377:R379"/>
    <mergeCell ref="S377:S379"/>
    <mergeCell ref="T377:T379"/>
    <mergeCell ref="BX369:BX373"/>
    <mergeCell ref="BY369:BY373"/>
    <mergeCell ref="CB369:CB373"/>
    <mergeCell ref="CC369:CC373"/>
    <mergeCell ref="CD369:CD373"/>
    <mergeCell ref="CE369:CE373"/>
    <mergeCell ref="BN369:BN373"/>
    <mergeCell ref="BO369:BO373"/>
    <mergeCell ref="BP369:BP373"/>
    <mergeCell ref="BQ369:BQ373"/>
    <mergeCell ref="BR369:BR373"/>
    <mergeCell ref="BS369:BS373"/>
    <mergeCell ref="BB369:BB373"/>
    <mergeCell ref="BC369:BC373"/>
    <mergeCell ref="BD369:BD373"/>
    <mergeCell ref="BE369:BE373"/>
    <mergeCell ref="BJ369:BJ373"/>
    <mergeCell ref="BK369:BK373"/>
    <mergeCell ref="AP369:AP373"/>
    <mergeCell ref="AQ369:AQ373"/>
    <mergeCell ref="AV369:AV373"/>
    <mergeCell ref="AW369:AW373"/>
    <mergeCell ref="AZ369:AZ373"/>
    <mergeCell ref="BA369:BA373"/>
    <mergeCell ref="W369:W373"/>
    <mergeCell ref="X369:X373"/>
    <mergeCell ref="Y369:Y373"/>
    <mergeCell ref="Z369:Z373"/>
    <mergeCell ref="AA369:AA373"/>
    <mergeCell ref="AB369:AB373"/>
    <mergeCell ref="J369:J373"/>
    <mergeCell ref="Q369:Q373"/>
    <mergeCell ref="S369:S373"/>
    <mergeCell ref="T369:T373"/>
    <mergeCell ref="U369:U373"/>
    <mergeCell ref="V369:V373"/>
    <mergeCell ref="B369:B373"/>
    <mergeCell ref="C369:C373"/>
    <mergeCell ref="D369:D373"/>
    <mergeCell ref="E369:E373"/>
    <mergeCell ref="F369:F373"/>
    <mergeCell ref="H369:H373"/>
    <mergeCell ref="Y365:Y367"/>
    <mergeCell ref="Z365:Z367"/>
    <mergeCell ref="AA365:AA367"/>
    <mergeCell ref="AB365:AB367"/>
    <mergeCell ref="AO365:AO366"/>
    <mergeCell ref="CF365:CF367"/>
    <mergeCell ref="S365:S366"/>
    <mergeCell ref="T365:T367"/>
    <mergeCell ref="U365:U367"/>
    <mergeCell ref="V365:V367"/>
    <mergeCell ref="W365:W367"/>
    <mergeCell ref="X365:X367"/>
    <mergeCell ref="B365:B367"/>
    <mergeCell ref="C365:C367"/>
    <mergeCell ref="D365:D367"/>
    <mergeCell ref="E365:E367"/>
    <mergeCell ref="F365:F367"/>
    <mergeCell ref="R365:R366"/>
    <mergeCell ref="BY359:BY360"/>
    <mergeCell ref="CB359:CB360"/>
    <mergeCell ref="CC359:CC360"/>
    <mergeCell ref="CD359:CD360"/>
    <mergeCell ref="CE359:CE360"/>
    <mergeCell ref="CF359:CF360"/>
    <mergeCell ref="BO359:BO360"/>
    <mergeCell ref="BP359:BP360"/>
    <mergeCell ref="BQ359:BQ360"/>
    <mergeCell ref="BR359:BR360"/>
    <mergeCell ref="BS359:BS360"/>
    <mergeCell ref="BX359:BX360"/>
    <mergeCell ref="BC359:BC360"/>
    <mergeCell ref="BD359:BD360"/>
    <mergeCell ref="BE359:BE360"/>
    <mergeCell ref="BJ359:BJ360"/>
    <mergeCell ref="BK359:BK360"/>
    <mergeCell ref="BN359:BN360"/>
    <mergeCell ref="AQ359:AQ360"/>
    <mergeCell ref="AV359:AV360"/>
    <mergeCell ref="AW359:AW360"/>
    <mergeCell ref="AZ359:AZ360"/>
    <mergeCell ref="BA359:BA360"/>
    <mergeCell ref="BB359:BB360"/>
    <mergeCell ref="X359:X360"/>
    <mergeCell ref="Y359:Y360"/>
    <mergeCell ref="Z359:Z360"/>
    <mergeCell ref="AA359:AA360"/>
    <mergeCell ref="AB359:AB360"/>
    <mergeCell ref="AP359:AP360"/>
    <mergeCell ref="Q359:Q360"/>
    <mergeCell ref="S359:S360"/>
    <mergeCell ref="T359:T360"/>
    <mergeCell ref="U359:U360"/>
    <mergeCell ref="V359:V360"/>
    <mergeCell ref="W359:W360"/>
    <mergeCell ref="BU356:BU357"/>
    <mergeCell ref="BW356:BW357"/>
    <mergeCell ref="CB356:CB357"/>
    <mergeCell ref="CC356:CC357"/>
    <mergeCell ref="CF356:CF357"/>
    <mergeCell ref="B359:B360"/>
    <mergeCell ref="C359:C360"/>
    <mergeCell ref="D359:D360"/>
    <mergeCell ref="E359:E360"/>
    <mergeCell ref="F359:F360"/>
    <mergeCell ref="BI356:BI357"/>
    <mergeCell ref="BN356:BN357"/>
    <mergeCell ref="BO356:BO357"/>
    <mergeCell ref="BR356:BR357"/>
    <mergeCell ref="BS356:BS357"/>
    <mergeCell ref="BT356:BT357"/>
    <mergeCell ref="AZ356:AZ357"/>
    <mergeCell ref="BA356:BA357"/>
    <mergeCell ref="BD356:BD357"/>
    <mergeCell ref="BE356:BE357"/>
    <mergeCell ref="BF356:BF357"/>
    <mergeCell ref="BG356:BG357"/>
    <mergeCell ref="AB356:AB358"/>
    <mergeCell ref="AP356:AP357"/>
    <mergeCell ref="AQ356:AQ357"/>
    <mergeCell ref="AR356:AR357"/>
    <mergeCell ref="AS356:AS357"/>
    <mergeCell ref="AU356:AU357"/>
    <mergeCell ref="U356:U357"/>
    <mergeCell ref="V356:V357"/>
    <mergeCell ref="W356:W358"/>
    <mergeCell ref="X356:X358"/>
    <mergeCell ref="Y356:Y358"/>
    <mergeCell ref="AA356:AA358"/>
    <mergeCell ref="CE352:CE353"/>
    <mergeCell ref="CF352:CF353"/>
    <mergeCell ref="B356:B358"/>
    <mergeCell ref="C356:C358"/>
    <mergeCell ref="D356:D358"/>
    <mergeCell ref="E356:E358"/>
    <mergeCell ref="F356:F358"/>
    <mergeCell ref="Q356:Q357"/>
    <mergeCell ref="S356:S357"/>
    <mergeCell ref="T356:T357"/>
    <mergeCell ref="BS352:BS353"/>
    <mergeCell ref="BX352:BX353"/>
    <mergeCell ref="BY352:BY353"/>
    <mergeCell ref="CB352:CB353"/>
    <mergeCell ref="CC352:CC353"/>
    <mergeCell ref="CD352:CD353"/>
    <mergeCell ref="BM352:BM353"/>
    <mergeCell ref="BN352:BN353"/>
    <mergeCell ref="BO352:BO353"/>
    <mergeCell ref="BP352:BP353"/>
    <mergeCell ref="BQ352:BQ353"/>
    <mergeCell ref="BR352:BR353"/>
    <mergeCell ref="BC352:BC353"/>
    <mergeCell ref="BD352:BD353"/>
    <mergeCell ref="BE352:BE353"/>
    <mergeCell ref="BJ352:BJ353"/>
    <mergeCell ref="BK352:BK353"/>
    <mergeCell ref="BL352:BL353"/>
    <mergeCell ref="AQ352:AQ353"/>
    <mergeCell ref="AV352:AV353"/>
    <mergeCell ref="AW352:AW353"/>
    <mergeCell ref="AZ352:AZ353"/>
    <mergeCell ref="BA352:BA353"/>
    <mergeCell ref="BB352:BB353"/>
    <mergeCell ref="X352:X353"/>
    <mergeCell ref="Y352:Y353"/>
    <mergeCell ref="Z352:Z353"/>
    <mergeCell ref="AA352:AA353"/>
    <mergeCell ref="AB352:AB353"/>
    <mergeCell ref="AP352:AP353"/>
    <mergeCell ref="M352:M353"/>
    <mergeCell ref="S352:S353"/>
    <mergeCell ref="T352:T353"/>
    <mergeCell ref="U352:U353"/>
    <mergeCell ref="V352:V353"/>
    <mergeCell ref="W352:W353"/>
    <mergeCell ref="B352:B353"/>
    <mergeCell ref="C352:C353"/>
    <mergeCell ref="D352:D353"/>
    <mergeCell ref="E352:E353"/>
    <mergeCell ref="F352:F353"/>
    <mergeCell ref="J352:J353"/>
    <mergeCell ref="BY349:BY350"/>
    <mergeCell ref="BZ349:BZ350"/>
    <mergeCell ref="CA349:CA350"/>
    <mergeCell ref="CB349:CB350"/>
    <mergeCell ref="CC349:CC350"/>
    <mergeCell ref="CD349:CD350"/>
    <mergeCell ref="BM349:BM350"/>
    <mergeCell ref="BN349:BN350"/>
    <mergeCell ref="BO349:BO350"/>
    <mergeCell ref="BP349:BP350"/>
    <mergeCell ref="BR349:BR350"/>
    <mergeCell ref="BS349:BS350"/>
    <mergeCell ref="BA349:BA350"/>
    <mergeCell ref="BB349:BB350"/>
    <mergeCell ref="BD349:BD350"/>
    <mergeCell ref="BJ349:BJ350"/>
    <mergeCell ref="BK349:BK350"/>
    <mergeCell ref="BL349:BL350"/>
    <mergeCell ref="BY345:BY346"/>
    <mergeCell ref="CB345:CB346"/>
    <mergeCell ref="CC345:CC346"/>
    <mergeCell ref="CD345:CD346"/>
    <mergeCell ref="H348:H350"/>
    <mergeCell ref="Z348:Z350"/>
    <mergeCell ref="AP349:AP350"/>
    <mergeCell ref="AQ349:AQ350"/>
    <mergeCell ref="AV349:AV350"/>
    <mergeCell ref="AW349:AW350"/>
    <mergeCell ref="BN345:BN346"/>
    <mergeCell ref="BO345:BO346"/>
    <mergeCell ref="BP345:BP346"/>
    <mergeCell ref="BR345:BR346"/>
    <mergeCell ref="BS345:BS346"/>
    <mergeCell ref="BX345:BX346"/>
    <mergeCell ref="CE341:CE350"/>
    <mergeCell ref="CF341:CF350"/>
    <mergeCell ref="Z342:Z343"/>
    <mergeCell ref="Z345:Z346"/>
    <mergeCell ref="AP345:AP346"/>
    <mergeCell ref="AQ345:AQ346"/>
    <mergeCell ref="AV345:AV346"/>
    <mergeCell ref="AW345:AW346"/>
    <mergeCell ref="AZ345:AZ346"/>
    <mergeCell ref="BA345:BA346"/>
    <mergeCell ref="BY341:BY342"/>
    <mergeCell ref="BZ341:BZ342"/>
    <mergeCell ref="CA341:CA342"/>
    <mergeCell ref="CB341:CB342"/>
    <mergeCell ref="CC341:CC342"/>
    <mergeCell ref="CD341:CD342"/>
    <mergeCell ref="BO341:BO342"/>
    <mergeCell ref="BP341:BP342"/>
    <mergeCell ref="BQ341:BQ350"/>
    <mergeCell ref="BR341:BR342"/>
    <mergeCell ref="BS341:BS342"/>
    <mergeCell ref="BX341:BX342"/>
    <mergeCell ref="BX349:BX350"/>
    <mergeCell ref="BE341:BE350"/>
    <mergeCell ref="BJ341:BJ342"/>
    <mergeCell ref="BK341:BK342"/>
    <mergeCell ref="BL341:BL342"/>
    <mergeCell ref="BM341:BM342"/>
    <mergeCell ref="BN341:BN342"/>
    <mergeCell ref="BJ345:BJ346"/>
    <mergeCell ref="BK345:BK346"/>
    <mergeCell ref="BL345:BL346"/>
    <mergeCell ref="BM345:BM346"/>
    <mergeCell ref="AY341:AY342"/>
    <mergeCell ref="AZ341:AZ342"/>
    <mergeCell ref="BA341:BA342"/>
    <mergeCell ref="BB341:BB342"/>
    <mergeCell ref="BC341:BC350"/>
    <mergeCell ref="BD341:BD342"/>
    <mergeCell ref="BB345:BB346"/>
    <mergeCell ref="BD345:BD346"/>
    <mergeCell ref="AY349:AY350"/>
    <mergeCell ref="AZ349:AZ350"/>
    <mergeCell ref="AB341:AB350"/>
    <mergeCell ref="AP341:AP342"/>
    <mergeCell ref="AQ341:AQ342"/>
    <mergeCell ref="AV341:AV342"/>
    <mergeCell ref="AW341:AW342"/>
    <mergeCell ref="AX341:AX342"/>
    <mergeCell ref="AX349:AX350"/>
    <mergeCell ref="U341:U350"/>
    <mergeCell ref="V341:V350"/>
    <mergeCell ref="W341:W350"/>
    <mergeCell ref="X341:X350"/>
    <mergeCell ref="Y341:Y350"/>
    <mergeCell ref="AA341:AA350"/>
    <mergeCell ref="CF338:CF340"/>
    <mergeCell ref="B341:B350"/>
    <mergeCell ref="C341:C350"/>
    <mergeCell ref="D341:D350"/>
    <mergeCell ref="E341:E350"/>
    <mergeCell ref="F341:F350"/>
    <mergeCell ref="H341:H345"/>
    <mergeCell ref="J341:J350"/>
    <mergeCell ref="S341:S350"/>
    <mergeCell ref="T341:T350"/>
    <mergeCell ref="X338:X340"/>
    <mergeCell ref="Y338:Y340"/>
    <mergeCell ref="Z338:Z339"/>
    <mergeCell ref="AA338:AA339"/>
    <mergeCell ref="AB338:AB340"/>
    <mergeCell ref="CE338:CE340"/>
    <mergeCell ref="CB335:CB336"/>
    <mergeCell ref="CC335:CC336"/>
    <mergeCell ref="CD335:CD336"/>
    <mergeCell ref="B338:B339"/>
    <mergeCell ref="D338:D340"/>
    <mergeCell ref="E338:E340"/>
    <mergeCell ref="F338:F340"/>
    <mergeCell ref="J338:J340"/>
    <mergeCell ref="V338:V340"/>
    <mergeCell ref="W338:W340"/>
    <mergeCell ref="BK335:BK336"/>
    <mergeCell ref="BN335:BN336"/>
    <mergeCell ref="BO335:BO336"/>
    <mergeCell ref="BR335:BR336"/>
    <mergeCell ref="BX335:BX336"/>
    <mergeCell ref="BY335:BY336"/>
    <mergeCell ref="CD333:CD334"/>
    <mergeCell ref="AP335:AP336"/>
    <mergeCell ref="AV335:AV336"/>
    <mergeCell ref="AW335:AW336"/>
    <mergeCell ref="AZ335:AZ336"/>
    <mergeCell ref="BA335:BA336"/>
    <mergeCell ref="BB335:BB336"/>
    <mergeCell ref="BC335:BC336"/>
    <mergeCell ref="BD335:BD336"/>
    <mergeCell ref="BJ335:BJ336"/>
    <mergeCell ref="CE327:CE336"/>
    <mergeCell ref="CF327:CF337"/>
    <mergeCell ref="AP333:AP334"/>
    <mergeCell ref="AV333:AV334"/>
    <mergeCell ref="AW333:AW334"/>
    <mergeCell ref="AZ333:AZ334"/>
    <mergeCell ref="BA333:BA334"/>
    <mergeCell ref="BB333:BB334"/>
    <mergeCell ref="BC333:BC334"/>
    <mergeCell ref="BD333:BD334"/>
    <mergeCell ref="BS327:BS336"/>
    <mergeCell ref="BX327:BX332"/>
    <mergeCell ref="BY327:BY332"/>
    <mergeCell ref="CB327:CB332"/>
    <mergeCell ref="CC327:CC332"/>
    <mergeCell ref="CD327:CD332"/>
    <mergeCell ref="BX333:BX334"/>
    <mergeCell ref="BY333:BY334"/>
    <mergeCell ref="CB333:CB334"/>
    <mergeCell ref="CC333:CC334"/>
    <mergeCell ref="BK327:BK332"/>
    <mergeCell ref="BN327:BN332"/>
    <mergeCell ref="BO327:BO332"/>
    <mergeCell ref="BP327:BP336"/>
    <mergeCell ref="BQ327:BQ336"/>
    <mergeCell ref="BR327:BR332"/>
    <mergeCell ref="BK333:BK334"/>
    <mergeCell ref="BN333:BN334"/>
    <mergeCell ref="BO333:BO334"/>
    <mergeCell ref="BR333:BR334"/>
    <mergeCell ref="BA327:BA332"/>
    <mergeCell ref="BB327:BB332"/>
    <mergeCell ref="BC327:BC332"/>
    <mergeCell ref="BD327:BD332"/>
    <mergeCell ref="BE327:BE336"/>
    <mergeCell ref="BJ327:BJ332"/>
    <mergeCell ref="BJ333:BJ334"/>
    <mergeCell ref="AB327:AB336"/>
    <mergeCell ref="AP327:AP332"/>
    <mergeCell ref="AQ327:AQ336"/>
    <mergeCell ref="AV327:AV332"/>
    <mergeCell ref="AW327:AW332"/>
    <mergeCell ref="AZ327:AZ332"/>
    <mergeCell ref="V327:V337"/>
    <mergeCell ref="W327:W337"/>
    <mergeCell ref="X327:X337"/>
    <mergeCell ref="Y327:Y337"/>
    <mergeCell ref="Z327:Z336"/>
    <mergeCell ref="AA327:AA336"/>
    <mergeCell ref="CF318:CF320"/>
    <mergeCell ref="B326:B337"/>
    <mergeCell ref="D326:D337"/>
    <mergeCell ref="E326:E337"/>
    <mergeCell ref="F326:F337"/>
    <mergeCell ref="H327:H336"/>
    <mergeCell ref="Q327:Q336"/>
    <mergeCell ref="S327:S336"/>
    <mergeCell ref="T327:T336"/>
    <mergeCell ref="U327:U336"/>
    <mergeCell ref="BY318:BY319"/>
    <mergeCell ref="BZ318:BZ319"/>
    <mergeCell ref="CB318:CB319"/>
    <mergeCell ref="CC318:CC319"/>
    <mergeCell ref="CD318:CD319"/>
    <mergeCell ref="CE318:CE319"/>
    <mergeCell ref="BO318:BO319"/>
    <mergeCell ref="BP318:BP319"/>
    <mergeCell ref="BQ318:BQ319"/>
    <mergeCell ref="BR318:BR319"/>
    <mergeCell ref="BS318:BS319"/>
    <mergeCell ref="BX318:BX319"/>
    <mergeCell ref="BD318:BD319"/>
    <mergeCell ref="BE318:BE319"/>
    <mergeCell ref="BJ318:BJ319"/>
    <mergeCell ref="BK318:BK319"/>
    <mergeCell ref="BL318:BL319"/>
    <mergeCell ref="BN318:BN319"/>
    <mergeCell ref="AW318:AW319"/>
    <mergeCell ref="AX318:AX319"/>
    <mergeCell ref="AZ318:AZ319"/>
    <mergeCell ref="BA318:BA319"/>
    <mergeCell ref="BB318:BB319"/>
    <mergeCell ref="BC318:BC319"/>
    <mergeCell ref="BZ316:BZ317"/>
    <mergeCell ref="CB316:CB317"/>
    <mergeCell ref="CC316:CC317"/>
    <mergeCell ref="CD316:CD317"/>
    <mergeCell ref="CE316:CE317"/>
    <mergeCell ref="CF316:CF317"/>
    <mergeCell ref="BP316:BP317"/>
    <mergeCell ref="BQ316:BQ317"/>
    <mergeCell ref="BR316:BR317"/>
    <mergeCell ref="BS316:BS317"/>
    <mergeCell ref="BX316:BX317"/>
    <mergeCell ref="BY316:BY317"/>
    <mergeCell ref="BE316:BE317"/>
    <mergeCell ref="BJ316:BJ317"/>
    <mergeCell ref="BK316:BK317"/>
    <mergeCell ref="BL316:BL317"/>
    <mergeCell ref="BN316:BN317"/>
    <mergeCell ref="BO316:BO317"/>
    <mergeCell ref="AX316:AX317"/>
    <mergeCell ref="AZ316:AZ317"/>
    <mergeCell ref="BA316:BA317"/>
    <mergeCell ref="BB316:BB317"/>
    <mergeCell ref="BC316:BC317"/>
    <mergeCell ref="BD316:BD317"/>
    <mergeCell ref="H315:H322"/>
    <mergeCell ref="S316:S317"/>
    <mergeCell ref="T316:T317"/>
    <mergeCell ref="U316:U317"/>
    <mergeCell ref="AP316:AP317"/>
    <mergeCell ref="AQ316:AQ317"/>
    <mergeCell ref="S318:S319"/>
    <mergeCell ref="T318:T319"/>
    <mergeCell ref="U318:U320"/>
    <mergeCell ref="AP318:AP319"/>
    <mergeCell ref="CC312:CC313"/>
    <mergeCell ref="CD312:CD313"/>
    <mergeCell ref="CE312:CE313"/>
    <mergeCell ref="CF312:CF313"/>
    <mergeCell ref="S314:S315"/>
    <mergeCell ref="T314:T315"/>
    <mergeCell ref="U314:U315"/>
    <mergeCell ref="CF314:CF315"/>
    <mergeCell ref="BR312:BR313"/>
    <mergeCell ref="BS312:BS313"/>
    <mergeCell ref="BX312:BX313"/>
    <mergeCell ref="BY312:BY313"/>
    <mergeCell ref="BZ312:BZ313"/>
    <mergeCell ref="CB312:CB313"/>
    <mergeCell ref="BE312:BE313"/>
    <mergeCell ref="BJ312:BJ313"/>
    <mergeCell ref="BL312:BL313"/>
    <mergeCell ref="BN312:BN313"/>
    <mergeCell ref="BP312:BP313"/>
    <mergeCell ref="BQ312:BQ313"/>
    <mergeCell ref="AX312:AX313"/>
    <mergeCell ref="AZ312:AZ313"/>
    <mergeCell ref="BA312:BA313"/>
    <mergeCell ref="BB312:BB313"/>
    <mergeCell ref="BC312:BC313"/>
    <mergeCell ref="BD312:BD313"/>
    <mergeCell ref="AA312:AA322"/>
    <mergeCell ref="AB312:AB322"/>
    <mergeCell ref="AP312:AP313"/>
    <mergeCell ref="AQ312:AQ313"/>
    <mergeCell ref="AV312:AV313"/>
    <mergeCell ref="AW312:AW313"/>
    <mergeCell ref="AV316:AV317"/>
    <mergeCell ref="AW316:AW317"/>
    <mergeCell ref="AQ318:AQ319"/>
    <mergeCell ref="AV318:AV319"/>
    <mergeCell ref="U312:U313"/>
    <mergeCell ref="V312:V321"/>
    <mergeCell ref="W312:W322"/>
    <mergeCell ref="X312:X322"/>
    <mergeCell ref="Y312:Y322"/>
    <mergeCell ref="Z312:Z322"/>
    <mergeCell ref="CD308:CD309"/>
    <mergeCell ref="CE308:CE309"/>
    <mergeCell ref="B312:B322"/>
    <mergeCell ref="C312:C322"/>
    <mergeCell ref="D312:D322"/>
    <mergeCell ref="E312:E322"/>
    <mergeCell ref="F312:F322"/>
    <mergeCell ref="J312:J322"/>
    <mergeCell ref="S312:S313"/>
    <mergeCell ref="T312:T313"/>
    <mergeCell ref="BS308:BS309"/>
    <mergeCell ref="BX308:BX309"/>
    <mergeCell ref="BY308:BY309"/>
    <mergeCell ref="BZ308:BZ309"/>
    <mergeCell ref="CB308:CB309"/>
    <mergeCell ref="CC308:CC309"/>
    <mergeCell ref="BL308:BL309"/>
    <mergeCell ref="BN308:BN309"/>
    <mergeCell ref="BO308:BO309"/>
    <mergeCell ref="BP308:BP309"/>
    <mergeCell ref="BQ308:BQ309"/>
    <mergeCell ref="BR308:BR309"/>
    <mergeCell ref="BB308:BB309"/>
    <mergeCell ref="BC308:BC309"/>
    <mergeCell ref="BD308:BD309"/>
    <mergeCell ref="BE308:BE309"/>
    <mergeCell ref="BJ308:BJ309"/>
    <mergeCell ref="BK308:BK309"/>
    <mergeCell ref="CC305:CC306"/>
    <mergeCell ref="CD305:CD306"/>
    <mergeCell ref="CE305:CE306"/>
    <mergeCell ref="AP308:AP309"/>
    <mergeCell ref="AQ308:AQ309"/>
    <mergeCell ref="AV308:AV309"/>
    <mergeCell ref="AW308:AW309"/>
    <mergeCell ref="AX308:AX309"/>
    <mergeCell ref="AZ308:AZ309"/>
    <mergeCell ref="BA308:BA309"/>
    <mergeCell ref="BR305:BR306"/>
    <mergeCell ref="BS305:BS306"/>
    <mergeCell ref="BX305:BX306"/>
    <mergeCell ref="BY305:BY306"/>
    <mergeCell ref="BZ305:BZ306"/>
    <mergeCell ref="CB305:CB306"/>
    <mergeCell ref="BK305:BK306"/>
    <mergeCell ref="BL305:BL306"/>
    <mergeCell ref="BN305:BN306"/>
    <mergeCell ref="BO305:BO306"/>
    <mergeCell ref="BP305:BP306"/>
    <mergeCell ref="BQ305:BQ306"/>
    <mergeCell ref="BA305:BA306"/>
    <mergeCell ref="BB305:BB306"/>
    <mergeCell ref="BC305:BC306"/>
    <mergeCell ref="BD305:BD306"/>
    <mergeCell ref="BE305:BE306"/>
    <mergeCell ref="BJ305:BJ306"/>
    <mergeCell ref="CD302:CD304"/>
    <mergeCell ref="CE302:CE304"/>
    <mergeCell ref="CF302:CF309"/>
    <mergeCell ref="S305:S309"/>
    <mergeCell ref="AP305:AP306"/>
    <mergeCell ref="AQ305:AQ306"/>
    <mergeCell ref="AV305:AV306"/>
    <mergeCell ref="AW305:AW306"/>
    <mergeCell ref="AX305:AX306"/>
    <mergeCell ref="AZ305:AZ306"/>
    <mergeCell ref="BS302:BS304"/>
    <mergeCell ref="BX302:BX304"/>
    <mergeCell ref="BY302:BY304"/>
    <mergeCell ref="BZ302:BZ304"/>
    <mergeCell ref="CB302:CB304"/>
    <mergeCell ref="CC302:CC304"/>
    <mergeCell ref="BL302:BL304"/>
    <mergeCell ref="BN302:BN304"/>
    <mergeCell ref="BO302:BO304"/>
    <mergeCell ref="BP302:BP304"/>
    <mergeCell ref="BQ302:BQ304"/>
    <mergeCell ref="BR302:BR304"/>
    <mergeCell ref="BB302:BB304"/>
    <mergeCell ref="BC302:BC304"/>
    <mergeCell ref="BD302:BD304"/>
    <mergeCell ref="BE302:BE304"/>
    <mergeCell ref="BJ302:BJ304"/>
    <mergeCell ref="BK302:BK304"/>
    <mergeCell ref="AQ302:AQ304"/>
    <mergeCell ref="AV302:AV304"/>
    <mergeCell ref="AW302:AW304"/>
    <mergeCell ref="AX302:AX304"/>
    <mergeCell ref="AZ302:AZ304"/>
    <mergeCell ref="BA302:BA304"/>
    <mergeCell ref="X302:X309"/>
    <mergeCell ref="Y302:Y309"/>
    <mergeCell ref="Z302:Z309"/>
    <mergeCell ref="AA302:AA309"/>
    <mergeCell ref="AB302:AB309"/>
    <mergeCell ref="AP302:AP304"/>
    <mergeCell ref="R302:R304"/>
    <mergeCell ref="S302:S303"/>
    <mergeCell ref="T302:T309"/>
    <mergeCell ref="U302:U309"/>
    <mergeCell ref="V302:V309"/>
    <mergeCell ref="W302:W309"/>
    <mergeCell ref="AA299:AA300"/>
    <mergeCell ref="AB299:AB300"/>
    <mergeCell ref="CF299:CF300"/>
    <mergeCell ref="B302:B309"/>
    <mergeCell ref="C302:C309"/>
    <mergeCell ref="D302:D309"/>
    <mergeCell ref="E302:E309"/>
    <mergeCell ref="F302:F309"/>
    <mergeCell ref="J302:J309"/>
    <mergeCell ref="M302:M304"/>
    <mergeCell ref="U299:U300"/>
    <mergeCell ref="V299:V300"/>
    <mergeCell ref="W299:W300"/>
    <mergeCell ref="X299:X300"/>
    <mergeCell ref="Y299:Y300"/>
    <mergeCell ref="Z299:Z300"/>
    <mergeCell ref="AB288:AB297"/>
    <mergeCell ref="CF288:CF291"/>
    <mergeCell ref="H296:H297"/>
    <mergeCell ref="CF296:CF297"/>
    <mergeCell ref="B299:B300"/>
    <mergeCell ref="C299:C300"/>
    <mergeCell ref="D299:D300"/>
    <mergeCell ref="J299:J300"/>
    <mergeCell ref="S299:S300"/>
    <mergeCell ref="T299:T300"/>
    <mergeCell ref="V288:V295"/>
    <mergeCell ref="W288:W297"/>
    <mergeCell ref="X288:X297"/>
    <mergeCell ref="Y288:Y297"/>
    <mergeCell ref="Z288:Z297"/>
    <mergeCell ref="AA288:AA297"/>
    <mergeCell ref="CB281:CB282"/>
    <mergeCell ref="CC281:CC282"/>
    <mergeCell ref="CD281:CD282"/>
    <mergeCell ref="CE281:CE282"/>
    <mergeCell ref="B288:B297"/>
    <mergeCell ref="C288:C297"/>
    <mergeCell ref="D288:D297"/>
    <mergeCell ref="E288:E297"/>
    <mergeCell ref="F288:F297"/>
    <mergeCell ref="J288:J297"/>
    <mergeCell ref="BQ281:BQ282"/>
    <mergeCell ref="BR281:BR282"/>
    <mergeCell ref="BS281:BS282"/>
    <mergeCell ref="BX281:BX282"/>
    <mergeCell ref="BY281:BY282"/>
    <mergeCell ref="BZ281:BZ282"/>
    <mergeCell ref="BJ281:BJ282"/>
    <mergeCell ref="BK281:BK282"/>
    <mergeCell ref="BL281:BL282"/>
    <mergeCell ref="BN281:BN282"/>
    <mergeCell ref="BO281:BO282"/>
    <mergeCell ref="BP281:BP282"/>
    <mergeCell ref="AZ281:AZ282"/>
    <mergeCell ref="BA281:BA282"/>
    <mergeCell ref="BB281:BB282"/>
    <mergeCell ref="BC281:BC282"/>
    <mergeCell ref="BD281:BD282"/>
    <mergeCell ref="BE281:BE282"/>
    <mergeCell ref="CF278:CF286"/>
    <mergeCell ref="H281:H282"/>
    <mergeCell ref="S281:S284"/>
    <mergeCell ref="T281:T284"/>
    <mergeCell ref="AO281:AO282"/>
    <mergeCell ref="AP281:AP282"/>
    <mergeCell ref="AQ281:AQ282"/>
    <mergeCell ref="AV281:AV282"/>
    <mergeCell ref="AW281:AW282"/>
    <mergeCell ref="AX281:AX282"/>
    <mergeCell ref="W278:W286"/>
    <mergeCell ref="X278:X286"/>
    <mergeCell ref="Y278:Y286"/>
    <mergeCell ref="Z278:Z286"/>
    <mergeCell ref="AA278:AA286"/>
    <mergeCell ref="AB278:AB286"/>
    <mergeCell ref="CF269:CF270"/>
    <mergeCell ref="B278:B286"/>
    <mergeCell ref="C278:C286"/>
    <mergeCell ref="D278:D286"/>
    <mergeCell ref="E278:E286"/>
    <mergeCell ref="F278:F286"/>
    <mergeCell ref="H278:H280"/>
    <mergeCell ref="J278:J286"/>
    <mergeCell ref="U278:U286"/>
    <mergeCell ref="V278:V286"/>
    <mergeCell ref="BY269:BY270"/>
    <mergeCell ref="BZ269:BZ270"/>
    <mergeCell ref="CB269:CB270"/>
    <mergeCell ref="CC269:CC270"/>
    <mergeCell ref="CD269:CD270"/>
    <mergeCell ref="CE269:CE270"/>
    <mergeCell ref="BO269:BO270"/>
    <mergeCell ref="BP269:BP270"/>
    <mergeCell ref="BQ269:BQ270"/>
    <mergeCell ref="BR269:BR270"/>
    <mergeCell ref="BS269:BS270"/>
    <mergeCell ref="BX269:BX270"/>
    <mergeCell ref="BC269:BC270"/>
    <mergeCell ref="BD269:BD270"/>
    <mergeCell ref="BE269:BE270"/>
    <mergeCell ref="BJ269:BJ270"/>
    <mergeCell ref="BK269:BK270"/>
    <mergeCell ref="BN269:BN270"/>
    <mergeCell ref="AV269:AV270"/>
    <mergeCell ref="AW269:AW270"/>
    <mergeCell ref="AX269:AX270"/>
    <mergeCell ref="AZ269:AZ270"/>
    <mergeCell ref="BA269:BA270"/>
    <mergeCell ref="BB269:BB270"/>
    <mergeCell ref="Y269:Y270"/>
    <mergeCell ref="Z269:Z270"/>
    <mergeCell ref="AA269:AA270"/>
    <mergeCell ref="AB269:AB270"/>
    <mergeCell ref="AP269:AP270"/>
    <mergeCell ref="AQ269:AQ270"/>
    <mergeCell ref="S269:S270"/>
    <mergeCell ref="T269:T270"/>
    <mergeCell ref="U269:U270"/>
    <mergeCell ref="V269:V270"/>
    <mergeCell ref="W269:W270"/>
    <mergeCell ref="X269:X270"/>
    <mergeCell ref="X263:X264"/>
    <mergeCell ref="Y263:Y264"/>
    <mergeCell ref="AA263:AA264"/>
    <mergeCell ref="AB263:AB264"/>
    <mergeCell ref="B269:B270"/>
    <mergeCell ref="C269:C270"/>
    <mergeCell ref="D269:D270"/>
    <mergeCell ref="E269:E270"/>
    <mergeCell ref="F269:F270"/>
    <mergeCell ref="R269:R270"/>
    <mergeCell ref="B263:B264"/>
    <mergeCell ref="C263:C264"/>
    <mergeCell ref="D263:D264"/>
    <mergeCell ref="E263:E264"/>
    <mergeCell ref="F263:F264"/>
    <mergeCell ref="W263:W264"/>
    <mergeCell ref="W251:W260"/>
    <mergeCell ref="X251:X260"/>
    <mergeCell ref="Y251:Y260"/>
    <mergeCell ref="Z251:Z260"/>
    <mergeCell ref="AA251:AA260"/>
    <mergeCell ref="AB251:AB260"/>
    <mergeCell ref="Z248:Z250"/>
    <mergeCell ref="AA248:AA250"/>
    <mergeCell ref="AB248:AB250"/>
    <mergeCell ref="AO248:AO250"/>
    <mergeCell ref="B251:B260"/>
    <mergeCell ref="C251:C260"/>
    <mergeCell ref="D251:D260"/>
    <mergeCell ref="E251:E260"/>
    <mergeCell ref="F251:F260"/>
    <mergeCell ref="J251:J260"/>
    <mergeCell ref="T248:T250"/>
    <mergeCell ref="U248:U250"/>
    <mergeCell ref="V248:V250"/>
    <mergeCell ref="W248:W250"/>
    <mergeCell ref="X248:X250"/>
    <mergeCell ref="Y248:Y250"/>
    <mergeCell ref="AB241:AB242"/>
    <mergeCell ref="AO241:AO242"/>
    <mergeCell ref="B248:B250"/>
    <mergeCell ref="C248:C250"/>
    <mergeCell ref="D248:D250"/>
    <mergeCell ref="E248:E250"/>
    <mergeCell ref="F248:F250"/>
    <mergeCell ref="Q248:Q250"/>
    <mergeCell ref="R248:R250"/>
    <mergeCell ref="S248:S250"/>
    <mergeCell ref="M241:M242"/>
    <mergeCell ref="W241:W242"/>
    <mergeCell ref="X241:X242"/>
    <mergeCell ref="Y241:Y242"/>
    <mergeCell ref="Z241:Z242"/>
    <mergeCell ref="AA241:AA242"/>
    <mergeCell ref="B241:B242"/>
    <mergeCell ref="C241:C242"/>
    <mergeCell ref="D241:D242"/>
    <mergeCell ref="E241:E242"/>
    <mergeCell ref="F241:F242"/>
    <mergeCell ref="H241:H242"/>
    <mergeCell ref="Z229:Z236"/>
    <mergeCell ref="AA229:AA236"/>
    <mergeCell ref="AB229:AB236"/>
    <mergeCell ref="AO229:AO236"/>
    <mergeCell ref="CF229:CF236"/>
    <mergeCell ref="H230:H236"/>
    <mergeCell ref="T229:T236"/>
    <mergeCell ref="U229:U236"/>
    <mergeCell ref="V229:V236"/>
    <mergeCell ref="W229:W236"/>
    <mergeCell ref="X229:X236"/>
    <mergeCell ref="Y229:Y236"/>
    <mergeCell ref="CF222:CF228"/>
    <mergeCell ref="H223:H227"/>
    <mergeCell ref="B229:B236"/>
    <mergeCell ref="C229:C236"/>
    <mergeCell ref="D229:D236"/>
    <mergeCell ref="E229:E236"/>
    <mergeCell ref="F229:F236"/>
    <mergeCell ref="Q229:Q236"/>
    <mergeCell ref="R229:R236"/>
    <mergeCell ref="S229:S236"/>
    <mergeCell ref="X222:X228"/>
    <mergeCell ref="Y222:Y228"/>
    <mergeCell ref="Z222:Z228"/>
    <mergeCell ref="AA222:AA228"/>
    <mergeCell ref="AB222:AB228"/>
    <mergeCell ref="AO222:AO228"/>
    <mergeCell ref="R222:R228"/>
    <mergeCell ref="S222:S228"/>
    <mergeCell ref="T222:T228"/>
    <mergeCell ref="U222:U228"/>
    <mergeCell ref="V222:V228"/>
    <mergeCell ref="W222:W228"/>
    <mergeCell ref="B222:B228"/>
    <mergeCell ref="C222:C228"/>
    <mergeCell ref="D222:D228"/>
    <mergeCell ref="E222:E228"/>
    <mergeCell ref="F222:F228"/>
    <mergeCell ref="Q222:Q228"/>
    <mergeCell ref="CF215:CF221"/>
    <mergeCell ref="Q216:Q221"/>
    <mergeCell ref="R216:R221"/>
    <mergeCell ref="S216:S221"/>
    <mergeCell ref="T216:T221"/>
    <mergeCell ref="U216:U221"/>
    <mergeCell ref="V216:V221"/>
    <mergeCell ref="W216:W221"/>
    <mergeCell ref="AO216:AO221"/>
    <mergeCell ref="Y209:Y221"/>
    <mergeCell ref="Z209:Z221"/>
    <mergeCell ref="AA209:AA221"/>
    <mergeCell ref="AB209:AB221"/>
    <mergeCell ref="AO209:AO215"/>
    <mergeCell ref="H210:H213"/>
    <mergeCell ref="H214:H215"/>
    <mergeCell ref="H217:H221"/>
    <mergeCell ref="S209:S215"/>
    <mergeCell ref="T209:T215"/>
    <mergeCell ref="U209:U215"/>
    <mergeCell ref="V209:V215"/>
    <mergeCell ref="W209:W215"/>
    <mergeCell ref="X209:X221"/>
    <mergeCell ref="B209:B221"/>
    <mergeCell ref="C209:C221"/>
    <mergeCell ref="D209:D221"/>
    <mergeCell ref="E209:E221"/>
    <mergeCell ref="F209:F221"/>
    <mergeCell ref="R209:R215"/>
    <mergeCell ref="Y200:Y208"/>
    <mergeCell ref="Z200:Z208"/>
    <mergeCell ref="AA200:AA208"/>
    <mergeCell ref="AB200:AB208"/>
    <mergeCell ref="AO200:AO208"/>
    <mergeCell ref="CF200:CF208"/>
    <mergeCell ref="S200:S208"/>
    <mergeCell ref="T200:T208"/>
    <mergeCell ref="U200:U208"/>
    <mergeCell ref="V200:V208"/>
    <mergeCell ref="W200:W208"/>
    <mergeCell ref="X200:X208"/>
    <mergeCell ref="B200:B208"/>
    <mergeCell ref="C200:C208"/>
    <mergeCell ref="D200:D208"/>
    <mergeCell ref="E200:E208"/>
    <mergeCell ref="F200:F208"/>
    <mergeCell ref="R200:R208"/>
    <mergeCell ref="H201:H207"/>
    <mergeCell ref="Y189:Y199"/>
    <mergeCell ref="Z189:Z199"/>
    <mergeCell ref="AA189:AA199"/>
    <mergeCell ref="AB189:AB199"/>
    <mergeCell ref="AO189:AO193"/>
    <mergeCell ref="CF189:CF199"/>
    <mergeCell ref="AO194:AO199"/>
    <mergeCell ref="AT196:AT198"/>
    <mergeCell ref="BH196:BH198"/>
    <mergeCell ref="BV196:BV198"/>
    <mergeCell ref="S189:S193"/>
    <mergeCell ref="T189:T193"/>
    <mergeCell ref="U189:U193"/>
    <mergeCell ref="V189:V199"/>
    <mergeCell ref="W189:W199"/>
    <mergeCell ref="X189:X199"/>
    <mergeCell ref="S194:S199"/>
    <mergeCell ref="T194:T199"/>
    <mergeCell ref="U194:U199"/>
    <mergeCell ref="B189:B199"/>
    <mergeCell ref="C189:C199"/>
    <mergeCell ref="D189:D199"/>
    <mergeCell ref="E189:E199"/>
    <mergeCell ref="F189:F199"/>
    <mergeCell ref="R189:R193"/>
    <mergeCell ref="H190:H192"/>
    <mergeCell ref="R194:R199"/>
    <mergeCell ref="H195:H198"/>
    <mergeCell ref="Y180:Y188"/>
    <mergeCell ref="Z180:Z188"/>
    <mergeCell ref="AA180:AA188"/>
    <mergeCell ref="AB180:AB188"/>
    <mergeCell ref="AO180:AO188"/>
    <mergeCell ref="CF180:CF188"/>
    <mergeCell ref="S180:S188"/>
    <mergeCell ref="T180:T188"/>
    <mergeCell ref="U180:U188"/>
    <mergeCell ref="V180:V188"/>
    <mergeCell ref="W180:W188"/>
    <mergeCell ref="X180:X188"/>
    <mergeCell ref="B180:B188"/>
    <mergeCell ref="C180:C188"/>
    <mergeCell ref="D180:D188"/>
    <mergeCell ref="E180:E188"/>
    <mergeCell ref="F180:F188"/>
    <mergeCell ref="R180:R188"/>
    <mergeCell ref="H181:H188"/>
    <mergeCell ref="X174:X177"/>
    <mergeCell ref="Y174:Y177"/>
    <mergeCell ref="Z174:Z177"/>
    <mergeCell ref="AA174:AA177"/>
    <mergeCell ref="AB174:AB177"/>
    <mergeCell ref="AO174:AO177"/>
    <mergeCell ref="R174:R177"/>
    <mergeCell ref="S174:S177"/>
    <mergeCell ref="T174:T177"/>
    <mergeCell ref="U174:U177"/>
    <mergeCell ref="V174:V177"/>
    <mergeCell ref="W174:W177"/>
    <mergeCell ref="Y168:Y173"/>
    <mergeCell ref="Z168:Z173"/>
    <mergeCell ref="AA168:AA173"/>
    <mergeCell ref="AB168:AB173"/>
    <mergeCell ref="AO168:AO173"/>
    <mergeCell ref="B174:B177"/>
    <mergeCell ref="C174:C177"/>
    <mergeCell ref="D174:D177"/>
    <mergeCell ref="E174:E177"/>
    <mergeCell ref="F174:F177"/>
    <mergeCell ref="S168:S173"/>
    <mergeCell ref="T168:T173"/>
    <mergeCell ref="U168:U173"/>
    <mergeCell ref="V168:V173"/>
    <mergeCell ref="W168:W173"/>
    <mergeCell ref="X168:X173"/>
    <mergeCell ref="B168:B173"/>
    <mergeCell ref="C168:C173"/>
    <mergeCell ref="D168:D173"/>
    <mergeCell ref="E168:E173"/>
    <mergeCell ref="F168:F173"/>
    <mergeCell ref="R168:R173"/>
    <mergeCell ref="B156:B161"/>
    <mergeCell ref="C156:C161"/>
    <mergeCell ref="D156:D161"/>
    <mergeCell ref="E156:E161"/>
    <mergeCell ref="F156:F161"/>
    <mergeCell ref="AO156:AO161"/>
    <mergeCell ref="AO140:AO142"/>
    <mergeCell ref="AO150:AO151"/>
    <mergeCell ref="B154:B155"/>
    <mergeCell ref="C154:C155"/>
    <mergeCell ref="D154:D155"/>
    <mergeCell ref="E154:E155"/>
    <mergeCell ref="F154:F155"/>
    <mergeCell ref="AO154:AO155"/>
    <mergeCell ref="AO112:AO114"/>
    <mergeCell ref="B129:B134"/>
    <mergeCell ref="C129:C134"/>
    <mergeCell ref="D129:D134"/>
    <mergeCell ref="E129:E134"/>
    <mergeCell ref="F129:F134"/>
    <mergeCell ref="AO129:AO134"/>
    <mergeCell ref="AO97:AO98"/>
    <mergeCell ref="B101:B106"/>
    <mergeCell ref="C101:C106"/>
    <mergeCell ref="D101:D106"/>
    <mergeCell ref="E101:E106"/>
    <mergeCell ref="F101:F106"/>
    <mergeCell ref="AO101:AO106"/>
    <mergeCell ref="B91:B93"/>
    <mergeCell ref="C91:C93"/>
    <mergeCell ref="D91:D93"/>
    <mergeCell ref="E91:E93"/>
    <mergeCell ref="F91:F93"/>
    <mergeCell ref="AO91:AO93"/>
    <mergeCell ref="AO58:AO61"/>
    <mergeCell ref="AO63:AO71"/>
    <mergeCell ref="AO74:AO78"/>
    <mergeCell ref="B87:B90"/>
    <mergeCell ref="C87:C90"/>
    <mergeCell ref="D87:D90"/>
    <mergeCell ref="E87:E90"/>
    <mergeCell ref="F87:F90"/>
    <mergeCell ref="AO87:AO90"/>
    <mergeCell ref="AO5:AO7"/>
    <mergeCell ref="AO8:AO10"/>
    <mergeCell ref="AO14:AO16"/>
    <mergeCell ref="AO22:AO24"/>
    <mergeCell ref="AO27:AO28"/>
    <mergeCell ref="CF27:CF28"/>
    <mergeCell ref="AO29:AO30"/>
    <mergeCell ref="BR3:CE3"/>
    <mergeCell ref="CF3:CF4"/>
    <mergeCell ref="CG3:CG4"/>
    <mergeCell ref="CH3:CH4"/>
    <mergeCell ref="A1:M2"/>
    <mergeCell ref="AO32:AO33"/>
    <mergeCell ref="AO37:AO38"/>
    <mergeCell ref="AO41:AO44"/>
    <mergeCell ref="AO52:AO54"/>
    <mergeCell ref="AA3:AA4"/>
    <mergeCell ref="AB3:AB4"/>
    <mergeCell ref="AJ3:AN3"/>
    <mergeCell ref="AO3:AO4"/>
    <mergeCell ref="AP3:BC3"/>
    <mergeCell ref="BD3:BQ3"/>
    <mergeCell ref="G3:H3"/>
    <mergeCell ref="I3:P3"/>
    <mergeCell ref="Q3:W3"/>
    <mergeCell ref="X3:X4"/>
    <mergeCell ref="Y3:Y4"/>
    <mergeCell ref="Z3:Z4"/>
    <mergeCell ref="A3:A4"/>
    <mergeCell ref="B3:B4"/>
    <mergeCell ref="C3:C4"/>
    <mergeCell ref="D3:D4"/>
    <mergeCell ref="E3:E4"/>
    <mergeCell ref="F3:F4"/>
  </mergeCells>
  <hyperlinks>
    <hyperlink ref="BB18" r:id="rId1" xr:uid="{F8CF098E-73C7-4BCD-A90C-786BA0EF65C5}"/>
    <hyperlink ref="BP18" r:id="rId2" xr:uid="{F8A5CFA6-2BF2-46B1-A9C5-D2E51417983A}"/>
    <hyperlink ref="CD18" r:id="rId3" xr:uid="{AD5B6AE1-D90D-46F9-A13D-5B5C69E5C0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cicak betina</dc:creator>
  <cp:lastModifiedBy>cicak betina</cp:lastModifiedBy>
  <dcterms:created xsi:type="dcterms:W3CDTF">2025-11-12T05:24:47Z</dcterms:created>
  <dcterms:modified xsi:type="dcterms:W3CDTF">2025-11-12T05:32:36Z</dcterms:modified>
</cp:coreProperties>
</file>